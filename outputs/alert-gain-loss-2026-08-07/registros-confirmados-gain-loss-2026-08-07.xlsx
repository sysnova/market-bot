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e9ae5af4f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c9aec5d3b604175"/>
    <x:sheet xmlns:r="http://schemas.openxmlformats.org/officeDocument/2006/relationships" name="Detalle por ticker" sheetId="2" r:id="Rd7446fc8e2854dc3"/>
    <x:sheet xmlns:r="http://schemas.openxmlformats.org/officeDocument/2006/relationships" name="Registros confirmados" sheetId="3" r:id="Rf9633fe5072447c4"/>
    <x:sheet xmlns:r="http://schemas.openxmlformats.org/officeDocument/2006/relationships" name="Fuentes y checks" sheetId="4" r:id="R2c76f8a5294a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;[Red](0.00%);-"/>
    <x:numFmt numFmtId="202" formatCode="0.0%"/>
    <x:numFmt numFmtId="203" formatCode="yyyy-mm-dd hh:mm:ss"/>
    <x:numFmt numFmtId="204" formatCode="$0.0000"/>
    <x:numFmt numFmtId="205" formatCode="$0.0000;[Red]($0.0000);-"/>
  </x:numFmts>
  <x:fonts count="20">
    <x:font>
      <x:sz val="11"/>
      <x:name val="Carlito"/>
    </x:font>
    <x:font>
      <x:b/>
      <x:sz val="16"/>
      <x:color rgb="FFFFFFFF"/>
      <x:name val="Carlito"/>
    </x:font>
    <x:font>
      <x:sz val="11"/>
      <x:color rgb="FF12233F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i/>
      <x:sz val="11"/>
      <x:color rgb="FF713F12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4"/>
      <x:color rgb="FFFFFFFF"/>
      <x:name val="Carlito"/>
    </x:font>
    <x:font>
      <x:b/>
      <x:sz val="16"/>
      <x:color rgb="FFFFFFFF"/>
      <x:name val="Aptos"/>
    </x:font>
    <x:font>
      <x:sz val="11"/>
      <x:color rgb="FF12233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08000"/>
      <x:name val="Aptos"/>
    </x:font>
    <x:font>
      <x:b/>
      <x:sz val="11"/>
      <x:name val="Aptos"/>
    </x:font>
    <x:font>
      <x:i/>
      <x:sz val="11"/>
      <x:color rgb="FF713F12"/>
      <x:name val="Aptos"/>
    </x:font>
    <x:font>
      <x:sz val="11"/>
      <x:color rgb="FF000000"/>
      <x:name val="Aptos"/>
    </x:font>
    <x:font>
      <x:sz val="11"/>
      <x:color rgb="FF008000"/>
      <x:name val="Aptos"/>
    </x:font>
    <x:font>
      <x:b/>
      <x:sz val="14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202" fontId="4" fillId="0" borderId="4" xfId="0" applyNumberFormat="1" applyFont="1" applyFill="1" applyBorder="1"/>
    <x:xf numFmtId="0" fontId="0" fillId="5" borderId="5" xfId="0" applyNumberFormat="1" applyFont="1" applyFill="1" applyBorder="1"/>
    <x:xf numFmtId="201" fontId="4" fillId="0" borderId="6" xfId="0" applyNumberFormat="1" applyFont="1" applyFill="1" applyBorder="1"/>
    <x:xf numFmtId="0" fontId="3" fillId="2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0" fontId="5" fillId="5" borderId="3" xfId="0" applyNumberFormat="1" applyFont="1" applyFill="1" applyBorder="1"/>
    <x:xf numFmtId="0" fontId="0" fillId="0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/>
    <x:xf numFmtId="0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2" xfId="0" applyNumberFormat="1" applyFont="1" applyFill="1" applyBorder="1"/>
    <x:xf numFmtId="0" fontId="13" fillId="2" borderId="1" xfId="0" applyNumberFormat="1" applyFont="1" applyFill="1" applyBorder="1"/>
    <x:xf numFmtId="0" fontId="13" fillId="2" borderId="7" xfId="0" applyNumberFormat="1" applyFont="1" applyFill="1" applyBorder="1"/>
    <x:xf numFmtId="0" fontId="13" fillId="2" borderId="2" xfId="0" applyNumberFormat="1" applyFont="1" applyFill="1" applyBorder="1"/>
    <x:xf numFmtId="0" fontId="12" fillId="5" borderId="3" xfId="0" applyNumberFormat="1" applyFont="1" applyFill="1" applyBorder="1"/>
    <x:xf numFmtId="200" fontId="14" fillId="0" borderId="4" xfId="0" applyNumberFormat="1" applyFont="1" applyFill="1" applyBorder="1"/>
    <x:xf numFmtId="0" fontId="15" fillId="5" borderId="3" xfId="0" applyNumberFormat="1" applyFont="1" applyFill="1" applyBorder="1"/>
    <x:xf numFmtId="0" fontId="12" fillId="0" borderId="0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201" fontId="14" fillId="0" borderId="4" xfId="0" applyNumberFormat="1" applyFont="1" applyFill="1" applyBorder="1"/>
    <x:xf numFmtId="0" fontId="15" fillId="5" borderId="5" xfId="0" applyNumberFormat="1" applyFont="1" applyFill="1" applyBorder="1"/>
    <x:xf numFmtId="0" fontId="12" fillId="0" borderId="8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202" fontId="14" fillId="0" borderId="4" xfId="0" applyNumberFormat="1" applyFont="1" applyFill="1" applyBorder="1"/>
    <x:xf numFmtId="0" fontId="12" fillId="5" borderId="5" xfId="0" applyNumberFormat="1" applyFont="1" applyFill="1" applyBorder="1"/>
    <x:xf numFmtId="201" fontId="14" fillId="0" borderId="6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205" fontId="12" fillId="0" borderId="0" xfId="0" applyNumberFormat="1" applyFont="1" applyFill="1" applyBorder="1"/>
    <x:xf numFmtId="205" fontId="17" fillId="0" borderId="0" xfId="0" applyNumberFormat="1" applyFont="1" applyFill="1" applyBorder="1"/>
    <x:xf numFmtId="201" fontId="17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3" fillId="2" borderId="0" xfId="0" applyNumberFormat="1" applyFont="1" applyFill="1" applyBorder="1"/>
    <x:xf numFmtId="0" fontId="19" fillId="2" borderId="0" xfId="0" applyNumberFormat="1" applyFont="1" applyFill="1" applyBorder="1"/>
    <x:xf numFmtId="0" fontId="13" fillId="4" borderId="0" xfId="0" applyNumberFormat="1" applyFont="1" applyFill="1" applyBorder="1"/>
    <x:xf numFmtId="0" fontId="15" fillId="5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c1aabce1c4c77" /><Relationship Type="http://schemas.openxmlformats.org/officeDocument/2006/relationships/theme" Target="/xl/theme/theme1.xml" Id="R896d917a5b024cf8" /><Relationship Type="http://schemas.openxmlformats.org/officeDocument/2006/relationships/sharedStrings" Target="/xl/sharedStrings.xml" Id="R618430ded2d0401a" /><Relationship Type="http://schemas.openxmlformats.org/officeDocument/2006/relationships/worksheet" Target="/xl/worksheets/sheet1.xml" Id="Rec9aec5d3b604175" /><Relationship Type="http://schemas.openxmlformats.org/officeDocument/2006/relationships/worksheet" Target="/xl/worksheets/sheet2.xml" Id="Rd7446fc8e2854dc3" /><Relationship Type="http://schemas.openxmlformats.org/officeDocument/2006/relationships/worksheet" Target="/xl/worksheets/sheet3.xml" Id="Rf9633fe5072447c4" /><Relationship Type="http://schemas.openxmlformats.org/officeDocument/2006/relationships/worksheet" Target="/xl/worksheets/sheet4.xml" Id="R2c76f8a5294a444b" /></Relationships>
</file>

<file path=xl/tables/table1.xml><?xml version="1.0" encoding="utf-8"?>
<x:table xmlns:x="http://schemas.openxmlformats.org/spreadsheetml/2006/main" id="1" name="DetalleTickerTable" displayName="DetalleTickerTable" ref="A1:Y104" headerRowCount="1" totalsRowCount="0" totalsRowShown="0">
  <x:tableColumns count="25">
    <x:tableColumn id="1" name="Ticker"/>
    <x:tableColumn id="2" name="Registros"/>
    <x:tableColumn id="3" name="Primer registro BA"/>
    <x:tableColumn id="4" name="Tipo primer registro"/>
    <x:tableColumn id="5" name="Precio primer registro"/>
    <x:tableColumn id="6" name="Primer registro L1–L4 BA"/>
    <x:tableColumn id="7" name="Tipo registro L1–L4"/>
    <x:tableColumn id="8" name="Madurez"/>
    <x:tableColumn id="9" name="Precio registro L1–L4"/>
    <x:tableColumn id="10" name="Registro usado"/>
    <x:tableColumn id="11" name="Registro seleccionado BA"/>
    <x:tableColumn id="12" name="Tipo seleccionado"/>
    <x:tableColumn id="13" name="Dirección"/>
    <x:tableColumn id="14" name="Precio informado"/>
    <x:tableColumn id="15" name="Cierre viernes"/>
    <x:tableColumn id="16" name="Cambio $"/>
    <x:tableColumn id="17" name="Movimiento bruto %"/>
    <x:tableColumn id="18" name="P&amp;L señal %"/>
    <x:tableColumn id="19" name="Resultado"/>
    <x:tableColumn id="20" name="Mercado precio"/>
    <x:tableColumn id="21" name="Estado cierre"/>
    <x:tableColumn id="22" name="Último registro BA"/>
    <x:tableColumn id="23" name="Último tipo"/>
    <x:tableColumn id="24" name="Tipos y cantidades"/>
    <x:tableColumn id="25" name="Cal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ertasRawTable" displayName="AlertasRawTable" ref="A1:J3158" headerRowCount="1" totalsRowCount="0" totalsRowShown="0">
  <x:tableColumns count="10">
    <x:tableColumn id="1" name="Registro ID"/>
    <x:tableColumn id="2" name="Ticker"/>
    <x:tableColumn id="3" name="Fecha BA"/>
    <x:tableColumn id="4" name="Tipo"/>
    <x:tableColumn id="5" name="Título"/>
    <x:tableColumn id="6" name="Severidad"/>
    <x:tableColumn id="7" name="Madurez"/>
    <x:tableColumn id="8" name="Dirección"/>
    <x:tableColumn id="9" name="Precio"/>
    <x:tableColumn id="10" name="Mer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ad6fb8bef7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e8e245e6d948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8" t="str">
        <x:v>MarketBot — Gain/Loss de registros confirmados del viernes 7 de agosto de 2026</x:v>
      </x:c>
      <x:c r="B1" s="48"/>
      <x:c r="C1" s="48"/>
      <x:c r="D1" s="48"/>
      <x:c r="E1" s="48"/>
      <x:c r="F1" s="48"/>
      <x:c r="G1" s="48"/>
      <x:c r="H1" s="48"/>
    </x:row>
    <x:row r="2" ht="28" customHeight="1">
      <x:c r="A2" s="49" t="str">
        <x:v>Una fila por ticker. Todos los datos corresponden a registros confirmados; se prioriza L1–L4 cuando está disponible.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 t="str">
        <x:v>Indicador</x:v>
      </x:c>
      <x:c r="B4" s="52" t="str">
        <x:v>Resultado</x:v>
      </x:c>
      <x:c r="C4" s="50"/>
      <x:c r="D4" s="53" t="str">
        <x:v>Metodología</x:v>
      </x:c>
      <x:c r="E4" s="54"/>
      <x:c r="F4" s="54"/>
      <x:c r="G4" s="54"/>
      <x:c r="H4" s="55"/>
    </x:row>
    <x:row r="5" ht="30" customHeight="1">
      <x:c r="A5" s="56" t="str">
        <x:v>Registros confirmados</x:v>
      </x:c>
      <x:c r="B5" s="57" t="n">
        <x:f>COUNTA('Registros confirmados'!A2:A3158)</x:f>
        <x:v>3157</x:v>
      </x:c>
      <x:c r="C5" s="50"/>
      <x:c r="D5" s="58" t="str">
        <x:v>Fecha analizada</x:v>
      </x:c>
      <x:c r="E5" s="59" t="str">
        <x:v>2026-08-07</x:v>
      </x:c>
      <x:c r="F5" s="59"/>
      <x:c r="G5" s="59"/>
      <x:c r="H5" s="60"/>
    </x:row>
    <x:row r="6" ht="30" customHeight="1">
      <x:c r="A6" s="56" t="str">
        <x:v>Tickers únicos</x:v>
      </x:c>
      <x:c r="B6" s="57" t="n">
        <x:f>COUNTA('Detalle por ticker'!A2:A104)</x:f>
        <x:v>103</x:v>
      </x:c>
      <x:c r="C6" s="50"/>
      <x:c r="D6" s="58" t="str">
        <x:v>Zona horaria</x:v>
      </x:c>
      <x:c r="E6" s="59" t="str">
        <x:v>America/Argentina/Buenos_Aires</x:v>
      </x:c>
      <x:c r="F6" s="59"/>
      <x:c r="G6" s="59"/>
      <x:c r="H6" s="60"/>
    </x:row>
    <x:row r="7" ht="30" customHeight="1">
      <x:c r="A7" s="56" t="str">
        <x:v>Tickers con cierre viernes</x:v>
      </x:c>
      <x:c r="B7" s="57" t="n">
        <x:f>COUNT('Detalle por ticker'!O2:O104)</x:f>
        <x:v>103</x:v>
      </x:c>
      <x:c r="C7" s="50"/>
      <x:c r="D7" s="58" t="str">
        <x:v>Precio informado</x:v>
      </x:c>
      <x:c r="E7" s="59" t="str">
        <x:v>current_price; si falta, reference_price Intraday → Swing → Long</x:v>
      </x:c>
      <x:c r="F7" s="59"/>
      <x:c r="G7" s="59"/>
      <x:c r="H7" s="60"/>
    </x:row>
    <x:row r="8" ht="30" customHeight="1">
      <x:c r="A8" s="56" t="str">
        <x:v>Cobertura de cierre</x:v>
      </x:c>
      <x:c r="B8" s="61" t="n">
        <x:f>IFERROR(B7/B6,0)</x:f>
        <x:v>1</x:v>
      </x:c>
      <x:c r="C8" s="50"/>
      <x:c r="D8" s="58" t="str">
        <x:v>Selección única</x:v>
      </x:c>
      <x:c r="E8" s="59" t="str">
        <x:v>Primer registro confirmado con precio; se prioriza L1–L4 cuando está disponible.</x:v>
      </x:c>
      <x:c r="F8" s="59"/>
      <x:c r="G8" s="59"/>
      <x:c r="H8" s="60"/>
    </x:row>
    <x:row r="9" ht="30" customHeight="1">
      <x:c r="A9" s="56" t="str">
        <x:v>Promedio P&amp;L señal</x:v>
      </x:c>
      <x:c r="B9" s="61" t="n">
        <x:f>IFERROR(AVERAGE('Detalle por ticker'!R2:R104),0)</x:f>
        <x:v>0.001677967658164189</x:v>
      </x:c>
      <x:c r="C9" s="50"/>
      <x:c r="D9" s="58" t="str">
        <x:v>Cierre</x:v>
      </x:c>
      <x:c r="E9" s="59" t="str">
        <x:v>Barra final 1Day persistida en PostgreSQL a 2026-08-07T04:00:00Z.</x:v>
      </x:c>
      <x:c r="F9" s="59"/>
      <x:c r="G9" s="59"/>
      <x:c r="H9" s="60"/>
    </x:row>
    <x:row r="10" ht="30" customHeight="1">
      <x:c r="A10" s="56" t="str">
        <x:v>Mediana P&amp;L señal</x:v>
      </x:c>
      <x:c r="B10" s="61" t="n">
        <x:f>IFERROR(MEDIAN('Detalle por ticker'!R2:R104),0)</x:f>
        <x:v>0.001489678655032911</x:v>
      </x:c>
      <x:c r="C10" s="50"/>
      <x:c r="D10" s="62" t="str">
        <x:v>P&amp;L señal</x:v>
      </x:c>
      <x:c r="E10" s="63" t="str">
        <x:v>LONG: cierre/precio−1; SHORT: signo invertido; NEUTRAL: N/A</x:v>
      </x:c>
      <x:c r="F10" s="63"/>
      <x:c r="G10" s="63"/>
      <x:c r="H10" s="64"/>
    </x:row>
    <x:row r="11">
      <x:c r="A11" s="56" t="str">
        <x:v>Gain</x:v>
      </x:c>
      <x:c r="B11" s="57" t="n">
        <x:f>COUNTIF('Detalle por ticker'!S2:S104,"GAIN")</x:f>
        <x:v>57</x:v>
      </x:c>
      <x:c r="C11" s="50"/>
      <x:c r="D11" s="50"/>
      <x:c r="E11" s="50"/>
      <x:c r="F11" s="50"/>
      <x:c r="G11" s="50"/>
      <x:c r="H11" s="50"/>
    </x:row>
    <x:row r="12">
      <x:c r="A12" s="56" t="str">
        <x:v>Loss</x:v>
      </x:c>
      <x:c r="B12" s="57" t="n">
        <x:f>COUNTIF('Detalle por ticker'!S2:S104,"LOSS")</x:f>
        <x:v>44</x:v>
      </x:c>
      <x:c r="C12" s="50"/>
      <x:c r="D12" s="50"/>
      <x:c r="E12" s="50"/>
      <x:c r="F12" s="50"/>
      <x:c r="G12" s="50"/>
      <x:c r="H12" s="50"/>
    </x:row>
    <x:row r="13">
      <x:c r="A13" s="56" t="str">
        <x:v>Flat</x:v>
      </x:c>
      <x:c r="B13" s="57" t="n">
        <x:f>COUNTIF('Detalle por ticker'!S2:S104,"FLAT")</x:f>
        <x:v>0</x:v>
      </x:c>
      <x:c r="C13" s="50"/>
      <x:c r="D13" s="50"/>
      <x:c r="E13" s="50"/>
      <x:c r="F13" s="50"/>
      <x:c r="G13" s="50"/>
      <x:c r="H13" s="50"/>
    </x:row>
    <x:row r="14">
      <x:c r="A14" s="56" t="str">
        <x:v>Hit rate</x:v>
      </x:c>
      <x:c r="B14" s="65" t="n">
        <x:f>IFERROR(B11/(B11+B12+B13),0)</x:f>
        <x:v>0.5643564356435643</x:v>
      </x:c>
      <x:c r="C14" s="50"/>
      <x:c r="D14" s="50"/>
      <x:c r="E14" s="50"/>
      <x:c r="F14" s="50"/>
      <x:c r="G14" s="50"/>
      <x:c r="H14" s="50"/>
    </x:row>
    <x:row r="15">
      <x:c r="A15" s="56" t="str">
        <x:v>Tickers con L1–L4</x:v>
      </x:c>
      <x:c r="B15" s="57" t="n">
        <x:f>COUNTIF('Detalle por ticker'!J2:J104,"REGISTRO_L1_L4")</x:f>
        <x:v>13</x:v>
      </x:c>
      <x:c r="C15" s="50"/>
      <x:c r="D15" s="50"/>
      <x:c r="E15" s="50"/>
      <x:c r="F15" s="50"/>
      <x:c r="G15" s="50"/>
      <x:c r="H15" s="50"/>
    </x:row>
    <x:row r="16">
      <x:c r="A16" s="56" t="str">
        <x:v>Promedio L1–L4</x:v>
      </x:c>
      <x:c r="B16" s="61" t="n">
        <x:f>IFERROR(AVERAGEIF('Detalle por ticker'!J2:J104,"REGISTRO_L1_L4",'Detalle por ticker'!R2:R104),0)</x:f>
        <x:v>-0.00029368085839863976</x:v>
      </x:c>
      <x:c r="C16" s="50"/>
      <x:c r="D16" s="50"/>
      <x:c r="E16" s="50"/>
      <x:c r="F16" s="50"/>
      <x:c r="G16" s="50"/>
      <x:c r="H16" s="50"/>
    </x:row>
    <x:row r="17">
      <x:c r="A17" s="56" t="str">
        <x:v>Otros registros confirmados</x:v>
      </x:c>
      <x:c r="B17" s="57" t="n">
        <x:f>COUNTIF('Detalle por ticker'!J2:J104,"REGISTRO_CONFIRMADO")</x:f>
        <x:v>90</x:v>
      </x:c>
      <x:c r="C17" s="50"/>
      <x:c r="D17" s="50"/>
      <x:c r="E17" s="50"/>
      <x:c r="F17" s="50"/>
      <x:c r="G17" s="50"/>
      <x:c r="H17" s="50"/>
    </x:row>
    <x:row r="18">
      <x:c r="A18" s="66" t="str">
        <x:v>Promedio otros confirmados</x:v>
      </x:c>
      <x:c r="B18" s="67" t="n">
        <x:f>IFERROR(AVERAGEIF('Detalle por ticker'!J2:J104,"REGISTRO_CONFIRMADO",'Detalle por ticker'!R2:R104),0)</x:f>
        <x:v>0.0019627613327788196</x:v>
      </x:c>
      <x:c r="C18" s="50"/>
      <x:c r="D18" s="50"/>
      <x:c r="E18" s="50"/>
      <x:c r="F18" s="50"/>
      <x:c r="G18" s="50"/>
      <x:c r="H18" s="50"/>
    </x:row>
    <x:row r="19">
      <x:c r="A19" s="50"/>
      <x:c r="B19" s="50"/>
      <x:c r="C19" s="50"/>
      <x:c r="D19" s="50"/>
      <x:c r="E19" s="50"/>
      <x:c r="F19" s="50"/>
      <x:c r="G19" s="50"/>
      <x:c r="H19" s="50"/>
    </x:row>
    <x:row r="20">
      <x:c r="A20" s="68" t="str">
        <x:v>Nota: esto mide el movimiento desde cada registro confirmado hasta el cierre del mismo viernes; no incluye sizing ni comisiones.</x:v>
      </x:c>
      <x:c r="B20" s="68"/>
      <x:c r="C20" s="68"/>
      <x:c r="D20" s="68"/>
      <x:c r="E20" s="68"/>
      <x:c r="F20" s="68"/>
      <x:c r="G20" s="68"/>
      <x:c r="H20" s="68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10" hidden="0" customWidth="1"/>
    <x:col min="3" max="3" width="19" hidden="0" customWidth="1"/>
    <x:col min="4" max="4" width="18" hidden="0" customWidth="1"/>
    <x:col min="5" max="5" width="19.6299991607666" hidden="0" customWidth="1"/>
    <x:col min="6" max="6" width="19" hidden="0" customWidth="1"/>
    <x:col min="7" max="7" width="18" hidden="0" customWidth="1"/>
    <x:col min="8" max="8" width="18" hidden="0" customWidth="1"/>
    <x:col min="9" max="9" width="18.75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16.25" hidden="0" customWidth="1"/>
    <x:col min="15" max="15" width="13.5" hidden="0" customWidth="1"/>
    <x:col min="16" max="16" width="10.25" hidden="0" customWidth="1"/>
    <x:col min="17" max="17" width="18.75" hidden="0" customWidth="1"/>
    <x:col min="18" max="18" width="12.25" hidden="0" customWidth="1"/>
    <x:col min="19" max="19" width="18" hidden="0" customWidth="1"/>
    <x:col min="20" max="20" width="24" hidden="0" customWidth="1"/>
    <x:col min="21" max="21" width="24" hidden="0" customWidth="1"/>
    <x:col min="22" max="22" width="19" hidden="0" customWidth="1"/>
    <x:col min="23" max="23" width="18" hidden="0" customWidth="1"/>
    <x:col min="24" max="24" width="42" hidden="0" customWidth="1"/>
    <x:col min="25" max="25" width="18" hidden="0" customWidth="1"/>
  </x:cols>
  <x:sheetData>
    <x:row r="1" ht="32" customHeight="1">
      <x:c r="A1" s="69" t="str">
        <x:v>Ticker</x:v>
      </x:c>
      <x:c r="B1" s="69" t="str">
        <x:v>Registros</x:v>
      </x:c>
      <x:c r="C1" s="69" t="str">
        <x:v>Primer registro BA</x:v>
      </x:c>
      <x:c r="D1" s="69" t="str">
        <x:v>Tipo primer registro</x:v>
      </x:c>
      <x:c r="E1" s="69" t="str">
        <x:v>Precio primer registro</x:v>
      </x:c>
      <x:c r="F1" s="69" t="str">
        <x:v>Primer registro L1–L4 BA</x:v>
      </x:c>
      <x:c r="G1" s="69" t="str">
        <x:v>Tipo registro L1–L4</x:v>
      </x:c>
      <x:c r="H1" s="69" t="str">
        <x:v>Madurez</x:v>
      </x:c>
      <x:c r="I1" s="69" t="str">
        <x:v>Precio registro L1–L4</x:v>
      </x:c>
      <x:c r="J1" s="69" t="str">
        <x:v>Registro usado</x:v>
      </x:c>
      <x:c r="K1" s="69" t="str">
        <x:v>Registro seleccionado BA</x:v>
      </x:c>
      <x:c r="L1" s="69" t="str">
        <x:v>Tipo seleccionado</x:v>
      </x:c>
      <x:c r="M1" s="69" t="str">
        <x:v>Dirección</x:v>
      </x:c>
      <x:c r="N1" s="69" t="str">
        <x:v>Precio informado</x:v>
      </x:c>
      <x:c r="O1" s="69" t="str">
        <x:v>Cierre viernes</x:v>
      </x:c>
      <x:c r="P1" s="69" t="str">
        <x:v>Cambio $</x:v>
      </x:c>
      <x:c r="Q1" s="69" t="str">
        <x:v>Movimiento bruto %</x:v>
      </x:c>
      <x:c r="R1" s="69" t="str">
        <x:v>P&amp;L señal %</x:v>
      </x:c>
      <x:c r="S1" s="69" t="str">
        <x:v>Resultado</x:v>
      </x:c>
      <x:c r="T1" s="69" t="str">
        <x:v>Mercado precio</x:v>
      </x:c>
      <x:c r="U1" s="69" t="str">
        <x:v>Estado cierre</x:v>
      </x:c>
      <x:c r="V1" s="69" t="str">
        <x:v>Último registro BA</x:v>
      </x:c>
      <x:c r="W1" s="69" t="str">
        <x:v>Último tipo</x:v>
      </x:c>
      <x:c r="X1" s="69" t="str">
        <x:v>Tipos y cantidades</x:v>
      </x:c>
      <x:c r="Y1" s="69" t="str">
        <x:v>Calidad</x:v>
      </x:c>
    </x:row>
    <x:row r="2">
      <x:c r="A2" s="50" t="str">
        <x:v>ABBV</x:v>
      </x:c>
      <x:c r="B2" s="50" t="n">
        <x:v>33</x:v>
      </x:c>
      <x:c r="C2" s="70" t="n">
        <x:v>46241.17436372685</x:v>
      </x:c>
      <x:c r="D2" s="50" t="str">
        <x:v>LONG_BUY_ZONE</x:v>
      </x:c>
      <x:c r="E2" s="71" t="n">
        <x:v>243.87</x:v>
      </x:c>
      <x:c r="F2" s="70"/>
      <x:c r="G2" s="50"/>
      <x:c r="H2" s="50"/>
      <x:c r="I2" s="71"/>
      <x:c r="J2" s="50" t="str">
        <x:v>REGISTRO_CONFIRMADO</x:v>
      </x:c>
      <x:c r="K2" s="70" t="n">
        <x:v>46241.17436372685</x:v>
      </x:c>
      <x:c r="L2" s="50" t="str">
        <x:v>LONG_BUY_ZONE</x:v>
      </x:c>
      <x:c r="M2" s="50" t="str">
        <x:v>LONG</x:v>
      </x:c>
      <x:c r="N2" s="72" t="n">
        <x:v>243.87</x:v>
      </x:c>
      <x:c r="O2" s="72" t="n">
        <x:v>246.04</x:v>
      </x:c>
      <x:c r="P2" s="73" t="n">
        <x:f>IF(OR(N2="",O2=""),"",O2-N2)</x:f>
        <x:v>2.1699999999999875</x:v>
      </x:c>
      <x:c r="Q2" s="74" t="n">
        <x:f>IF(OR(N2="",O2="",N2=0),"",O2/N2-1)</x:f>
        <x:v>0.008898183458399878</x:v>
      </x:c>
      <x:c r="R2" s="74" t="n">
        <x:f>IF(M2="SHORT",-Q2,IF(M2="LONG",Q2,""))</x:f>
        <x:v>0.008898183458399878</x:v>
      </x:c>
      <x:c r="S2" s="75" t="str">
        <x:f>IF(R2="","N/A",IF(R2&gt;0,"GAIN",IF(R2&lt;0,"LOSS","FLAT")))</x:f>
        <x:v>GAIN</x:v>
      </x:c>
      <x:c r="T2" s="76" t="str">
        <x:v>SIP</x:v>
      </x:c>
      <x:c r="U2" s="76" t="str">
        <x:v>FINAL</x:v>
      </x:c>
      <x:c r="V2" s="70" t="n">
        <x:v>46241.95420435185</x:v>
      </x:c>
      <x:c r="W2" s="50" t="str">
        <x:v>LONG_BUY_ZONE</x:v>
      </x:c>
      <x:c r="X2" s="50" t="str">
        <x:v>LONG_BUY_ZONE:33</x:v>
      </x:c>
      <x:c r="Y2" s="50" t="str">
        <x:f>IF(N2="","NO ALERT PRICE",IF(O2="","NO FRIDAY CLOSE","OK"))</x:f>
        <x:v>OK</x:v>
      </x:c>
    </x:row>
    <x:row r="3">
      <x:c r="A3" s="50" t="str">
        <x:v>ABCL</x:v>
      </x:c>
      <x:c r="B3" s="50" t="n">
        <x:v>2</x:v>
      </x:c>
      <x:c r="C3" s="70" t="n">
        <x:v>46241.80281296296</x:v>
      </x:c>
      <x:c r="D3" s="50" t="str">
        <x:v>SWING_SETUP</x:v>
      </x:c>
      <x:c r="E3" s="71" t="n">
        <x:v>6.76</x:v>
      </x:c>
      <x:c r="F3" s="70"/>
      <x:c r="G3" s="50"/>
      <x:c r="H3" s="50"/>
      <x:c r="I3" s="71"/>
      <x:c r="J3" s="50" t="str">
        <x:v>REGISTRO_CONFIRMADO</x:v>
      </x:c>
      <x:c r="K3" s="70" t="n">
        <x:v>46241.80281296296</x:v>
      </x:c>
      <x:c r="L3" s="50" t="str">
        <x:v>SWING_SETUP</x:v>
      </x:c>
      <x:c r="M3" s="50" t="str">
        <x:v>LONG</x:v>
      </x:c>
      <x:c r="N3" s="72" t="n">
        <x:v>6.76</x:v>
      </x:c>
      <x:c r="O3" s="72" t="n">
        <x:v>6.93</x:v>
      </x:c>
      <x:c r="P3" s="73" t="n">
        <x:f>IF(OR(N3="",O3=""),"",O3-N3)</x:f>
        <x:v>0.16999999999999993</x:v>
      </x:c>
      <x:c r="Q3" s="74" t="n">
        <x:f>IF(OR(N3="",O3="",N3=0),"",O3/N3-1)</x:f>
        <x:v>0.025147928994082802</x:v>
      </x:c>
      <x:c r="R3" s="74" t="n">
        <x:f>IF(M3="SHORT",-Q3,IF(M3="LONG",Q3,""))</x:f>
        <x:v>0.025147928994082802</x:v>
      </x:c>
      <x:c r="S3" s="75" t="str">
        <x:f>IF(R3="","N/A",IF(R3&gt;0,"GAIN",IF(R3&lt;0,"LOSS","FLAT")))</x:f>
        <x:v>GAIN</x:v>
      </x:c>
      <x:c r="T3" s="76" t="str">
        <x:v>SIP</x:v>
      </x:c>
      <x:c r="U3" s="76" t="str">
        <x:v>FINAL</x:v>
      </x:c>
      <x:c r="V3" s="70" t="n">
        <x:v>46241.81323709491</x:v>
      </x:c>
      <x:c r="W3" s="50" t="str">
        <x:v>SWING_SETUP</x:v>
      </x:c>
      <x:c r="X3" s="50" t="str">
        <x:v>SWING_SETUP:2</x:v>
      </x:c>
      <x:c r="Y3" s="50" t="str">
        <x:f>IF(N3="","NO ALERT PRICE",IF(O3="","NO FRIDAY CLOSE","OK"))</x:f>
        <x:v>OK</x:v>
      </x:c>
    </x:row>
    <x:row r="4">
      <x:c r="A4" s="50" t="str">
        <x:v>ABNB</x:v>
      </x:c>
      <x:c r="B4" s="50" t="n">
        <x:v>52</x:v>
      </x:c>
      <x:c r="C4" s="70" t="n">
        <x:v>46241.17433383102</x:v>
      </x:c>
      <x:c r="D4" s="50" t="str">
        <x:v>SWING_SETUP</x:v>
      </x:c>
      <x:c r="E4" s="71" t="n">
        <x:v>163.5278</x:v>
      </x:c>
      <x:c r="F4" s="70"/>
      <x:c r="G4" s="50"/>
      <x:c r="H4" s="50"/>
      <x:c r="I4" s="71"/>
      <x:c r="J4" s="50" t="str">
        <x:v>REGISTRO_CONFIRMADO</x:v>
      </x:c>
      <x:c r="K4" s="70" t="n">
        <x:v>46241.17433383102</x:v>
      </x:c>
      <x:c r="L4" s="50" t="str">
        <x:v>SWING_SETUP</x:v>
      </x:c>
      <x:c r="M4" s="50" t="str">
        <x:v>LONG</x:v>
      </x:c>
      <x:c r="N4" s="72" t="n">
        <x:v>163.5278</x:v>
      </x:c>
      <x:c r="O4" s="72" t="n">
        <x:v>178.07</x:v>
      </x:c>
      <x:c r="P4" s="73" t="n">
        <x:f>IF(OR(N4="",O4=""),"",O4-N4)</x:f>
        <x:v>14.54219999999998</x:v>
      </x:c>
      <x:c r="Q4" s="74" t="n">
        <x:f>IF(OR(N4="",O4="",N4=0),"",O4/N4-1)</x:f>
        <x:v>0.0889279987867504</x:v>
      </x:c>
      <x:c r="R4" s="74" t="n">
        <x:f>IF(M4="SHORT",-Q4,IF(M4="LONG",Q4,""))</x:f>
        <x:v>0.0889279987867504</x:v>
      </x:c>
      <x:c r="S4" s="75" t="str">
        <x:f>IF(R4="","N/A",IF(R4&gt;0,"GAIN",IF(R4&lt;0,"LOSS","FLAT")))</x:f>
        <x:v>GAIN</x:v>
      </x:c>
      <x:c r="T4" s="76" t="str">
        <x:v>SIP</x:v>
      </x:c>
      <x:c r="U4" s="76" t="str">
        <x:v>FINAL</x:v>
      </x:c>
      <x:c r="V4" s="70" t="n">
        <x:v>46242.04587767361</x:v>
      </x:c>
      <x:c r="W4" s="50" t="str">
        <x:v>SWING_SETUP</x:v>
      </x:c>
      <x:c r="X4" s="50" t="str">
        <x:v>LONG_BUY_ZONE:2, SWING_SETUP:50</x:v>
      </x:c>
      <x:c r="Y4" s="50" t="str">
        <x:f>IF(N4="","NO ALERT PRICE",IF(O4="","NO FRIDAY CLOSE","OK"))</x:f>
        <x:v>OK</x:v>
      </x:c>
    </x:row>
    <x:row r="5">
      <x:c r="A5" s="50" t="str">
        <x:v>ABT</x:v>
      </x:c>
      <x:c r="B5" s="50" t="n">
        <x:v>46</x:v>
      </x:c>
      <x:c r="C5" s="70" t="n">
        <x:v>46241.174324733794</x:v>
      </x:c>
      <x:c r="D5" s="50" t="str">
        <x:v>SWING_SETUP</x:v>
      </x:c>
      <x:c r="E5" s="71" t="n">
        <x:v>107.1</x:v>
      </x:c>
      <x:c r="F5" s="70"/>
      <x:c r="G5" s="50"/>
      <x:c r="H5" s="50"/>
      <x:c r="I5" s="71"/>
      <x:c r="J5" s="50" t="str">
        <x:v>REGISTRO_CONFIRMADO</x:v>
      </x:c>
      <x:c r="K5" s="70" t="n">
        <x:v>46241.174324733794</x:v>
      </x:c>
      <x:c r="L5" s="50" t="str">
        <x:v>SWING_SETUP</x:v>
      </x:c>
      <x:c r="M5" s="50" t="str">
        <x:v>LONG</x:v>
      </x:c>
      <x:c r="N5" s="72" t="n">
        <x:v>107.1</x:v>
      </x:c>
      <x:c r="O5" s="72" t="n">
        <x:v>107.81</x:v>
      </x:c>
      <x:c r="P5" s="73" t="n">
        <x:f>IF(OR(N5="",O5=""),"",O5-N5)</x:f>
        <x:v>0.710000000000008</x:v>
      </x:c>
      <x:c r="Q5" s="74" t="n">
        <x:f>IF(OR(N5="",O5="",N5=0),"",O5/N5-1)</x:f>
        <x:v>0.006629318394024253</x:v>
      </x:c>
      <x:c r="R5" s="74" t="n">
        <x:f>IF(M5="SHORT",-Q5,IF(M5="LONG",Q5,""))</x:f>
        <x:v>0.006629318394024253</x:v>
      </x:c>
      <x:c r="S5" s="75" t="str">
        <x:f>IF(R5="","N/A",IF(R5&gt;0,"GAIN",IF(R5&lt;0,"LOSS","FLAT")))</x:f>
        <x:v>GAIN</x:v>
      </x:c>
      <x:c r="T5" s="76" t="str">
        <x:v>SIP</x:v>
      </x:c>
      <x:c r="U5" s="76" t="str">
        <x:v>FINAL</x:v>
      </x:c>
      <x:c r="V5" s="70" t="n">
        <x:v>46242.039628252314</x:v>
      </x:c>
      <x:c r="W5" s="50" t="str">
        <x:v>SWING_SETUP</x:v>
      </x:c>
      <x:c r="X5" s="50" t="str">
        <x:v>SWING_SETUP:46</x:v>
      </x:c>
      <x:c r="Y5" s="50" t="str">
        <x:f>IF(N5="","NO ALERT PRICE",IF(O5="","NO FRIDAY CLOSE","OK"))</x:f>
        <x:v>OK</x:v>
      </x:c>
    </x:row>
    <x:row r="6">
      <x:c r="A6" s="50" t="str">
        <x:v>ACHR</x:v>
      </x:c>
      <x:c r="B6" s="50" t="n">
        <x:v>1</x:v>
      </x:c>
      <x:c r="C6" s="70" t="n">
        <x:v>46241.584057025466</x:v>
      </x:c>
      <x:c r="D6" s="50" t="str">
        <x:v>SWING_SETUP</x:v>
      </x:c>
      <x:c r="E6" s="71" t="n">
        <x:v>5.4011</x:v>
      </x:c>
      <x:c r="F6" s="70"/>
      <x:c r="G6" s="50"/>
      <x:c r="H6" s="50"/>
      <x:c r="I6" s="71"/>
      <x:c r="J6" s="50" t="str">
        <x:v>REGISTRO_CONFIRMADO</x:v>
      </x:c>
      <x:c r="K6" s="70" t="n">
        <x:v>46241.584057025466</x:v>
      </x:c>
      <x:c r="L6" s="50" t="str">
        <x:v>SWING_SETUP</x:v>
      </x:c>
      <x:c r="M6" s="50" t="str">
        <x:v>LONG</x:v>
      </x:c>
      <x:c r="N6" s="72" t="n">
        <x:v>5.4011</x:v>
      </x:c>
      <x:c r="O6" s="72" t="n">
        <x:v>5.59</x:v>
      </x:c>
      <x:c r="P6" s="73" t="n">
        <x:f>IF(OR(N6="",O6=""),"",O6-N6)</x:f>
        <x:v>0.1889000000000003</x:v>
      </x:c>
      <x:c r="Q6" s="74" t="n">
        <x:f>IF(OR(N6="",O6="",N6=0),"",O6/N6-1)</x:f>
        <x:v>0.034974357075410634</x:v>
      </x:c>
      <x:c r="R6" s="74" t="n">
        <x:f>IF(M6="SHORT",-Q6,IF(M6="LONG",Q6,""))</x:f>
        <x:v>0.034974357075410634</x:v>
      </x:c>
      <x:c r="S6" s="75" t="str">
        <x:f>IF(R6="","N/A",IF(R6&gt;0,"GAIN",IF(R6&lt;0,"LOSS","FLAT")))</x:f>
        <x:v>GAIN</x:v>
      </x:c>
      <x:c r="T6" s="76" t="str">
        <x:v>SIP</x:v>
      </x:c>
      <x:c r="U6" s="76" t="str">
        <x:v>FINAL</x:v>
      </x:c>
      <x:c r="V6" s="70" t="n">
        <x:v>46241.584057025466</x:v>
      </x:c>
      <x:c r="W6" s="50" t="str">
        <x:v>SWING_SETUP</x:v>
      </x:c>
      <x:c r="X6" s="50" t="str">
        <x:v>SWING_SETUP:1</x:v>
      </x:c>
      <x:c r="Y6" s="50" t="str">
        <x:f>IF(N6="","NO ALERT PRICE",IF(O6="","NO FRIDAY CLOSE","OK"))</x:f>
        <x:v>OK</x:v>
      </x:c>
    </x:row>
    <x:row r="7">
      <x:c r="A7" s="50" t="str">
        <x:v>ACHV</x:v>
      </x:c>
      <x:c r="B7" s="50" t="n">
        <x:v>32</x:v>
      </x:c>
      <x:c r="C7" s="70" t="n">
        <x:v>46241.49840635416</x:v>
      </x:c>
      <x:c r="D7" s="50" t="str">
        <x:v>SWING_SETUP</x:v>
      </x:c>
      <x:c r="E7" s="71" t="n">
        <x:v>6.88</x:v>
      </x:c>
      <x:c r="F7" s="70"/>
      <x:c r="G7" s="50"/>
      <x:c r="H7" s="50"/>
      <x:c r="I7" s="71"/>
      <x:c r="J7" s="50" t="str">
        <x:v>REGISTRO_CONFIRMADO</x:v>
      </x:c>
      <x:c r="K7" s="70" t="n">
        <x:v>46241.49840635416</x:v>
      </x:c>
      <x:c r="L7" s="50" t="str">
        <x:v>SWING_SETUP</x:v>
      </x:c>
      <x:c r="M7" s="50" t="str">
        <x:v>LONG</x:v>
      </x:c>
      <x:c r="N7" s="72" t="n">
        <x:v>6.88</x:v>
      </x:c>
      <x:c r="O7" s="72" t="n">
        <x:v>6.65</x:v>
      </x:c>
      <x:c r="P7" s="73" t="n">
        <x:f>IF(OR(N7="",O7=""),"",O7-N7)</x:f>
        <x:v>-0.22999999999999954</x:v>
      </x:c>
      <x:c r="Q7" s="74" t="n">
        <x:f>IF(OR(N7="",O7="",N7=0),"",O7/N7-1)</x:f>
        <x:v>-0.03343023255813948</x:v>
      </x:c>
      <x:c r="R7" s="74" t="n">
        <x:f>IF(M7="SHORT",-Q7,IF(M7="LONG",Q7,""))</x:f>
        <x:v>-0.03343023255813948</x:v>
      </x:c>
      <x:c r="S7" s="75" t="str">
        <x:f>IF(R7="","N/A",IF(R7&gt;0,"GAIN",IF(R7&lt;0,"LOSS","FLAT")))</x:f>
        <x:v>LOSS</x:v>
      </x:c>
      <x:c r="T7" s="76" t="str">
        <x:v>SIP</x:v>
      </x:c>
      <x:c r="U7" s="76" t="str">
        <x:v>FINAL</x:v>
      </x:c>
      <x:c r="V7" s="70" t="n">
        <x:v>46242.04727328704</x:v>
      </x:c>
      <x:c r="W7" s="50" t="str">
        <x:v>SWING_SETUP</x:v>
      </x:c>
      <x:c r="X7" s="50" t="str">
        <x:v>SWING_SETUP:32</x:v>
      </x:c>
      <x:c r="Y7" s="50" t="str">
        <x:f>IF(N7="","NO ALERT PRICE",IF(O7="","NO FRIDAY CLOSE","OK"))</x:f>
        <x:v>OK</x:v>
      </x:c>
    </x:row>
    <x:row r="8">
      <x:c r="A8" s="50" t="str">
        <x:v>ADBE</x:v>
      </x:c>
      <x:c r="B8" s="50" t="n">
        <x:v>10</x:v>
      </x:c>
      <x:c r="C8" s="70" t="n">
        <x:v>46241.17388304398</x:v>
      </x:c>
      <x:c r="D8" s="50" t="str">
        <x:v>SWING_SETUP</x:v>
      </x:c>
      <x:c r="E8" s="71" t="n">
        <x:v>261.8</x:v>
      </x:c>
      <x:c r="F8" s="70"/>
      <x:c r="G8" s="50"/>
      <x:c r="H8" s="50"/>
      <x:c r="I8" s="71"/>
      <x:c r="J8" s="50" t="str">
        <x:v>REGISTRO_CONFIRMADO</x:v>
      </x:c>
      <x:c r="K8" s="70" t="n">
        <x:v>46241.17388304398</x:v>
      </x:c>
      <x:c r="L8" s="50" t="str">
        <x:v>SWING_SETUP</x:v>
      </x:c>
      <x:c r="M8" s="50" t="str">
        <x:v>LONG</x:v>
      </x:c>
      <x:c r="N8" s="72" t="n">
        <x:v>261.8</x:v>
      </x:c>
      <x:c r="O8" s="72" t="n">
        <x:v>265.21</x:v>
      </x:c>
      <x:c r="P8" s="73" t="n">
        <x:f>IF(OR(N8="",O8=""),"",O8-N8)</x:f>
        <x:v>3.409999999999968</x:v>
      </x:c>
      <x:c r="Q8" s="74" t="n">
        <x:f>IF(OR(N8="",O8="",N8=0),"",O8/N8-1)</x:f>
        <x:v>0.013025210084033567</x:v>
      </x:c>
      <x:c r="R8" s="74" t="n">
        <x:f>IF(M8="SHORT",-Q8,IF(M8="LONG",Q8,""))</x:f>
        <x:v>0.013025210084033567</x:v>
      </x:c>
      <x:c r="S8" s="75" t="str">
        <x:f>IF(R8="","N/A",IF(R8&gt;0,"GAIN",IF(R8&lt;0,"LOSS","FLAT")))</x:f>
        <x:v>GAIN</x:v>
      </x:c>
      <x:c r="T8" s="76" t="str">
        <x:v>SIP</x:v>
      </x:c>
      <x:c r="U8" s="76" t="str">
        <x:v>FINAL</x:v>
      </x:c>
      <x:c r="V8" s="70" t="n">
        <x:v>46241.637532280096</x:v>
      </x:c>
      <x:c r="W8" s="50" t="str">
        <x:v>SWING_SETUP</x:v>
      </x:c>
      <x:c r="X8" s="50" t="str">
        <x:v>SWING_SETUP:10</x:v>
      </x:c>
      <x:c r="Y8" s="50" t="str">
        <x:f>IF(N8="","NO ALERT PRICE",IF(O8="","NO FRIDAY CLOSE","OK"))</x:f>
        <x:v>OK</x:v>
      </x:c>
    </x:row>
    <x:row r="9">
      <x:c r="A9" s="50" t="str">
        <x:v>ALNT</x:v>
      </x:c>
      <x:c r="B9" s="50" t="n">
        <x:v>1</x:v>
      </x:c>
      <x:c r="C9" s="70" t="n">
        <x:v>46241.584062141206</x:v>
      </x:c>
      <x:c r="D9" s="50" t="str">
        <x:v>SWING_SETUP</x:v>
      </x:c>
      <x:c r="E9" s="71" t="n">
        <x:v>115.39</x:v>
      </x:c>
      <x:c r="F9" s="70"/>
      <x:c r="G9" s="50"/>
      <x:c r="H9" s="50"/>
      <x:c r="I9" s="71"/>
      <x:c r="J9" s="50" t="str">
        <x:v>REGISTRO_CONFIRMADO</x:v>
      </x:c>
      <x:c r="K9" s="70" t="n">
        <x:v>46241.584062141206</x:v>
      </x:c>
      <x:c r="L9" s="50" t="str">
        <x:v>SWING_SETUP</x:v>
      </x:c>
      <x:c r="M9" s="50" t="str">
        <x:v>LONG</x:v>
      </x:c>
      <x:c r="N9" s="72" t="n">
        <x:v>115.39</x:v>
      </x:c>
      <x:c r="O9" s="72" t="n">
        <x:v>112.81</x:v>
      </x:c>
      <x:c r="P9" s="73" t="n">
        <x:f>IF(OR(N9="",O9=""),"",O9-N9)</x:f>
        <x:v>-2.5799999999999983</x:v>
      </x:c>
      <x:c r="Q9" s="74" t="n">
        <x:f>IF(OR(N9="",O9="",N9=0),"",O9/N9-1)</x:f>
        <x:v>-0.022358956582026135</x:v>
      </x:c>
      <x:c r="R9" s="74" t="n">
        <x:f>IF(M9="SHORT",-Q9,IF(M9="LONG",Q9,""))</x:f>
        <x:v>-0.022358956582026135</x:v>
      </x:c>
      <x:c r="S9" s="75" t="str">
        <x:f>IF(R9="","N/A",IF(R9&gt;0,"GAIN",IF(R9&lt;0,"LOSS","FLAT")))</x:f>
        <x:v>LOSS</x:v>
      </x:c>
      <x:c r="T9" s="76" t="str">
        <x:v>SIP</x:v>
      </x:c>
      <x:c r="U9" s="76" t="str">
        <x:v>FINAL</x:v>
      </x:c>
      <x:c r="V9" s="70" t="n">
        <x:v>46241.584062141206</x:v>
      </x:c>
      <x:c r="W9" s="50" t="str">
        <x:v>SWING_SETUP</x:v>
      </x:c>
      <x:c r="X9" s="50" t="str">
        <x:v>SWING_SETUP:1</x:v>
      </x:c>
      <x:c r="Y9" s="50" t="str">
        <x:f>IF(N9="","NO ALERT PRICE",IF(O9="","NO FRIDAY CLOSE","OK"))</x:f>
        <x:v>OK</x:v>
      </x:c>
    </x:row>
    <x:row r="10">
      <x:c r="A10" s="50" t="str">
        <x:v>AMGN</x:v>
      </x:c>
      <x:c r="B10" s="50" t="n">
        <x:v>36</x:v>
      </x:c>
      <x:c r="C10" s="70" t="n">
        <x:v>46241.53820924769</x:v>
      </x:c>
      <x:c r="D10" s="50" t="str">
        <x:v>SWING_SETUP</x:v>
      </x:c>
      <x:c r="E10" s="71" t="n">
        <x:v>407</x:v>
      </x:c>
      <x:c r="F10" s="70"/>
      <x:c r="G10" s="50"/>
      <x:c r="H10" s="50"/>
      <x:c r="I10" s="71"/>
      <x:c r="J10" s="50" t="str">
        <x:v>REGISTRO_CONFIRMADO</x:v>
      </x:c>
      <x:c r="K10" s="70" t="n">
        <x:v>46241.53820924769</x:v>
      </x:c>
      <x:c r="L10" s="50" t="str">
        <x:v>SWING_SETUP</x:v>
      </x:c>
      <x:c r="M10" s="50" t="str">
        <x:v>LONG</x:v>
      </x:c>
      <x:c r="N10" s="72" t="n">
        <x:v>407</x:v>
      </x:c>
      <x:c r="O10" s="72" t="n">
        <x:v>410.945</x:v>
      </x:c>
      <x:c r="P10" s="73" t="n">
        <x:f>IF(OR(N10="",O10=""),"",O10-N10)</x:f>
        <x:v>3.944999999999993</x:v>
      </x:c>
      <x:c r="Q10" s="74" t="n">
        <x:f>IF(OR(N10="",O10="",N10=0),"",O10/N10-1)</x:f>
        <x:v>0.009692874692874609</x:v>
      </x:c>
      <x:c r="R10" s="74" t="n">
        <x:f>IF(M10="SHORT",-Q10,IF(M10="LONG",Q10,""))</x:f>
        <x:v>0.009692874692874609</x:v>
      </x:c>
      <x:c r="S10" s="75" t="str">
        <x:f>IF(R10="","N/A",IF(R10&gt;0,"GAIN",IF(R10&lt;0,"LOSS","FLAT")))</x:f>
        <x:v>GAIN</x:v>
      </x:c>
      <x:c r="T10" s="76" t="str">
        <x:v>SIP</x:v>
      </x:c>
      <x:c r="U10" s="76" t="str">
        <x:v>FINAL</x:v>
      </x:c>
      <x:c r="V10" s="70" t="n">
        <x:v>46242.04240547454</x:v>
      </x:c>
      <x:c r="W10" s="50" t="str">
        <x:v>SWING_SETUP</x:v>
      </x:c>
      <x:c r="X10" s="50" t="str">
        <x:v>SWING_SETUP:36</x:v>
      </x:c>
      <x:c r="Y10" s="50" t="str">
        <x:f>IF(N10="","NO ALERT PRICE",IF(O10="","NO FRIDAY CLOSE","OK"))</x:f>
        <x:v>OK</x:v>
      </x:c>
    </x:row>
    <x:row r="11">
      <x:c r="A11" s="50" t="str">
        <x:v>AMZN</x:v>
      </x:c>
      <x:c r="B11" s="50" t="n">
        <x:v>35</x:v>
      </x:c>
      <x:c r="C11" s="70" t="n">
        <x:v>46241.531958935186</x:v>
      </x:c>
      <x:c r="D11" s="50" t="str">
        <x:v>SWING_SETUP</x:v>
      </x:c>
      <x:c r="E11" s="71" t="n">
        <x:v>274.23</x:v>
      </x:c>
      <x:c r="F11" s="70" t="n">
        <x:v>46241.61530302083</x:v>
      </x:c>
      <x:c r="G11" s="50" t="str">
        <x:v>ENTRY_CONFIRMED</x:v>
      </x:c>
      <x:c r="H11" s="50" t="str">
        <x:v>L2_SWING_CONFIRMED</x:v>
      </x:c>
      <x:c r="I11" s="71" t="n">
        <x:v>276.8</x:v>
      </x:c>
      <x:c r="J11" s="50" t="str">
        <x:v>REGISTRO_L1_L4</x:v>
      </x:c>
      <x:c r="K11" s="70" t="n">
        <x:v>46241.61530302083</x:v>
      </x:c>
      <x:c r="L11" s="50" t="str">
        <x:v>ENTRY_CONFIRMED</x:v>
      </x:c>
      <x:c r="M11" s="50" t="str">
        <x:v>LONG</x:v>
      </x:c>
      <x:c r="N11" s="72" t="n">
        <x:v>276.8</x:v>
      </x:c>
      <x:c r="O11" s="72" t="n">
        <x:v>274.48</x:v>
      </x:c>
      <x:c r="P11" s="73" t="n">
        <x:f>IF(OR(N11="",O11=""),"",O11-N11)</x:f>
        <x:v>-2.319999999999993</x:v>
      </x:c>
      <x:c r="Q11" s="74" t="n">
        <x:f>IF(OR(N11="",O11="",N11=0),"",O11/N11-1)</x:f>
        <x:v>-0.008381502890173365</x:v>
      </x:c>
      <x:c r="R11" s="74" t="n">
        <x:f>IF(M11="SHORT",-Q11,IF(M11="LONG",Q11,""))</x:f>
        <x:v>-0.008381502890173365</x:v>
      </x:c>
      <x:c r="S11" s="75" t="str">
        <x:f>IF(R11="","N/A",IF(R11&gt;0,"GAIN",IF(R11&lt;0,"LOSS","FLAT")))</x:f>
        <x:v>LOSS</x:v>
      </x:c>
      <x:c r="T11" s="76" t="str">
        <x:v>SIP</x:v>
      </x:c>
      <x:c r="U11" s="76" t="str">
        <x:v>FINAL</x:v>
      </x:c>
      <x:c r="V11" s="70" t="n">
        <x:v>46241.95976643518</x:v>
      </x:c>
      <x:c r="W11" s="50" t="str">
        <x:v>SWING_SETUP</x:v>
      </x:c>
      <x:c r="X11" s="50" t="str">
        <x:v>ENTRY_CONFIRMED:1, SWING_SETUP:34</x:v>
      </x:c>
      <x:c r="Y11" s="50" t="str">
        <x:f>IF(N11="","NO ALERT PRICE",IF(O11="","NO FRIDAY CLOSE","OK"))</x:f>
        <x:v>OK</x:v>
      </x:c>
    </x:row>
    <x:row r="12">
      <x:c r="A12" s="50" t="str">
        <x:v>ANET</x:v>
      </x:c>
      <x:c r="B12" s="50" t="n">
        <x:v>44</x:v>
      </x:c>
      <x:c r="C12" s="70" t="n">
        <x:v>46241.17432534722</x:v>
      </x:c>
      <x:c r="D12" s="50" t="str">
        <x:v>SWING_SETUP</x:v>
      </x:c>
      <x:c r="E12" s="71" t="n">
        <x:v>193</x:v>
      </x:c>
      <x:c r="F12" s="70"/>
      <x:c r="G12" s="50"/>
      <x:c r="H12" s="50"/>
      <x:c r="I12" s="71"/>
      <x:c r="J12" s="50" t="str">
        <x:v>REGISTRO_CONFIRMADO</x:v>
      </x:c>
      <x:c r="K12" s="70" t="n">
        <x:v>46241.17432534722</x:v>
      </x:c>
      <x:c r="L12" s="50" t="str">
        <x:v>SWING_SETUP</x:v>
      </x:c>
      <x:c r="M12" s="50" t="str">
        <x:v>LONG</x:v>
      </x:c>
      <x:c r="N12" s="72" t="n">
        <x:v>193</x:v>
      </x:c>
      <x:c r="O12" s="72" t="n">
        <x:v>188.67</x:v>
      </x:c>
      <x:c r="P12" s="73" t="n">
        <x:f>IF(OR(N12="",O12=""),"",O12-N12)</x:f>
        <x:v>-4.3300000000000125</x:v>
      </x:c>
      <x:c r="Q12" s="74" t="n">
        <x:f>IF(OR(N12="",O12="",N12=0),"",O12/N12-1)</x:f>
        <x:v>-0.022435233160621793</x:v>
      </x:c>
      <x:c r="R12" s="74" t="n">
        <x:f>IF(M12="SHORT",-Q12,IF(M12="LONG",Q12,""))</x:f>
        <x:v>-0.022435233160621793</x:v>
      </x:c>
      <x:c r="S12" s="75" t="str">
        <x:f>IF(R12="","N/A",IF(R12&gt;0,"GAIN",IF(R12&lt;0,"LOSS","FLAT")))</x:f>
        <x:v>LOSS</x:v>
      </x:c>
      <x:c r="T12" s="76" t="str">
        <x:v>SIP</x:v>
      </x:c>
      <x:c r="U12" s="76" t="str">
        <x:v>FINAL</x:v>
      </x:c>
      <x:c r="V12" s="70" t="n">
        <x:v>46242.043800266205</x:v>
      </x:c>
      <x:c r="W12" s="50" t="str">
        <x:v>SWING_SETUP</x:v>
      </x:c>
      <x:c r="X12" s="50" t="str">
        <x:v>SWING_SETUP:44</x:v>
      </x:c>
      <x:c r="Y12" s="50" t="str">
        <x:f>IF(N12="","NO ALERT PRICE",IF(O12="","NO FRIDAY CLOSE","OK"))</x:f>
        <x:v>OK</x:v>
      </x:c>
    </x:row>
    <x:row r="13">
      <x:c r="A13" s="50" t="str">
        <x:v>APA</x:v>
      </x:c>
      <x:c r="B13" s="50" t="n">
        <x:v>58</x:v>
      </x:c>
      <x:c r="C13" s="70" t="n">
        <x:v>46241.174322928244</x:v>
      </x:c>
      <x:c r="D13" s="50" t="str">
        <x:v>SWING_SETUP</x:v>
      </x:c>
      <x:c r="E13" s="71" t="n">
        <x:v>36.6</x:v>
      </x:c>
      <x:c r="F13" s="70"/>
      <x:c r="G13" s="50"/>
      <x:c r="H13" s="50"/>
      <x:c r="I13" s="71"/>
      <x:c r="J13" s="50" t="str">
        <x:v>REGISTRO_CONFIRMADO</x:v>
      </x:c>
      <x:c r="K13" s="70" t="n">
        <x:v>46241.174322928244</x:v>
      </x:c>
      <x:c r="L13" s="50" t="str">
        <x:v>SWING_SETUP</x:v>
      </x:c>
      <x:c r="M13" s="50" t="str">
        <x:v>LONG</x:v>
      </x:c>
      <x:c r="N13" s="72" t="n">
        <x:v>36.6</x:v>
      </x:c>
      <x:c r="O13" s="72" t="n">
        <x:v>37.63</x:v>
      </x:c>
      <x:c r="P13" s="73" t="n">
        <x:f>IF(OR(N13="",O13=""),"",O13-N13)</x:f>
        <x:v>1.0300000000000011</x:v>
      </x:c>
      <x:c r="Q13" s="74" t="n">
        <x:f>IF(OR(N13="",O13="",N13=0),"",O13/N13-1)</x:f>
        <x:v>0.02814207650273226</x:v>
      </x:c>
      <x:c r="R13" s="74" t="n">
        <x:f>IF(M13="SHORT",-Q13,IF(M13="LONG",Q13,""))</x:f>
        <x:v>0.02814207650273226</x:v>
      </x:c>
      <x:c r="S13" s="75" t="str">
        <x:f>IF(R13="","N/A",IF(R13&gt;0,"GAIN",IF(R13&lt;0,"LOSS","FLAT")))</x:f>
        <x:v>GAIN</x:v>
      </x:c>
      <x:c r="T13" s="76" t="str">
        <x:v>SIP</x:v>
      </x:c>
      <x:c r="U13" s="76" t="str">
        <x:v>FINAL</x:v>
      </x:c>
      <x:c r="V13" s="70" t="n">
        <x:v>46242.04587732639</x:v>
      </x:c>
      <x:c r="W13" s="50" t="str">
        <x:v>SWING_SETUP</x:v>
      </x:c>
      <x:c r="X13" s="50" t="str">
        <x:v>LONG_BUY_ZONE:11, SWING_SETUP:47</x:v>
      </x:c>
      <x:c r="Y13" s="50" t="str">
        <x:f>IF(N13="","NO ALERT PRICE",IF(O13="","NO FRIDAY CLOSE","OK"))</x:f>
        <x:v>OK</x:v>
      </x:c>
    </x:row>
    <x:row r="14">
      <x:c r="A14" s="50" t="str">
        <x:v>APD</x:v>
      </x:c>
      <x:c r="B14" s="50" t="n">
        <x:v>14</x:v>
      </x:c>
      <x:c r="C14" s="70" t="n">
        <x:v>46241.174365150466</x:v>
      </x:c>
      <x:c r="D14" s="50" t="str">
        <x:v>LONG_BUY_ZONE</x:v>
      </x:c>
      <x:c r="E14" s="71" t="n">
        <x:v>299.92</x:v>
      </x:c>
      <x:c r="F14" s="70"/>
      <x:c r="G14" s="50"/>
      <x:c r="H14" s="50"/>
      <x:c r="I14" s="71"/>
      <x:c r="J14" s="50" t="str">
        <x:v>REGISTRO_CONFIRMADO</x:v>
      </x:c>
      <x:c r="K14" s="70" t="n">
        <x:v>46241.174365150466</x:v>
      </x:c>
      <x:c r="L14" s="50" t="str">
        <x:v>LONG_BUY_ZONE</x:v>
      </x:c>
      <x:c r="M14" s="50" t="str">
        <x:v>LONG</x:v>
      </x:c>
      <x:c r="N14" s="72" t="n">
        <x:v>299.92</x:v>
      </x:c>
      <x:c r="O14" s="72" t="n">
        <x:v>303.44</x:v>
      </x:c>
      <x:c r="P14" s="73" t="n">
        <x:f>IF(OR(N14="",O14=""),"",O14-N14)</x:f>
        <x:v>3.519999999999982</x:v>
      </x:c>
      <x:c r="Q14" s="74" t="n">
        <x:f>IF(OR(N14="",O14="",N14=0),"",O14/N14-1)</x:f>
        <x:v>0.011736463056815083</x:v>
      </x:c>
      <x:c r="R14" s="74" t="n">
        <x:f>IF(M14="SHORT",-Q14,IF(M14="LONG",Q14,""))</x:f>
        <x:v>0.011736463056815083</x:v>
      </x:c>
      <x:c r="S14" s="75" t="str">
        <x:f>IF(R14="","N/A",IF(R14&gt;0,"GAIN",IF(R14&lt;0,"LOSS","FLAT")))</x:f>
        <x:v>GAIN</x:v>
      </x:c>
      <x:c r="T14" s="76" t="str">
        <x:v>SIP</x:v>
      </x:c>
      <x:c r="U14" s="76" t="str">
        <x:v>FINAL</x:v>
      </x:c>
      <x:c r="V14" s="70" t="n">
        <x:v>46241.66117104167</x:v>
      </x:c>
      <x:c r="W14" s="50" t="str">
        <x:v>LONG_BUY_ZONE</x:v>
      </x:c>
      <x:c r="X14" s="50" t="str">
        <x:v>LONG_BUY_ZONE:14</x:v>
      </x:c>
      <x:c r="Y14" s="50" t="str">
        <x:f>IF(N14="","NO ALERT PRICE",IF(O14="","NO FRIDAY CLOSE","OK"))</x:f>
        <x:v>OK</x:v>
      </x:c>
    </x:row>
    <x:row r="15">
      <x:c r="A15" s="50" t="str">
        <x:v>APH</x:v>
      </x:c>
      <x:c r="B15" s="50" t="n">
        <x:v>52</x:v>
      </x:c>
      <x:c r="C15" s="70" t="n">
        <x:v>46241.49840709491</x:v>
      </x:c>
      <x:c r="D15" s="50" t="str">
        <x:v>SWING_SETUP</x:v>
      </x:c>
      <x:c r="E15" s="71" t="n">
        <x:v>172.31</x:v>
      </x:c>
      <x:c r="F15" s="70"/>
      <x:c r="G15" s="50"/>
      <x:c r="H15" s="50"/>
      <x:c r="I15" s="71"/>
      <x:c r="J15" s="50" t="str">
        <x:v>REGISTRO_CONFIRMADO</x:v>
      </x:c>
      <x:c r="K15" s="70" t="n">
        <x:v>46241.49840709491</x:v>
      </x:c>
      <x:c r="L15" s="50" t="str">
        <x:v>SWING_SETUP</x:v>
      </x:c>
      <x:c r="M15" s="50" t="str">
        <x:v>LONG</x:v>
      </x:c>
      <x:c r="N15" s="72" t="n">
        <x:v>172.31</x:v>
      </x:c>
      <x:c r="O15" s="72" t="n">
        <x:v>169.18</x:v>
      </x:c>
      <x:c r="P15" s="73" t="n">
        <x:f>IF(OR(N15="",O15=""),"",O15-N15)</x:f>
        <x:v>-3.1299999999999955</x:v>
      </x:c>
      <x:c r="Q15" s="74" t="n">
        <x:f>IF(OR(N15="",O15="",N15=0),"",O15/N15-1)</x:f>
        <x:v>-0.018164935291045237</x:v>
      </x:c>
      <x:c r="R15" s="74" t="n">
        <x:f>IF(M15="SHORT",-Q15,IF(M15="LONG",Q15,""))</x:f>
        <x:v>-0.018164935291045237</x:v>
      </x:c>
      <x:c r="S15" s="75" t="str">
        <x:f>IF(R15="","N/A",IF(R15&gt;0,"GAIN",IF(R15&lt;0,"LOSS","FLAT")))</x:f>
        <x:v>LOSS</x:v>
      </x:c>
      <x:c r="T15" s="76" t="str">
        <x:v>SIP</x:v>
      </x:c>
      <x:c r="U15" s="76" t="str">
        <x:v>FINAL</x:v>
      </x:c>
      <x:c r="V15" s="70" t="n">
        <x:v>46242.047272881944</x:v>
      </x:c>
      <x:c r="W15" s="50" t="str">
        <x:v>SWING_SETUP</x:v>
      </x:c>
      <x:c r="X15" s="50" t="str">
        <x:v>LONG_BUY_ZONE:28, SWING_SETUP:24</x:v>
      </x:c>
      <x:c r="Y15" s="50" t="str">
        <x:f>IF(N15="","NO ALERT PRICE",IF(O15="","NO FRIDAY CLOSE","OK"))</x:f>
        <x:v>OK</x:v>
      </x:c>
    </x:row>
    <x:row r="16">
      <x:c r="A16" s="50" t="str">
        <x:v>BABA</x:v>
      </x:c>
      <x:c r="B16" s="50" t="n">
        <x:v>40</x:v>
      </x:c>
      <x:c r="C16" s="70" t="n">
        <x:v>46241.5319641088</x:v>
      </x:c>
      <x:c r="D16" s="50" t="str">
        <x:v>SWING_SETUP</x:v>
      </x:c>
      <x:c r="E16" s="71" t="n">
        <x:v>127.77</x:v>
      </x:c>
      <x:c r="F16" s="70"/>
      <x:c r="G16" s="50"/>
      <x:c r="H16" s="50"/>
      <x:c r="I16" s="71"/>
      <x:c r="J16" s="50" t="str">
        <x:v>REGISTRO_CONFIRMADO</x:v>
      </x:c>
      <x:c r="K16" s="70" t="n">
        <x:v>46241.5319641088</x:v>
      </x:c>
      <x:c r="L16" s="50" t="str">
        <x:v>SWING_SETUP</x:v>
      </x:c>
      <x:c r="M16" s="50" t="str">
        <x:v>LONG</x:v>
      </x:c>
      <x:c r="N16" s="72" t="n">
        <x:v>127.77</x:v>
      </x:c>
      <x:c r="O16" s="72" t="n">
        <x:v>128.41</x:v>
      </x:c>
      <x:c r="P16" s="73" t="n">
        <x:f>IF(OR(N16="",O16=""),"",O16-N16)</x:f>
        <x:v>0.6400000000000006</x:v>
      </x:c>
      <x:c r="Q16" s="74" t="n">
        <x:f>IF(OR(N16="",O16="",N16=0),"",O16/N16-1)</x:f>
        <x:v>0.005009000547859355</x:v>
      </x:c>
      <x:c r="R16" s="74" t="n">
        <x:f>IF(M16="SHORT",-Q16,IF(M16="LONG",Q16,""))</x:f>
        <x:v>0.005009000547859355</x:v>
      </x:c>
      <x:c r="S16" s="75" t="str">
        <x:f>IF(R16="","N/A",IF(R16&gt;0,"GAIN",IF(R16&lt;0,"LOSS","FLAT")))</x:f>
        <x:v>GAIN</x:v>
      </x:c>
      <x:c r="T16" s="76" t="str">
        <x:v>SIP</x:v>
      </x:c>
      <x:c r="U16" s="76" t="str">
        <x:v>FINAL</x:v>
      </x:c>
      <x:c r="V16" s="70" t="n">
        <x:v>46242.038247627315</x:v>
      </x:c>
      <x:c r="W16" s="50" t="str">
        <x:v>SWING_SETUP</x:v>
      </x:c>
      <x:c r="X16" s="50" t="str">
        <x:v>SWING_SETUP:40</x:v>
      </x:c>
      <x:c r="Y16" s="50" t="str">
        <x:f>IF(N16="","NO ALERT PRICE",IF(O16="","NO FRIDAY CLOSE","OK"))</x:f>
        <x:v>OK</x:v>
      </x:c>
    </x:row>
    <x:row r="17">
      <x:c r="A17" s="50" t="str">
        <x:v>BAC</x:v>
      </x:c>
      <x:c r="B17" s="50" t="n">
        <x:v>48</x:v>
      </x:c>
      <x:c r="C17" s="70" t="n">
        <x:v>46241.17432607639</x:v>
      </x:c>
      <x:c r="D17" s="50" t="str">
        <x:v>SWING_SETUP</x:v>
      </x:c>
      <x:c r="E17" s="71" t="n">
        <x:v>63.02</x:v>
      </x:c>
      <x:c r="F17" s="70"/>
      <x:c r="G17" s="50"/>
      <x:c r="H17" s="50"/>
      <x:c r="I17" s="71"/>
      <x:c r="J17" s="50" t="str">
        <x:v>REGISTRO_CONFIRMADO</x:v>
      </x:c>
      <x:c r="K17" s="70" t="n">
        <x:v>46241.17432607639</x:v>
      </x:c>
      <x:c r="L17" s="50" t="str">
        <x:v>SWING_SETUP</x:v>
      </x:c>
      <x:c r="M17" s="50" t="str">
        <x:v>LONG</x:v>
      </x:c>
      <x:c r="N17" s="72" t="n">
        <x:v>63.02</x:v>
      </x:c>
      <x:c r="O17" s="72" t="n">
        <x:v>63.17</x:v>
      </x:c>
      <x:c r="P17" s="73" t="n">
        <x:f>IF(OR(N17="",O17=""),"",O17-N17)</x:f>
        <x:v>0.14999999999999858</x:v>
      </x:c>
      <x:c r="Q17" s="74" t="n">
        <x:f>IF(OR(N17="",O17="",N17=0),"",O17/N17-1)</x:f>
        <x:v>0.0023801967629324405</x:v>
      </x:c>
      <x:c r="R17" s="74" t="n">
        <x:f>IF(M17="SHORT",-Q17,IF(M17="LONG",Q17,""))</x:f>
        <x:v>0.0023801967629324405</x:v>
      </x:c>
      <x:c r="S17" s="75" t="str">
        <x:f>IF(R17="","N/A",IF(R17&gt;0,"GAIN",IF(R17&lt;0,"LOSS","FLAT")))</x:f>
        <x:v>GAIN</x:v>
      </x:c>
      <x:c r="T17" s="76" t="str">
        <x:v>SIP</x:v>
      </x:c>
      <x:c r="U17" s="76" t="str">
        <x:v>FINAL</x:v>
      </x:c>
      <x:c r="V17" s="70" t="n">
        <x:v>46242.03754450232</x:v>
      </x:c>
      <x:c r="W17" s="50" t="str">
        <x:v>SWING_SETUP</x:v>
      </x:c>
      <x:c r="X17" s="50" t="str">
        <x:v>SWING_SETUP:48</x:v>
      </x:c>
      <x:c r="Y17" s="50" t="str">
        <x:f>IF(N17="","NO ALERT PRICE",IF(O17="","NO FRIDAY CLOSE","OK"))</x:f>
        <x:v>OK</x:v>
      </x:c>
    </x:row>
    <x:row r="18">
      <x:c r="A18" s="50" t="str">
        <x:v>BBWI</x:v>
      </x:c>
      <x:c r="B18" s="50" t="n">
        <x:v>14</x:v>
      </x:c>
      <x:c r="C18" s="70" t="n">
        <x:v>46241.56322454861</x:v>
      </x:c>
      <x:c r="D18" s="50" t="str">
        <x:v>ENTRY_WATCH</x:v>
      </x:c>
      <x:c r="E18" s="71" t="n">
        <x:v>20.025</x:v>
      </x:c>
      <x:c r="F18" s="70"/>
      <x:c r="G18" s="50"/>
      <x:c r="H18" s="50"/>
      <x:c r="I18" s="71"/>
      <x:c r="J18" s="50" t="str">
        <x:v>REGISTRO_CONFIRMADO</x:v>
      </x:c>
      <x:c r="K18" s="70" t="n">
        <x:v>46241.56322454861</x:v>
      </x:c>
      <x:c r="L18" s="50" t="str">
        <x:v>ENTRY_WATCH</x:v>
      </x:c>
      <x:c r="M18" s="50" t="str">
        <x:v>LONG</x:v>
      </x:c>
      <x:c r="N18" s="72" t="n">
        <x:v>20.025</x:v>
      </x:c>
      <x:c r="O18" s="72" t="n">
        <x:v>20.36</x:v>
      </x:c>
      <x:c r="P18" s="73" t="n">
        <x:f>IF(OR(N18="",O18=""),"",O18-N18)</x:f>
        <x:v>0.33500000000000085</x:v>
      </x:c>
      <x:c r="Q18" s="74" t="n">
        <x:f>IF(OR(N18="",O18="",N18=0),"",O18/N18-1)</x:f>
        <x:v>0.016729088639201084</x:v>
      </x:c>
      <x:c r="R18" s="74" t="n">
        <x:f>IF(M18="SHORT",-Q18,IF(M18="LONG",Q18,""))</x:f>
        <x:v>0.016729088639201084</x:v>
      </x:c>
      <x:c r="S18" s="75" t="str">
        <x:f>IF(R18="","N/A",IF(R18&gt;0,"GAIN",IF(R18&lt;0,"LOSS","FLAT")))</x:f>
        <x:v>GAIN</x:v>
      </x:c>
      <x:c r="T18" s="76" t="str">
        <x:v>SIP</x:v>
      </x:c>
      <x:c r="U18" s="76" t="str">
        <x:v>FINAL</x:v>
      </x:c>
      <x:c r="V18" s="70" t="n">
        <x:v>46241.96600954861</x:v>
      </x:c>
      <x:c r="W18" s="50" t="str">
        <x:v>ENTRY_WATCH</x:v>
      </x:c>
      <x:c r="X18" s="50" t="str">
        <x:v>ENTRY_OPPORTUNITY_PROGRESS:1, ENTRY_WATCH:10, SWING_SETUP:3</x:v>
      </x:c>
      <x:c r="Y18" s="50" t="str">
        <x:f>IF(N18="","NO ALERT PRICE",IF(O18="","NO FRIDAY CLOSE","OK"))</x:f>
        <x:v>OK</x:v>
      </x:c>
    </x:row>
    <x:row r="19">
      <x:c r="A19" s="50" t="str">
        <x:v>BKNG</x:v>
      </x:c>
      <x:c r="B19" s="50" t="n">
        <x:v>40</x:v>
      </x:c>
      <x:c r="C19" s="70" t="n">
        <x:v>46241.56322321759</x:v>
      </x:c>
      <x:c r="D19" s="50" t="str">
        <x:v>SWING_SETUP</x:v>
      </x:c>
      <x:c r="E19" s="71" t="n">
        <x:v>206.68</x:v>
      </x:c>
      <x:c r="F19" s="70"/>
      <x:c r="G19" s="50"/>
      <x:c r="H19" s="50"/>
      <x:c r="I19" s="71"/>
      <x:c r="J19" s="50" t="str">
        <x:v>REGISTRO_CONFIRMADO</x:v>
      </x:c>
      <x:c r="K19" s="70" t="n">
        <x:v>46241.56322321759</x:v>
      </x:c>
      <x:c r="L19" s="50" t="str">
        <x:v>SWING_SETUP</x:v>
      </x:c>
      <x:c r="M19" s="50" t="str">
        <x:v>LONG</x:v>
      </x:c>
      <x:c r="N19" s="72" t="n">
        <x:v>206.68</x:v>
      </x:c>
      <x:c r="O19" s="72" t="n">
        <x:v>214.42</x:v>
      </x:c>
      <x:c r="P19" s="73" t="n">
        <x:f>IF(OR(N19="",O19=""),"",O19-N19)</x:f>
        <x:v>7.739999999999981</x:v>
      </x:c>
      <x:c r="Q19" s="74" t="n">
        <x:f>IF(OR(N19="",O19="",N19=0),"",O19/N19-1)</x:f>
        <x:v>0.03744919682601111</x:v>
      </x:c>
      <x:c r="R19" s="74" t="n">
        <x:f>IF(M19="SHORT",-Q19,IF(M19="LONG",Q19,""))</x:f>
        <x:v>0.03744919682601111</x:v>
      </x:c>
      <x:c r="S19" s="75" t="str">
        <x:f>IF(R19="","N/A",IF(R19&gt;0,"GAIN",IF(R19&lt;0,"LOSS","FLAT")))</x:f>
        <x:v>GAIN</x:v>
      </x:c>
      <x:c r="T19" s="76" t="str">
        <x:v>SIP</x:v>
      </x:c>
      <x:c r="U19" s="76" t="str">
        <x:v>FINAL</x:v>
      </x:c>
      <x:c r="V19" s="70" t="n">
        <x:v>46242.03824945602</x:v>
      </x:c>
      <x:c r="W19" s="50" t="str">
        <x:v>SWING_SETUP</x:v>
      </x:c>
      <x:c r="X19" s="50" t="str">
        <x:v>SWING_SETUP:40</x:v>
      </x:c>
      <x:c r="Y19" s="50" t="str">
        <x:f>IF(N19="","NO ALERT PRICE",IF(O19="","NO FRIDAY CLOSE","OK"))</x:f>
        <x:v>OK</x:v>
      </x:c>
    </x:row>
    <x:row r="20">
      <x:c r="A20" s="50" t="str">
        <x:v>BLFS</x:v>
      </x:c>
      <x:c r="B20" s="50" t="n">
        <x:v>33</x:v>
      </x:c>
      <x:c r="C20" s="70" t="n">
        <x:v>46241.584061469905</x:v>
      </x:c>
      <x:c r="D20" s="50" t="str">
        <x:v>SWING_SETUP</x:v>
      </x:c>
      <x:c r="E20" s="71" t="n">
        <x:v>34.5</x:v>
      </x:c>
      <x:c r="F20" s="70"/>
      <x:c r="G20" s="50"/>
      <x:c r="H20" s="50"/>
      <x:c r="I20" s="71"/>
      <x:c r="J20" s="50" t="str">
        <x:v>REGISTRO_CONFIRMADO</x:v>
      </x:c>
      <x:c r="K20" s="70" t="n">
        <x:v>46241.584061469905</x:v>
      </x:c>
      <x:c r="L20" s="50" t="str">
        <x:v>SWING_SETUP</x:v>
      </x:c>
      <x:c r="M20" s="50" t="str">
        <x:v>LONG</x:v>
      </x:c>
      <x:c r="N20" s="72" t="n">
        <x:v>34.5</x:v>
      </x:c>
      <x:c r="O20" s="72" t="n">
        <x:v>34.66</x:v>
      </x:c>
      <x:c r="P20" s="73" t="n">
        <x:f>IF(OR(N20="",O20=""),"",O20-N20)</x:f>
        <x:v>0.1599999999999966</x:v>
      </x:c>
      <x:c r="Q20" s="74" t="n">
        <x:f>IF(OR(N20="",O20="",N20=0),"",O20/N20-1)</x:f>
        <x:v>0.004637681159420204</x:v>
      </x:c>
      <x:c r="R20" s="74" t="n">
        <x:f>IF(M20="SHORT",-Q20,IF(M20="LONG",Q20,""))</x:f>
        <x:v>0.004637681159420204</x:v>
      </x:c>
      <x:c r="S20" s="75" t="str">
        <x:f>IF(R20="","N/A",IF(R20&gt;0,"GAIN",IF(R20&lt;0,"LOSS","FLAT")))</x:f>
        <x:v>GAIN</x:v>
      </x:c>
      <x:c r="T20" s="76" t="str">
        <x:v>SIP</x:v>
      </x:c>
      <x:c r="U20" s="76" t="str">
        <x:v>FINAL</x:v>
      </x:c>
      <x:c r="V20" s="70" t="n">
        <x:v>46242.03824821759</x:v>
      </x:c>
      <x:c r="W20" s="50" t="str">
        <x:v>SWING_SETUP</x:v>
      </x:c>
      <x:c r="X20" s="50" t="str">
        <x:v>SWING_SETUP:33</x:v>
      </x:c>
      <x:c r="Y20" s="50" t="str">
        <x:f>IF(N20="","NO ALERT PRICE",IF(O20="","NO FRIDAY CLOSE","OK"))</x:f>
        <x:v>OK</x:v>
      </x:c>
    </x:row>
    <x:row r="21">
      <x:c r="A21" s="50" t="str">
        <x:v>BLK</x:v>
      </x:c>
      <x:c r="B21" s="50" t="n">
        <x:v>46</x:v>
      </x:c>
      <x:c r="C21" s="70" t="n">
        <x:v>46241.17432625</x:v>
      </x:c>
      <x:c r="D21" s="50" t="str">
        <x:v>SWING_SETUP</x:v>
      </x:c>
      <x:c r="E21" s="71" t="n">
        <x:v>1128</x:v>
      </x:c>
      <x:c r="F21" s="70"/>
      <x:c r="G21" s="50"/>
      <x:c r="H21" s="50"/>
      <x:c r="I21" s="71"/>
      <x:c r="J21" s="50" t="str">
        <x:v>REGISTRO_CONFIRMADO</x:v>
      </x:c>
      <x:c r="K21" s="70" t="n">
        <x:v>46241.17432625</x:v>
      </x:c>
      <x:c r="L21" s="50" t="str">
        <x:v>SWING_SETUP</x:v>
      </x:c>
      <x:c r="M21" s="50" t="str">
        <x:v>LONG</x:v>
      </x:c>
      <x:c r="N21" s="72" t="n">
        <x:v>1128</x:v>
      </x:c>
      <x:c r="O21" s="72" t="n">
        <x:v>1136.39</x:v>
      </x:c>
      <x:c r="P21" s="73" t="n">
        <x:f>IF(OR(N21="",O21=""),"",O21-N21)</x:f>
        <x:v>8.3900000000001</x:v>
      </x:c>
      <x:c r="Q21" s="74" t="n">
        <x:f>IF(OR(N21="",O21="",N21=0),"",O21/N21-1)</x:f>
        <x:v>0.007437943262411428</x:v>
      </x:c>
      <x:c r="R21" s="74" t="n">
        <x:f>IF(M21="SHORT",-Q21,IF(M21="LONG",Q21,""))</x:f>
        <x:v>0.007437943262411428</x:v>
      </x:c>
      <x:c r="S21" s="75" t="str">
        <x:f>IF(R21="","N/A",IF(R21&gt;0,"GAIN",IF(R21&lt;0,"LOSS","FLAT")))</x:f>
        <x:v>GAIN</x:v>
      </x:c>
      <x:c r="T21" s="76" t="str">
        <x:v>SIP</x:v>
      </x:c>
      <x:c r="U21" s="76" t="str">
        <x:v>FINAL</x:v>
      </x:c>
      <x:c r="V21" s="70" t="n">
        <x:v>46242.0382443287</x:v>
      </x:c>
      <x:c r="W21" s="50" t="str">
        <x:v>SWING_SETUP</x:v>
      </x:c>
      <x:c r="X21" s="50" t="str">
        <x:v>SWING_SETUP:46</x:v>
      </x:c>
      <x:c r="Y21" s="50" t="str">
        <x:f>IF(N21="","NO ALERT PRICE",IF(O21="","NO FRIDAY CLOSE","OK"))</x:f>
        <x:v>OK</x:v>
      </x:c>
    </x:row>
    <x:row r="22">
      <x:c r="A22" s="50" t="str">
        <x:v>BMY</x:v>
      </x:c>
      <x:c r="B22" s="50" t="n">
        <x:v>48</x:v>
      </x:c>
      <x:c r="C22" s="70" t="n">
        <x:v>46241.17432630787</x:v>
      </x:c>
      <x:c r="D22" s="50" t="str">
        <x:v>SWING_SETUP</x:v>
      </x:c>
      <x:c r="E22" s="71" t="n">
        <x:v>64.01</x:v>
      </x:c>
      <x:c r="F22" s="70"/>
      <x:c r="G22" s="50"/>
      <x:c r="H22" s="50"/>
      <x:c r="I22" s="71"/>
      <x:c r="J22" s="50" t="str">
        <x:v>REGISTRO_CONFIRMADO</x:v>
      </x:c>
      <x:c r="K22" s="70" t="n">
        <x:v>46241.17432630787</x:v>
      </x:c>
      <x:c r="L22" s="50" t="str">
        <x:v>SWING_SETUP</x:v>
      </x:c>
      <x:c r="M22" s="50" t="str">
        <x:v>LONG</x:v>
      </x:c>
      <x:c r="N22" s="72" t="n">
        <x:v>64.01</x:v>
      </x:c>
      <x:c r="O22" s="72" t="n">
        <x:v>64.72</x:v>
      </x:c>
      <x:c r="P22" s="73" t="n">
        <x:f>IF(OR(N22="",O22=""),"",O22-N22)</x:f>
        <x:v>0.7099999999999937</x:v>
      </x:c>
      <x:c r="Q22" s="74" t="n">
        <x:f>IF(OR(N22="",O22="",N22=0),"",O22/N22-1)</x:f>
        <x:v>0.011092016872363608</x:v>
      </x:c>
      <x:c r="R22" s="74" t="n">
        <x:f>IF(M22="SHORT",-Q22,IF(M22="LONG",Q22,""))</x:f>
        <x:v>0.011092016872363608</x:v>
      </x:c>
      <x:c r="S22" s="75" t="str">
        <x:f>IF(R22="","N/A",IF(R22&gt;0,"GAIN",IF(R22&lt;0,"LOSS","FLAT")))</x:f>
        <x:v>GAIN</x:v>
      </x:c>
      <x:c r="T22" s="76" t="str">
        <x:v>SIP</x:v>
      </x:c>
      <x:c r="U22" s="76" t="str">
        <x:v>FINAL</x:v>
      </x:c>
      <x:c r="V22" s="70" t="n">
        <x:v>46242.044492002315</x:v>
      </x:c>
      <x:c r="W22" s="50" t="str">
        <x:v>SWING_SETUP</x:v>
      </x:c>
      <x:c r="X22" s="50" t="str">
        <x:v>SWING_SETUP:48</x:v>
      </x:c>
      <x:c r="Y22" s="50" t="str">
        <x:f>IF(N22="","NO ALERT PRICE",IF(O22="","NO FRIDAY CLOSE","OK"))</x:f>
        <x:v>OK</x:v>
      </x:c>
    </x:row>
    <x:row r="23">
      <x:c r="A23" s="50" t="str">
        <x:v>CEG</x:v>
      </x:c>
      <x:c r="B23" s="50" t="n">
        <x:v>50</x:v>
      </x:c>
      <x:c r="C23" s="70" t="n">
        <x:v>46241.174323148145</x:v>
      </x:c>
      <x:c r="D23" s="50" t="str">
        <x:v>SWING_SETUP</x:v>
      </x:c>
      <x:c r="E23" s="71" t="n">
        <x:v>262.4404</x:v>
      </x:c>
      <x:c r="F23" s="70"/>
      <x:c r="G23" s="50"/>
      <x:c r="H23" s="50"/>
      <x:c r="I23" s="71"/>
      <x:c r="J23" s="50" t="str">
        <x:v>REGISTRO_CONFIRMADO</x:v>
      </x:c>
      <x:c r="K23" s="70" t="n">
        <x:v>46241.174323148145</x:v>
      </x:c>
      <x:c r="L23" s="50" t="str">
        <x:v>SWING_SETUP</x:v>
      </x:c>
      <x:c r="M23" s="50" t="str">
        <x:v>LONG</x:v>
      </x:c>
      <x:c r="N23" s="72" t="n">
        <x:v>262.4404</x:v>
      </x:c>
      <x:c r="O23" s="72" t="n">
        <x:v>269.89</x:v>
      </x:c>
      <x:c r="P23" s="73" t="n">
        <x:f>IF(OR(N23="",O23=""),"",O23-N23)</x:f>
        <x:v>7.449599999999975</x:v>
      </x:c>
      <x:c r="Q23" s="74" t="n">
        <x:f>IF(OR(N23="",O23="",N23=0),"",O23/N23-1)</x:f>
        <x:v>0.028385873516425075</x:v>
      </x:c>
      <x:c r="R23" s="74" t="n">
        <x:f>IF(M23="SHORT",-Q23,IF(M23="LONG",Q23,""))</x:f>
        <x:v>0.028385873516425075</x:v>
      </x:c>
      <x:c r="S23" s="75" t="str">
        <x:f>IF(R23="","N/A",IF(R23&gt;0,"GAIN",IF(R23&lt;0,"LOSS","FLAT")))</x:f>
        <x:v>GAIN</x:v>
      </x:c>
      <x:c r="T23" s="76" t="str">
        <x:v>SIP</x:v>
      </x:c>
      <x:c r="U23" s="76" t="str">
        <x:v>FINAL</x:v>
      </x:c>
      <x:c r="V23" s="70" t="n">
        <x:v>46242.04379546296</x:v>
      </x:c>
      <x:c r="W23" s="50" t="str">
        <x:v>SWING_SETUP</x:v>
      </x:c>
      <x:c r="X23" s="50" t="str">
        <x:v>SWING_SETUP:50</x:v>
      </x:c>
      <x:c r="Y23" s="50" t="str">
        <x:f>IF(N23="","NO ALERT PRICE",IF(O23="","NO FRIDAY CLOSE","OK"))</x:f>
        <x:v>OK</x:v>
      </x:c>
    </x:row>
    <x:row r="24">
      <x:c r="A24" s="50" t="str">
        <x:v>CELH</x:v>
      </x:c>
      <x:c r="B24" s="50" t="n">
        <x:v>1</x:v>
      </x:c>
      <x:c r="C24" s="70" t="n">
        <x:v>46241.55557226852</x:v>
      </x:c>
      <x:c r="D24" s="50" t="str">
        <x:v>BEARISH_CONSENSUS</x:v>
      </x:c>
      <x:c r="E24" s="71" t="n">
        <x:v>23.9997</x:v>
      </x:c>
      <x:c r="F24" s="70"/>
      <x:c r="G24" s="50"/>
      <x:c r="H24" s="50"/>
      <x:c r="I24" s="71"/>
      <x:c r="J24" s="50" t="str">
        <x:v>REGISTRO_CONFIRMADO</x:v>
      </x:c>
      <x:c r="K24" s="70" t="n">
        <x:v>46241.55557226852</x:v>
      </x:c>
      <x:c r="L24" s="50" t="str">
        <x:v>BEARISH_CONSENSUS</x:v>
      </x:c>
      <x:c r="M24" s="50" t="str">
        <x:v>SHORT</x:v>
      </x:c>
      <x:c r="N24" s="72" t="n">
        <x:v>23.9997</x:v>
      </x:c>
      <x:c r="O24" s="72" t="n">
        <x:v>27.77</x:v>
      </x:c>
      <x:c r="P24" s="73" t="n">
        <x:f>IF(OR(N24="",O24=""),"",O24-N24)</x:f>
        <x:v>3.770299999999999</x:v>
      </x:c>
      <x:c r="Q24" s="74" t="n">
        <x:f>IF(OR(N24="",O24="",N24=0),"",O24/N24-1)</x:f>
        <x:v>0.15709779705579652</x:v>
      </x:c>
      <x:c r="R24" s="74" t="n">
        <x:f>IF(M24="SHORT",-Q24,IF(M24="LONG",Q24,""))</x:f>
        <x:v>-0.15709779705579652</x:v>
      </x:c>
      <x:c r="S24" s="75" t="str">
        <x:f>IF(R24="","N/A",IF(R24&gt;0,"GAIN",IF(R24&lt;0,"LOSS","FLAT")))</x:f>
        <x:v>LOSS</x:v>
      </x:c>
      <x:c r="T24" s="76" t="str">
        <x:v>SIP</x:v>
      </x:c>
      <x:c r="U24" s="76" t="str">
        <x:v>FINAL</x:v>
      </x:c>
      <x:c r="V24" s="70" t="n">
        <x:v>46241.55557226852</x:v>
      </x:c>
      <x:c r="W24" s="50" t="str">
        <x:v>BEARISH_CONSENSUS</x:v>
      </x:c>
      <x:c r="X24" s="50" t="str">
        <x:v>BEARISH_CONSENSUS:1</x:v>
      </x:c>
      <x:c r="Y24" s="50" t="str">
        <x:f>IF(N24="","NO ALERT PRICE",IF(O24="","NO FRIDAY CLOSE","OK"))</x:f>
        <x:v>OK</x:v>
      </x:c>
    </x:row>
    <x:row r="25">
      <x:c r="A25" s="50" t="str">
        <x:v>CLPT</x:v>
      </x:c>
      <x:c r="B25" s="50" t="n">
        <x:v>21</x:v>
      </x:c>
      <x:c r="C25" s="70" t="n">
        <x:v>46241.57088254629</x:v>
      </x:c>
      <x:c r="D25" s="50" t="str">
        <x:v>ENTRY_WATCH</x:v>
      </x:c>
      <x:c r="E25" s="71" t="n">
        <x:v>14.285</x:v>
      </x:c>
      <x:c r="F25" s="70"/>
      <x:c r="G25" s="50"/>
      <x:c r="H25" s="50"/>
      <x:c r="I25" s="71"/>
      <x:c r="J25" s="50" t="str">
        <x:v>REGISTRO_CONFIRMADO</x:v>
      </x:c>
      <x:c r="K25" s="70" t="n">
        <x:v>46241.57088254629</x:v>
      </x:c>
      <x:c r="L25" s="50" t="str">
        <x:v>ENTRY_WATCH</x:v>
      </x:c>
      <x:c r="M25" s="50" t="str">
        <x:v>LONG</x:v>
      </x:c>
      <x:c r="N25" s="72" t="n">
        <x:v>14.285</x:v>
      </x:c>
      <x:c r="O25" s="72" t="n">
        <x:v>14.21</x:v>
      </x:c>
      <x:c r="P25" s="73" t="n">
        <x:f>IF(OR(N25="",O25=""),"",O25-N25)</x:f>
        <x:v>-0.07499999999999929</x:v>
      </x:c>
      <x:c r="Q25" s="74" t="n">
        <x:f>IF(OR(N25="",O25="",N25=0),"",O25/N25-1)</x:f>
        <x:v>-0.005250262513125659</x:v>
      </x:c>
      <x:c r="R25" s="74" t="n">
        <x:f>IF(M25="SHORT",-Q25,IF(M25="LONG",Q25,""))</x:f>
        <x:v>-0.005250262513125659</x:v>
      </x:c>
      <x:c r="S25" s="75" t="str">
        <x:f>IF(R25="","N/A",IF(R25&gt;0,"GAIN",IF(R25&lt;0,"LOSS","FLAT")))</x:f>
        <x:v>LOSS</x:v>
      </x:c>
      <x:c r="T25" s="76" t="str">
        <x:v>SIP</x:v>
      </x:c>
      <x:c r="U25" s="76" t="str">
        <x:v>FINAL</x:v>
      </x:c>
      <x:c r="V25" s="70" t="n">
        <x:v>46241.980603310185</x:v>
      </x:c>
      <x:c r="W25" s="50" t="str">
        <x:v>ENTRY_WATCH</x:v>
      </x:c>
      <x:c r="X25" s="50" t="str">
        <x:v>ENTRY_OPPORTUNITY_PROGRESS:2, ENTRY_WATCH:19</x:v>
      </x:c>
      <x:c r="Y25" s="50" t="str">
        <x:f>IF(N25="","NO ALERT PRICE",IF(O25="","NO FRIDAY CLOSE","OK"))</x:f>
        <x:v>OK</x:v>
      </x:c>
    </x:row>
    <x:row r="26">
      <x:c r="A26" s="50" t="str">
        <x:v>COP</x:v>
      </x:c>
      <x:c r="B26" s="50" t="n">
        <x:v>43</x:v>
      </x:c>
      <x:c r="C26" s="70" t="n">
        <x:v>46241.563231875</x:v>
      </x:c>
      <x:c r="D26" s="50" t="str">
        <x:v>SWING_SETUP</x:v>
      </x:c>
      <x:c r="E26" s="71" t="n">
        <x:v>116.2</x:v>
      </x:c>
      <x:c r="F26" s="70"/>
      <x:c r="G26" s="50"/>
      <x:c r="H26" s="50"/>
      <x:c r="I26" s="71"/>
      <x:c r="J26" s="50" t="str">
        <x:v>REGISTRO_CONFIRMADO</x:v>
      </x:c>
      <x:c r="K26" s="70" t="n">
        <x:v>46241.563231875</x:v>
      </x:c>
      <x:c r="L26" s="50" t="str">
        <x:v>SWING_SETUP</x:v>
      </x:c>
      <x:c r="M26" s="50" t="str">
        <x:v>LONG</x:v>
      </x:c>
      <x:c r="N26" s="72" t="n">
        <x:v>116.2</x:v>
      </x:c>
      <x:c r="O26" s="72" t="n">
        <x:v>117.61</x:v>
      </x:c>
      <x:c r="P26" s="73" t="n">
        <x:f>IF(OR(N26="",O26=""),"",O26-N26)</x:f>
        <x:v>1.4099999999999966</x:v>
      </x:c>
      <x:c r="Q26" s="74" t="n">
        <x:f>IF(OR(N26="",O26="",N26=0),"",O26/N26-1)</x:f>
        <x:v>0.012134251290877751</x:v>
      </x:c>
      <x:c r="R26" s="74" t="n">
        <x:f>IF(M26="SHORT",-Q26,IF(M26="LONG",Q26,""))</x:f>
        <x:v>0.012134251290877751</x:v>
      </x:c>
      <x:c r="S26" s="75" t="str">
        <x:f>IF(R26="","N/A",IF(R26&gt;0,"GAIN",IF(R26&lt;0,"LOSS","FLAT")))</x:f>
        <x:v>GAIN</x:v>
      </x:c>
      <x:c r="T26" s="76" t="str">
        <x:v>SIP</x:v>
      </x:c>
      <x:c r="U26" s="76" t="str">
        <x:v>FINAL</x:v>
      </x:c>
      <x:c r="V26" s="70" t="n">
        <x:v>46242.043800810185</x:v>
      </x:c>
      <x:c r="W26" s="50" t="str">
        <x:v>SWING_SETUP</x:v>
      </x:c>
      <x:c r="X26" s="50" t="str">
        <x:v>SWING_SETUP:43</x:v>
      </x:c>
      <x:c r="Y26" s="50" t="str">
        <x:f>IF(N26="","NO ALERT PRICE",IF(O26="","NO FRIDAY CLOSE","OK"))</x:f>
        <x:v>OK</x:v>
      </x:c>
    </x:row>
    <x:row r="27">
      <x:c r="A27" s="50" t="str">
        <x:v>CRM</x:v>
      </x:c>
      <x:c r="B27" s="50" t="n">
        <x:v>12</x:v>
      </x:c>
      <x:c r="C27" s="70" t="n">
        <x:v>46241.60003028935</x:v>
      </x:c>
      <x:c r="D27" s="50" t="str">
        <x:v>SWING_SETUP</x:v>
      </x:c>
      <x:c r="E27" s="71" t="n">
        <x:v>192.465</x:v>
      </x:c>
      <x:c r="F27" s="70"/>
      <x:c r="G27" s="50"/>
      <x:c r="H27" s="50"/>
      <x:c r="I27" s="71"/>
      <x:c r="J27" s="50" t="str">
        <x:v>REGISTRO_CONFIRMADO</x:v>
      </x:c>
      <x:c r="K27" s="70" t="n">
        <x:v>46241.60003028935</x:v>
      </x:c>
      <x:c r="L27" s="50" t="str">
        <x:v>SWING_SETUP</x:v>
      </x:c>
      <x:c r="M27" s="50" t="str">
        <x:v>LONG</x:v>
      </x:c>
      <x:c r="N27" s="72" t="n">
        <x:v>192.465</x:v>
      </x:c>
      <x:c r="O27" s="72" t="n">
        <x:v>192.74</x:v>
      </x:c>
      <x:c r="P27" s="73" t="n">
        <x:f>IF(OR(N27="",O27=""),"",O27-N27)</x:f>
        <x:v>0.2750000000000057</x:v>
      </x:c>
      <x:c r="Q27" s="74" t="n">
        <x:f>IF(OR(N27="",O27="",N27=0),"",O27/N27-1)</x:f>
        <x:v>0.001428831216065296</x:v>
      </x:c>
      <x:c r="R27" s="74" t="n">
        <x:f>IF(M27="SHORT",-Q27,IF(M27="LONG",Q27,""))</x:f>
        <x:v>0.001428831216065296</x:v>
      </x:c>
      <x:c r="S27" s="75" t="str">
        <x:f>IF(R27="","N/A",IF(R27&gt;0,"GAIN",IF(R27&lt;0,"LOSS","FLAT")))</x:f>
        <x:v>GAIN</x:v>
      </x:c>
      <x:c r="T27" s="76" t="str">
        <x:v>SIP</x:v>
      </x:c>
      <x:c r="U27" s="76" t="str">
        <x:v>FINAL</x:v>
      </x:c>
      <x:c r="V27" s="70" t="n">
        <x:v>46241.84517457176</x:v>
      </x:c>
      <x:c r="W27" s="50" t="str">
        <x:v>SWING_SETUP</x:v>
      </x:c>
      <x:c r="X27" s="50" t="str">
        <x:v>SWING_SETUP:12</x:v>
      </x:c>
      <x:c r="Y27" s="50" t="str">
        <x:f>IF(N27="","NO ALERT PRICE",IF(O27="","NO FRIDAY CLOSE","OK"))</x:f>
        <x:v>OK</x:v>
      </x:c>
    </x:row>
    <x:row r="28">
      <x:c r="A28" s="50" t="str">
        <x:v>CROX</x:v>
      </x:c>
      <x:c r="B28" s="50" t="n">
        <x:v>38</x:v>
      </x:c>
      <x:c r="C28" s="70" t="n">
        <x:v>46241.498408761574</x:v>
      </x:c>
      <x:c r="D28" s="50" t="str">
        <x:v>SWING_SETUP</x:v>
      </x:c>
      <x:c r="E28" s="71" t="n">
        <x:v>134.45</x:v>
      </x:c>
      <x:c r="F28" s="70"/>
      <x:c r="G28" s="50"/>
      <x:c r="H28" s="50"/>
      <x:c r="I28" s="71"/>
      <x:c r="J28" s="50" t="str">
        <x:v>REGISTRO_CONFIRMADO</x:v>
      </x:c>
      <x:c r="K28" s="70" t="n">
        <x:v>46241.498408761574</x:v>
      </x:c>
      <x:c r="L28" s="50" t="str">
        <x:v>SWING_SETUP</x:v>
      </x:c>
      <x:c r="M28" s="50" t="str">
        <x:v>LONG</x:v>
      </x:c>
      <x:c r="N28" s="72" t="n">
        <x:v>134.45</x:v>
      </x:c>
      <x:c r="O28" s="72" t="n">
        <x:v>136.62</x:v>
      </x:c>
      <x:c r="P28" s="73" t="n">
        <x:f>IF(OR(N28="",O28=""),"",O28-N28)</x:f>
        <x:v>2.170000000000016</x:v>
      </x:c>
      <x:c r="Q28" s="74" t="n">
        <x:f>IF(OR(N28="",O28="",N28=0),"",O28/N28-1)</x:f>
        <x:v>0.016139828932688838</x:v>
      </x:c>
      <x:c r="R28" s="74" t="n">
        <x:f>IF(M28="SHORT",-Q28,IF(M28="LONG",Q28,""))</x:f>
        <x:v>0.016139828932688838</x:v>
      </x:c>
      <x:c r="S28" s="75" t="str">
        <x:f>IF(R28="","N/A",IF(R28&gt;0,"GAIN",IF(R28&lt;0,"LOSS","FLAT")))</x:f>
        <x:v>GAIN</x:v>
      </x:c>
      <x:c r="T28" s="76" t="str">
        <x:v>SIP</x:v>
      </x:c>
      <x:c r="U28" s="76" t="str">
        <x:v>FINAL</x:v>
      </x:c>
      <x:c r="V28" s="70" t="n">
        <x:v>46242.04240784722</x:v>
      </x:c>
      <x:c r="W28" s="50" t="str">
        <x:v>SWING_SETUP</x:v>
      </x:c>
      <x:c r="X28" s="50" t="str">
        <x:v>SWING_SETUP:38</x:v>
      </x:c>
      <x:c r="Y28" s="50" t="str">
        <x:f>IF(N28="","NO ALERT PRICE",IF(O28="","NO FRIDAY CLOSE","OK"))</x:f>
        <x:v>OK</x:v>
      </x:c>
    </x:row>
    <x:row r="29">
      <x:c r="A29" s="50" t="str">
        <x:v>CTRE</x:v>
      </x:c>
      <x:c r="B29" s="50" t="n">
        <x:v>1</x:v>
      </x:c>
      <x:c r="C29" s="70" t="n">
        <x:v>46241.834084814815</x:v>
      </x:c>
      <x:c r="D29" s="50" t="str">
        <x:v>SWING_SETUP</x:v>
      </x:c>
      <x:c r="E29" s="71" t="n">
        <x:v>41.22</x:v>
      </x:c>
      <x:c r="F29" s="70"/>
      <x:c r="G29" s="50"/>
      <x:c r="H29" s="50"/>
      <x:c r="I29" s="71"/>
      <x:c r="J29" s="50" t="str">
        <x:v>REGISTRO_CONFIRMADO</x:v>
      </x:c>
      <x:c r="K29" s="70" t="n">
        <x:v>46241.834084814815</x:v>
      </x:c>
      <x:c r="L29" s="50" t="str">
        <x:v>SWING_SETUP</x:v>
      </x:c>
      <x:c r="M29" s="50" t="str">
        <x:v>LONG</x:v>
      </x:c>
      <x:c r="N29" s="72" t="n">
        <x:v>41.22</x:v>
      </x:c>
      <x:c r="O29" s="72" t="n">
        <x:v>41.22</x:v>
      </x:c>
      <x:c r="P29" s="73" t="n">
        <x:f>IF(OR(N29="",O29=""),"",O29-N29)</x:f>
        <x:v>0</x:v>
      </x:c>
      <x:c r="Q29" s="74" t="n">
        <x:f>IF(OR(N29="",O29="",N29=0),"",O29/N29-1)</x:f>
        <x:v>0</x:v>
      </x:c>
      <x:c r="R29" s="74" t="n">
        <x:f>IF(M29="SHORT",-Q29,IF(M29="LONG",Q29,""))</x:f>
        <x:v>0</x:v>
      </x:c>
      <x:c r="S29" s="75" t="str">
        <x:f>IF(R29="","N/A",IF(R29&gt;0,"GAIN",IF(R29&lt;0,"LOSS","FLAT")))</x:f>
        <x:v>N/A</x:v>
      </x:c>
      <x:c r="T29" s="76" t="str">
        <x:v>SIP</x:v>
      </x:c>
      <x:c r="U29" s="76" t="str">
        <x:v>FINAL</x:v>
      </x:c>
      <x:c r="V29" s="70" t="n">
        <x:v>46241.834084814815</x:v>
      </x:c>
      <x:c r="W29" s="50" t="str">
        <x:v>SWING_SETUP</x:v>
      </x:c>
      <x:c r="X29" s="50" t="str">
        <x:v>SWING_SETUP:1</x:v>
      </x:c>
      <x:c r="Y29" s="50" t="str">
        <x:f>IF(N29="","NO ALERT PRICE",IF(O29="","NO FRIDAY CLOSE","OK"))</x:f>
        <x:v>OK</x:v>
      </x:c>
    </x:row>
    <x:row r="30">
      <x:c r="A30" s="50" t="str">
        <x:v>CVX</x:v>
      </x:c>
      <x:c r="B30" s="50" t="n">
        <x:v>6</x:v>
      </x:c>
      <x:c r="C30" s="70" t="n">
        <x:v>46241.17436182871</x:v>
      </x:c>
      <x:c r="D30" s="50" t="str">
        <x:v>LONG_BUY_ZONE</x:v>
      </x:c>
      <x:c r="E30" s="71" t="n">
        <x:v>189.23</x:v>
      </x:c>
      <x:c r="F30" s="70"/>
      <x:c r="G30" s="50"/>
      <x:c r="H30" s="50"/>
      <x:c r="I30" s="71"/>
      <x:c r="J30" s="50" t="str">
        <x:v>REGISTRO_CONFIRMADO</x:v>
      </x:c>
      <x:c r="K30" s="70" t="n">
        <x:v>46241.17436182871</x:v>
      </x:c>
      <x:c r="L30" s="50" t="str">
        <x:v>LONG_BUY_ZONE</x:v>
      </x:c>
      <x:c r="M30" s="50" t="str">
        <x:v>LONG</x:v>
      </x:c>
      <x:c r="N30" s="72" t="n">
        <x:v>189.23</x:v>
      </x:c>
      <x:c r="O30" s="72" t="n">
        <x:v>186.56</x:v>
      </x:c>
      <x:c r="P30" s="73" t="n">
        <x:f>IF(OR(N30="",O30=""),"",O30-N30)</x:f>
        <x:v>-2.6699999999999875</x:v>
      </x:c>
      <x:c r="Q30" s="74" t="n">
        <x:f>IF(OR(N30="",O30="",N30=0),"",O30/N30-1)</x:f>
        <x:v>-0.014109813454526221</x:v>
      </x:c>
      <x:c r="R30" s="74" t="n">
        <x:f>IF(M30="SHORT",-Q30,IF(M30="LONG",Q30,""))</x:f>
        <x:v>-0.014109813454526221</x:v>
      </x:c>
      <x:c r="S30" s="75" t="str">
        <x:f>IF(R30="","N/A",IF(R30&gt;0,"GAIN",IF(R30&lt;0,"LOSS","FLAT")))</x:f>
        <x:v>LOSS</x:v>
      </x:c>
      <x:c r="T30" s="76" t="str">
        <x:v>SIP</x:v>
      </x:c>
      <x:c r="U30" s="76" t="str">
        <x:v>FINAL</x:v>
      </x:c>
      <x:c r="V30" s="70" t="n">
        <x:v>46241.55557510417</x:v>
      </x:c>
      <x:c r="W30" s="50" t="str">
        <x:v>LONG_BUY_ZONE</x:v>
      </x:c>
      <x:c r="X30" s="50" t="str">
        <x:v>LONG_BUY_ZONE:6</x:v>
      </x:c>
      <x:c r="Y30" s="50" t="str">
        <x:f>IF(N30="","NO ALERT PRICE",IF(O30="","NO FRIDAY CLOSE","OK"))</x:f>
        <x:v>OK</x:v>
      </x:c>
    </x:row>
    <x:row r="31">
      <x:c r="A31" s="50" t="str">
        <x:v>DASH</x:v>
      </x:c>
      <x:c r="B31" s="50" t="n">
        <x:v>24</x:v>
      </x:c>
      <x:c r="C31" s="70" t="n">
        <x:v>46241.17432709491</x:v>
      </x:c>
      <x:c r="D31" s="50" t="str">
        <x:v>SWING_SETUP</x:v>
      </x:c>
      <x:c r="E31" s="71" t="n">
        <x:v>213.028</x:v>
      </x:c>
      <x:c r="F31" s="70" t="n">
        <x:v>46241.71116704861</x:v>
      </x:c>
      <x:c r="G31" s="50" t="str">
        <x:v>ENTRY_CONFIRMED</x:v>
      </x:c>
      <x:c r="H31" s="50" t="str">
        <x:v>L2_SWING_CONFIRMED</x:v>
      </x:c>
      <x:c r="I31" s="71" t="n">
        <x:v>221.35</x:v>
      </x:c>
      <x:c r="J31" s="50" t="str">
        <x:v>REGISTRO_L1_L4</x:v>
      </x:c>
      <x:c r="K31" s="70" t="n">
        <x:v>46241.71116704861</x:v>
      </x:c>
      <x:c r="L31" s="50" t="str">
        <x:v>ENTRY_CONFIRMED</x:v>
      </x:c>
      <x:c r="M31" s="50" t="str">
        <x:v>LONG</x:v>
      </x:c>
      <x:c r="N31" s="72" t="n">
        <x:v>221.35</x:v>
      </x:c>
      <x:c r="O31" s="72" t="n">
        <x:v>216.26</x:v>
      </x:c>
      <x:c r="P31" s="73" t="n">
        <x:f>IF(OR(N31="",O31=""),"",O31-N31)</x:f>
        <x:v>-5.090000000000003</x:v>
      </x:c>
      <x:c r="Q31" s="74" t="n">
        <x:f>IF(OR(N31="",O31="",N31=0),"",O31/N31-1)</x:f>
        <x:v>-0.022995256381296625</x:v>
      </x:c>
      <x:c r="R31" s="74" t="n">
        <x:f>IF(M31="SHORT",-Q31,IF(M31="LONG",Q31,""))</x:f>
        <x:v>-0.022995256381296625</x:v>
      </x:c>
      <x:c r="S31" s="75" t="str">
        <x:f>IF(R31="","N/A",IF(R31&gt;0,"GAIN",IF(R31&lt;0,"LOSS","FLAT")))</x:f>
        <x:v>LOSS</x:v>
      </x:c>
      <x:c r="T31" s="76" t="str">
        <x:v>SIP</x:v>
      </x:c>
      <x:c r="U31" s="76" t="str">
        <x:v>FINAL</x:v>
      </x:c>
      <x:c r="V31" s="70" t="n">
        <x:v>46241.821570092594</x:v>
      </x:c>
      <x:c r="W31" s="50" t="str">
        <x:v>SWING_SETUP</x:v>
      </x:c>
      <x:c r="X31" s="50" t="str">
        <x:v>ENTRY_CONFIRMED:1, SWING_SETUP:23</x:v>
      </x:c>
      <x:c r="Y31" s="50" t="str">
        <x:f>IF(N31="","NO ALERT PRICE",IF(O31="","NO FRIDAY CLOSE","OK"))</x:f>
        <x:v>OK</x:v>
      </x:c>
    </x:row>
    <x:row r="32">
      <x:c r="A32" s="50" t="str">
        <x:v>DCTH</x:v>
      </x:c>
      <x:c r="B32" s="50" t="n">
        <x:v>5</x:v>
      </x:c>
      <x:c r="C32" s="70" t="n">
        <x:v>46241.56322931713</x:v>
      </x:c>
      <x:c r="D32" s="50" t="str">
        <x:v>SWING_SETUP</x:v>
      </x:c>
      <x:c r="E32" s="71" t="n">
        <x:v>15.7678</x:v>
      </x:c>
      <x:c r="F32" s="70"/>
      <x:c r="G32" s="50"/>
      <x:c r="H32" s="50"/>
      <x:c r="I32" s="71"/>
      <x:c r="J32" s="50" t="str">
        <x:v>REGISTRO_CONFIRMADO</x:v>
      </x:c>
      <x:c r="K32" s="70" t="n">
        <x:v>46241.56322931713</x:v>
      </x:c>
      <x:c r="L32" s="50" t="str">
        <x:v>SWING_SETUP</x:v>
      </x:c>
      <x:c r="M32" s="50" t="str">
        <x:v>LONG</x:v>
      </x:c>
      <x:c r="N32" s="72" t="n">
        <x:v>15.7678</x:v>
      </x:c>
      <x:c r="O32" s="72" t="n">
        <x:v>15.11</x:v>
      </x:c>
      <x:c r="P32" s="73" t="n">
        <x:f>IF(OR(N32="",O32=""),"",O32-N32)</x:f>
        <x:v>-0.6577999999999999</x:v>
      </x:c>
      <x:c r="Q32" s="74" t="n">
        <x:f>IF(OR(N32="",O32="",N32=0),"",O32/N32-1)</x:f>
        <x:v>-0.041717931480612425</x:v>
      </x:c>
      <x:c r="R32" s="74" t="n">
        <x:f>IF(M32="SHORT",-Q32,IF(M32="LONG",Q32,""))</x:f>
        <x:v>-0.041717931480612425</x:v>
      </x:c>
      <x:c r="S32" s="75" t="str">
        <x:f>IF(R32="","N/A",IF(R32&gt;0,"GAIN",IF(R32&lt;0,"LOSS","FLAT")))</x:f>
        <x:v>LOSS</x:v>
      </x:c>
      <x:c r="T32" s="76" t="str">
        <x:v>SIP</x:v>
      </x:c>
      <x:c r="U32" s="76" t="str">
        <x:v>FINAL</x:v>
      </x:c>
      <x:c r="V32" s="70" t="n">
        <x:v>46241.60696600695</x:v>
      </x:c>
      <x:c r="W32" s="50" t="str">
        <x:v>SWING_SETUP</x:v>
      </x:c>
      <x:c r="X32" s="50" t="str">
        <x:v>SWING_SETUP:5</x:v>
      </x:c>
      <x:c r="Y32" s="50" t="str">
        <x:f>IF(N32="","NO ALERT PRICE",IF(O32="","NO FRIDAY CLOSE","OK"))</x:f>
        <x:v>OK</x:v>
      </x:c>
    </x:row>
    <x:row r="33">
      <x:c r="A33" s="50" t="str">
        <x:v>DE</x:v>
      </x:c>
      <x:c r="B33" s="50" t="n">
        <x:v>55</x:v>
      </x:c>
      <x:c r="C33" s="70" t="n">
        <x:v>46241.17436835648</x:v>
      </x:c>
      <x:c r="D33" s="50" t="str">
        <x:v>LONG_BUY_ZONE</x:v>
      </x:c>
      <x:c r="E33" s="71" t="n">
        <x:v>614.84</x:v>
      </x:c>
      <x:c r="F33" s="70"/>
      <x:c r="G33" s="50"/>
      <x:c r="H33" s="50"/>
      <x:c r="I33" s="71"/>
      <x:c r="J33" s="50" t="str">
        <x:v>REGISTRO_CONFIRMADO</x:v>
      </x:c>
      <x:c r="K33" s="70" t="n">
        <x:v>46241.17436835648</x:v>
      </x:c>
      <x:c r="L33" s="50" t="str">
        <x:v>LONG_BUY_ZONE</x:v>
      </x:c>
      <x:c r="M33" s="50" t="str">
        <x:v>LONG</x:v>
      </x:c>
      <x:c r="N33" s="72" t="n">
        <x:v>614.84</x:v>
      </x:c>
      <x:c r="O33" s="72" t="n">
        <x:v>620.83</x:v>
      </x:c>
      <x:c r="P33" s="73" t="n">
        <x:f>IF(OR(N33="",O33=""),"",O33-N33)</x:f>
        <x:v>5.990000000000009</x:v>
      </x:c>
      <x:c r="Q33" s="74" t="n">
        <x:f>IF(OR(N33="",O33="",N33=0),"",O33/N33-1)</x:f>
        <x:v>0.009742371999219346</x:v>
      </x:c>
      <x:c r="R33" s="74" t="n">
        <x:f>IF(M33="SHORT",-Q33,IF(M33="LONG",Q33,""))</x:f>
        <x:v>0.009742371999219346</x:v>
      </x:c>
      <x:c r="S33" s="75" t="str">
        <x:f>IF(R33="","N/A",IF(R33&gt;0,"GAIN",IF(R33&lt;0,"LOSS","FLAT")))</x:f>
        <x:v>GAIN</x:v>
      </x:c>
      <x:c r="T33" s="76" t="str">
        <x:v>SIP</x:v>
      </x:c>
      <x:c r="U33" s="76" t="str">
        <x:v>FINAL</x:v>
      </x:c>
      <x:c r="V33" s="70" t="n">
        <x:v>46242.03893148148</x:v>
      </x:c>
      <x:c r="W33" s="50" t="str">
        <x:v>SWING_SETUP</x:v>
      </x:c>
      <x:c r="X33" s="50" t="str">
        <x:v>ENTRY_OPPORTUNITY_PROGRESS:1, ENTRY_WATCH:1, LONG_BUY_ZONE:19, SWING_SETUP:34</x:v>
      </x:c>
      <x:c r="Y33" s="50" t="str">
        <x:f>IF(N33="","NO ALERT PRICE",IF(O33="","NO FRIDAY CLOSE","OK"))</x:f>
        <x:v>OK</x:v>
      </x:c>
    </x:row>
    <x:row r="34">
      <x:c r="A34" s="50" t="str">
        <x:v>DECK</x:v>
      </x:c>
      <x:c r="B34" s="50" t="n">
        <x:v>1</x:v>
      </x:c>
      <x:c r="C34" s="70" t="n">
        <x:v>46241.755598449075</x:v>
      </x:c>
      <x:c r="D34" s="50" t="str">
        <x:v>BEARISH_CONSENSUS</x:v>
      </x:c>
      <x:c r="E34" s="71" t="n">
        <x:v>97.675</x:v>
      </x:c>
      <x:c r="F34" s="70"/>
      <x:c r="G34" s="50"/>
      <x:c r="H34" s="50"/>
      <x:c r="I34" s="71"/>
      <x:c r="J34" s="50" t="str">
        <x:v>REGISTRO_CONFIRMADO</x:v>
      </x:c>
      <x:c r="K34" s="70" t="n">
        <x:v>46241.755598449075</x:v>
      </x:c>
      <x:c r="L34" s="50" t="str">
        <x:v>BEARISH_CONSENSUS</x:v>
      </x:c>
      <x:c r="M34" s="50" t="str">
        <x:v>SHORT</x:v>
      </x:c>
      <x:c r="N34" s="72" t="n">
        <x:v>97.675</x:v>
      </x:c>
      <x:c r="O34" s="72" t="n">
        <x:v>97.46</x:v>
      </x:c>
      <x:c r="P34" s="73" t="n">
        <x:f>IF(OR(N34="",O34=""),"",O34-N34)</x:f>
        <x:v>-0.2150000000000034</x:v>
      </x:c>
      <x:c r="Q34" s="74" t="n">
        <x:f>IF(OR(N34="",O34="",N34=0),"",O34/N34-1)</x:f>
        <x:v>-0.0022011773739442075</x:v>
      </x:c>
      <x:c r="R34" s="74" t="n">
        <x:f>IF(M34="SHORT",-Q34,IF(M34="LONG",Q34,""))</x:f>
        <x:v>0.0022011773739442075</x:v>
      </x:c>
      <x:c r="S34" s="75" t="str">
        <x:f>IF(R34="","N/A",IF(R34&gt;0,"GAIN",IF(R34&lt;0,"LOSS","FLAT")))</x:f>
        <x:v>GAIN</x:v>
      </x:c>
      <x:c r="T34" s="76" t="str">
        <x:v>SIP</x:v>
      </x:c>
      <x:c r="U34" s="76" t="str">
        <x:v>FINAL</x:v>
      </x:c>
      <x:c r="V34" s="70" t="n">
        <x:v>46241.755598449075</x:v>
      </x:c>
      <x:c r="W34" s="50" t="str">
        <x:v>BEARISH_CONSENSUS</x:v>
      </x:c>
      <x:c r="X34" s="50" t="str">
        <x:v>BEARISH_CONSENSUS:1</x:v>
      </x:c>
      <x:c r="Y34" s="50" t="str">
        <x:f>IF(N34="","NO ALERT PRICE",IF(O34="","NO FRIDAY CLOSE","OK"))</x:f>
        <x:v>OK</x:v>
      </x:c>
    </x:row>
    <x:row r="35">
      <x:c r="A35" s="50" t="str">
        <x:v>DLR</x:v>
      </x:c>
      <x:c r="B35" s="50" t="n">
        <x:v>42</x:v>
      </x:c>
      <x:c r="C35" s="70" t="n">
        <x:v>46241.57364050926</x:v>
      </x:c>
      <x:c r="D35" s="50" t="str">
        <x:v>SWING_SETUP</x:v>
      </x:c>
      <x:c r="E35" s="71" t="n">
        <x:v>194.46</x:v>
      </x:c>
      <x:c r="F35" s="70"/>
      <x:c r="G35" s="50"/>
      <x:c r="H35" s="50"/>
      <x:c r="I35" s="71"/>
      <x:c r="J35" s="50" t="str">
        <x:v>REGISTRO_CONFIRMADO</x:v>
      </x:c>
      <x:c r="K35" s="70" t="n">
        <x:v>46241.57364050926</x:v>
      </x:c>
      <x:c r="L35" s="50" t="str">
        <x:v>SWING_SETUP</x:v>
      </x:c>
      <x:c r="M35" s="50" t="str">
        <x:v>LONG</x:v>
      </x:c>
      <x:c r="N35" s="72" t="n">
        <x:v>194.46</x:v>
      </x:c>
      <x:c r="O35" s="72" t="n">
        <x:v>193.8</x:v>
      </x:c>
      <x:c r="P35" s="73" t="n">
        <x:f>IF(OR(N35="",O35=""),"",O35-N35)</x:f>
        <x:v>-0.6599999999999966</x:v>
      </x:c>
      <x:c r="Q35" s="74" t="n">
        <x:f>IF(OR(N35="",O35="",N35=0),"",O35/N35-1)</x:f>
        <x:v>-0.003394014193150219</x:v>
      </x:c>
      <x:c r="R35" s="74" t="n">
        <x:f>IF(M35="SHORT",-Q35,IF(M35="LONG",Q35,""))</x:f>
        <x:v>-0.003394014193150219</x:v>
      </x:c>
      <x:c r="S35" s="75" t="str">
        <x:f>IF(R35="","N/A",IF(R35&gt;0,"GAIN",IF(R35&lt;0,"LOSS","FLAT")))</x:f>
        <x:v>LOSS</x:v>
      </x:c>
      <x:c r="T35" s="76" t="str">
        <x:v>SIP</x:v>
      </x:c>
      <x:c r="U35" s="76" t="str">
        <x:v>FINAL</x:v>
      </x:c>
      <x:c r="V35" s="70" t="n">
        <x:v>46242.041715011575</x:v>
      </x:c>
      <x:c r="W35" s="50" t="str">
        <x:v>SWING_SETUP</x:v>
      </x:c>
      <x:c r="X35" s="50" t="str">
        <x:v>SWING_SETUP:42</x:v>
      </x:c>
      <x:c r="Y35" s="50" t="str">
        <x:f>IF(N35="","NO ALERT PRICE",IF(O35="","NO FRIDAY CLOSE","OK"))</x:f>
        <x:v>OK</x:v>
      </x:c>
    </x:row>
    <x:row r="36">
      <x:c r="A36" s="50" t="str">
        <x:v>ECL</x:v>
      </x:c>
      <x:c r="B36" s="50" t="n">
        <x:v>74</x:v>
      </x:c>
      <x:c r="C36" s="70" t="n">
        <x:v>46241.17432738426</x:v>
      </x:c>
      <x:c r="D36" s="50" t="str">
        <x:v>SWING_SETUP</x:v>
      </x:c>
      <x:c r="E36" s="71" t="n">
        <x:v>282</x:v>
      </x:c>
      <x:c r="F36" s="70"/>
      <x:c r="G36" s="50"/>
      <x:c r="H36" s="50"/>
      <x:c r="I36" s="71"/>
      <x:c r="J36" s="50" t="str">
        <x:v>REGISTRO_CONFIRMADO</x:v>
      </x:c>
      <x:c r="K36" s="70" t="n">
        <x:v>46241.17432738426</x:v>
      </x:c>
      <x:c r="L36" s="50" t="str">
        <x:v>SWING_SETUP</x:v>
      </x:c>
      <x:c r="M36" s="50" t="str">
        <x:v>LONG</x:v>
      </x:c>
      <x:c r="N36" s="72" t="n">
        <x:v>282</x:v>
      </x:c>
      <x:c r="O36" s="72" t="n">
        <x:v>285.17</x:v>
      </x:c>
      <x:c r="P36" s="73" t="n">
        <x:f>IF(OR(N36="",O36=""),"",O36-N36)</x:f>
        <x:v>3.170000000000016</x:v>
      </x:c>
      <x:c r="Q36" s="74" t="n">
        <x:f>IF(OR(N36="",O36="",N36=0),"",O36/N36-1)</x:f>
        <x:v>0.01124113475177313</x:v>
      </x:c>
      <x:c r="R36" s="74" t="n">
        <x:f>IF(M36="SHORT",-Q36,IF(M36="LONG",Q36,""))</x:f>
        <x:v>0.01124113475177313</x:v>
      </x:c>
      <x:c r="S36" s="75" t="str">
        <x:f>IF(R36="","N/A",IF(R36&gt;0,"GAIN",IF(R36&lt;0,"LOSS","FLAT")))</x:f>
        <x:v>GAIN</x:v>
      </x:c>
      <x:c r="T36" s="76" t="str">
        <x:v>SIP</x:v>
      </x:c>
      <x:c r="U36" s="76" t="str">
        <x:v>FINAL</x:v>
      </x:c>
      <x:c r="V36" s="70" t="n">
        <x:v>46242.03754484954</x:v>
      </x:c>
      <x:c r="W36" s="50" t="str">
        <x:v>SWING_SETUP</x:v>
      </x:c>
      <x:c r="X36" s="50" t="str">
        <x:v>LONG_BUY_ZONE:30, SWING_SETUP:44</x:v>
      </x:c>
      <x:c r="Y36" s="50" t="str">
        <x:f>IF(N36="","NO ALERT PRICE",IF(O36="","NO FRIDAY CLOSE","OK"))</x:f>
        <x:v>OK</x:v>
      </x:c>
    </x:row>
    <x:row r="37">
      <x:c r="A37" s="50" t="str">
        <x:v>ETHA</x:v>
      </x:c>
      <x:c r="B37" s="50" t="n">
        <x:v>51</x:v>
      </x:c>
      <x:c r="C37" s="70" t="n">
        <x:v>46241.17432761574</x:v>
      </x:c>
      <x:c r="D37" s="50" t="str">
        <x:v>SWING_SETUP</x:v>
      </x:c>
      <x:c r="E37" s="71" t="n">
        <x:v>14.34</x:v>
      </x:c>
      <x:c r="F37" s="70" t="n">
        <x:v>46241.917395185184</x:v>
      </x:c>
      <x:c r="G37" s="50" t="str">
        <x:v>ENTRY_CONFIRMED</x:v>
      </x:c>
      <x:c r="H37" s="50" t="str">
        <x:v>L2_SWING_CONFIRMED</x:v>
      </x:c>
      <x:c r="I37" s="71" t="n">
        <x:v>14.5</x:v>
      </x:c>
      <x:c r="J37" s="50" t="str">
        <x:v>REGISTRO_L1_L4</x:v>
      </x:c>
      <x:c r="K37" s="70" t="n">
        <x:v>46241.917395185184</x:v>
      </x:c>
      <x:c r="L37" s="50" t="str">
        <x:v>ENTRY_CONFIRMED</x:v>
      </x:c>
      <x:c r="M37" s="50" t="str">
        <x:v>LONG</x:v>
      </x:c>
      <x:c r="N37" s="72" t="n">
        <x:v>14.5</x:v>
      </x:c>
      <x:c r="O37" s="72" t="n">
        <x:v>14.47</x:v>
      </x:c>
      <x:c r="P37" s="73" t="n">
        <x:f>IF(OR(N37="",O37=""),"",O37-N37)</x:f>
        <x:v>-0.02999999999999936</x:v>
      </x:c>
      <x:c r="Q37" s="74" t="n">
        <x:f>IF(OR(N37="",O37="",N37=0),"",O37/N37-1)</x:f>
        <x:v>-0.002068965517241339</x:v>
      </x:c>
      <x:c r="R37" s="74" t="n">
        <x:f>IF(M37="SHORT",-Q37,IF(M37="LONG",Q37,""))</x:f>
        <x:v>-0.002068965517241339</x:v>
      </x:c>
      <x:c r="S37" s="75" t="str">
        <x:f>IF(R37="","N/A",IF(R37&gt;0,"GAIN",IF(R37&lt;0,"LOSS","FLAT")))</x:f>
        <x:v>LOSS</x:v>
      </x:c>
      <x:c r="T37" s="76" t="str">
        <x:v>SIP</x:v>
      </x:c>
      <x:c r="U37" s="76" t="str">
        <x:v>FINAL</x:v>
      </x:c>
      <x:c r="V37" s="70" t="n">
        <x:v>46242.04379449074</x:v>
      </x:c>
      <x:c r="W37" s="50" t="str">
        <x:v>SWING_SETUP</x:v>
      </x:c>
      <x:c r="X37" s="50" t="str">
        <x:v>ENTRY_CONFIRMED:1, SWING_SETUP:50</x:v>
      </x:c>
      <x:c r="Y37" s="50" t="str">
        <x:f>IF(N37="","NO ALERT PRICE",IF(O37="","NO FRIDAY CLOSE","OK"))</x:f>
        <x:v>OK</x:v>
      </x:c>
    </x:row>
    <x:row r="38">
      <x:c r="A38" s="50" t="str">
        <x:v>ETN</x:v>
      </x:c>
      <x:c r="B38" s="50" t="n">
        <x:v>24</x:v>
      </x:c>
      <x:c r="C38" s="70" t="n">
        <x:v>46241.55487694444</x:v>
      </x:c>
      <x:c r="D38" s="50" t="str">
        <x:v>SWING_SETUP</x:v>
      </x:c>
      <x:c r="E38" s="71" t="n">
        <x:v>455.85</x:v>
      </x:c>
      <x:c r="F38" s="70"/>
      <x:c r="G38" s="50"/>
      <x:c r="H38" s="50"/>
      <x:c r="I38" s="71"/>
      <x:c r="J38" s="50" t="str">
        <x:v>REGISTRO_CONFIRMADO</x:v>
      </x:c>
      <x:c r="K38" s="70" t="n">
        <x:v>46241.55487694444</x:v>
      </x:c>
      <x:c r="L38" s="50" t="str">
        <x:v>SWING_SETUP</x:v>
      </x:c>
      <x:c r="M38" s="50" t="str">
        <x:v>LONG</x:v>
      </x:c>
      <x:c r="N38" s="72" t="n">
        <x:v>455.85</x:v>
      </x:c>
      <x:c r="O38" s="72" t="n">
        <x:v>448.68</x:v>
      </x:c>
      <x:c r="P38" s="73" t="n">
        <x:f>IF(OR(N38="",O38=""),"",O38-N38)</x:f>
        <x:v>-7.170000000000016</x:v>
      </x:c>
      <x:c r="Q38" s="74" t="n">
        <x:f>IF(OR(N38="",O38="",N38=0),"",O38/N38-1)</x:f>
        <x:v>-0.015728858177031957</x:v>
      </x:c>
      <x:c r="R38" s="74" t="n">
        <x:f>IF(M38="SHORT",-Q38,IF(M38="LONG",Q38,""))</x:f>
        <x:v>-0.015728858177031957</x:v>
      </x:c>
      <x:c r="S38" s="75" t="str">
        <x:f>IF(R38="","N/A",IF(R38&gt;0,"GAIN",IF(R38&lt;0,"LOSS","FLAT")))</x:f>
        <x:v>LOSS</x:v>
      </x:c>
      <x:c r="T38" s="76" t="str">
        <x:v>SIP</x:v>
      </x:c>
      <x:c r="U38" s="76" t="str">
        <x:v>FINAL</x:v>
      </x:c>
      <x:c r="V38" s="70" t="n">
        <x:v>46242.045876828706</x:v>
      </x:c>
      <x:c r="W38" s="50" t="str">
        <x:v>SWING_SETUP</x:v>
      </x:c>
      <x:c r="X38" s="50" t="str">
        <x:v>SWING_SETUP:24</x:v>
      </x:c>
      <x:c r="Y38" s="50" t="str">
        <x:f>IF(N38="","NO ALERT PRICE",IF(O38="","NO FRIDAY CLOSE","OK"))</x:f>
        <x:v>OK</x:v>
      </x:c>
    </x:row>
    <x:row r="39">
      <x:c r="A39" s="50" t="str">
        <x:v>GD</x:v>
      </x:c>
      <x:c r="B39" s="50" t="n">
        <x:v>12</x:v>
      </x:c>
      <x:c r="C39" s="70" t="n">
        <x:v>46241.49841019676</x:v>
      </x:c>
      <x:c r="D39" s="50" t="str">
        <x:v>SWING_SETUP</x:v>
      </x:c>
      <x:c r="E39" s="71" t="n">
        <x:v>386.5</x:v>
      </x:c>
      <x:c r="F39" s="70"/>
      <x:c r="G39" s="50"/>
      <x:c r="H39" s="50"/>
      <x:c r="I39" s="71"/>
      <x:c r="J39" s="50" t="str">
        <x:v>REGISTRO_CONFIRMADO</x:v>
      </x:c>
      <x:c r="K39" s="70" t="n">
        <x:v>46241.49841019676</x:v>
      </x:c>
      <x:c r="L39" s="50" t="str">
        <x:v>SWING_SETUP</x:v>
      </x:c>
      <x:c r="M39" s="50" t="str">
        <x:v>LONG</x:v>
      </x:c>
      <x:c r="N39" s="72" t="n">
        <x:v>386.5</x:v>
      </x:c>
      <x:c r="O39" s="72" t="n">
        <x:v>392.05</x:v>
      </x:c>
      <x:c r="P39" s="73" t="n">
        <x:f>IF(OR(N39="",O39=""),"",O39-N39)</x:f>
        <x:v>5.550000000000011</x:v>
      </x:c>
      <x:c r="Q39" s="74" t="n">
        <x:f>IF(OR(N39="",O39="",N39=0),"",O39/N39-1)</x:f>
        <x:v>0.0143596377749029</x:v>
      </x:c>
      <x:c r="R39" s="74" t="n">
        <x:f>IF(M39="SHORT",-Q39,IF(M39="LONG",Q39,""))</x:f>
        <x:v>0.0143596377749029</x:v>
      </x:c>
      <x:c r="S39" s="75" t="str">
        <x:f>IF(R39="","N/A",IF(R39&gt;0,"GAIN",IF(R39&lt;0,"LOSS","FLAT")))</x:f>
        <x:v>GAIN</x:v>
      </x:c>
      <x:c r="T39" s="76" t="str">
        <x:v>SIP</x:v>
      </x:c>
      <x:c r="U39" s="76" t="str">
        <x:v>FINAL</x:v>
      </x:c>
      <x:c r="V39" s="70" t="n">
        <x:v>46241.67641625</x:v>
      </x:c>
      <x:c r="W39" s="50" t="str">
        <x:v>SWING_SETUP</x:v>
      </x:c>
      <x:c r="X39" s="50" t="str">
        <x:v>SWING_SETUP:12</x:v>
      </x:c>
      <x:c r="Y39" s="50" t="str">
        <x:f>IF(N39="","NO ALERT PRICE",IF(O39="","NO FRIDAY CLOSE","OK"))</x:f>
        <x:v>OK</x:v>
      </x:c>
    </x:row>
    <x:row r="40">
      <x:c r="A40" s="50" t="str">
        <x:v>GRAB</x:v>
      </x:c>
      <x:c r="B40" s="50" t="n">
        <x:v>26</x:v>
      </x:c>
      <x:c r="C40" s="70" t="n">
        <x:v>46241.54237766204</x:v>
      </x:c>
      <x:c r="D40" s="50" t="str">
        <x:v>SWING_SETUP</x:v>
      </x:c>
      <x:c r="E40" s="71" t="n">
        <x:v>3.69</x:v>
      </x:c>
      <x:c r="F40" s="70"/>
      <x:c r="G40" s="50"/>
      <x:c r="H40" s="50"/>
      <x:c r="I40" s="71"/>
      <x:c r="J40" s="50" t="str">
        <x:v>REGISTRO_CONFIRMADO</x:v>
      </x:c>
      <x:c r="K40" s="70" t="n">
        <x:v>46241.54237766204</x:v>
      </x:c>
      <x:c r="L40" s="50" t="str">
        <x:v>SWING_SETUP</x:v>
      </x:c>
      <x:c r="M40" s="50" t="str">
        <x:v>LONG</x:v>
      </x:c>
      <x:c r="N40" s="72" t="n">
        <x:v>3.69</x:v>
      </x:c>
      <x:c r="O40" s="72" t="n">
        <x:v>3.66</x:v>
      </x:c>
      <x:c r="P40" s="73" t="n">
        <x:f>IF(OR(N40="",O40=""),"",O40-N40)</x:f>
        <x:v>-0.029999999999999805</x:v>
      </x:c>
      <x:c r="Q40" s="74" t="n">
        <x:f>IF(OR(N40="",O40="",N40=0),"",O40/N40-1)</x:f>
        <x:v>-0.008130081300812941</x:v>
      </x:c>
      <x:c r="R40" s="74" t="n">
        <x:f>IF(M40="SHORT",-Q40,IF(M40="LONG",Q40,""))</x:f>
        <x:v>-0.008130081300812941</x:v>
      </x:c>
      <x:c r="S40" s="75" t="str">
        <x:f>IF(R40="","N/A",IF(R40&gt;0,"GAIN",IF(R40&lt;0,"LOSS","FLAT")))</x:f>
        <x:v>LOSS</x:v>
      </x:c>
      <x:c r="T40" s="76" t="str">
        <x:v>SIP</x:v>
      </x:c>
      <x:c r="U40" s="76" t="str">
        <x:v>FINAL</x:v>
      </x:c>
      <x:c r="V40" s="70" t="n">
        <x:v>46241.90977216435</x:v>
      </x:c>
      <x:c r="W40" s="50" t="str">
        <x:v>SWING_SETUP</x:v>
      </x:c>
      <x:c r="X40" s="50" t="str">
        <x:v>SWING_SETUP:26</x:v>
      </x:c>
      <x:c r="Y40" s="50" t="str">
        <x:f>IF(N40="","NO ALERT PRICE",IF(O40="","NO FRIDAY CLOSE","OK"))</x:f>
        <x:v>OK</x:v>
      </x:c>
    </x:row>
    <x:row r="41">
      <x:c r="A41" s="50" t="str">
        <x:v>GS</x:v>
      </x:c>
      <x:c r="B41" s="50" t="n">
        <x:v>35</x:v>
      </x:c>
      <x:c r="C41" s="70" t="n">
        <x:v>46241.17437011574</x:v>
      </x:c>
      <x:c r="D41" s="50" t="str">
        <x:v>LONG_BUY_ZONE</x:v>
      </x:c>
      <x:c r="E41" s="71" t="n">
        <x:v>1032.58</x:v>
      </x:c>
      <x:c r="F41" s="70"/>
      <x:c r="G41" s="50"/>
      <x:c r="H41" s="50"/>
      <x:c r="I41" s="71"/>
      <x:c r="J41" s="50" t="str">
        <x:v>REGISTRO_CONFIRMADO</x:v>
      </x:c>
      <x:c r="K41" s="70" t="n">
        <x:v>46241.17437011574</x:v>
      </x:c>
      <x:c r="L41" s="50" t="str">
        <x:v>LONG_BUY_ZONE</x:v>
      </x:c>
      <x:c r="M41" s="50" t="str">
        <x:v>LONG</x:v>
      </x:c>
      <x:c r="N41" s="72" t="n">
        <x:v>1032.58</x:v>
      </x:c>
      <x:c r="O41" s="72" t="n">
        <x:v>1039.61</x:v>
      </x:c>
      <x:c r="P41" s="73" t="n">
        <x:f>IF(OR(N41="",O41=""),"",O41-N41)</x:f>
        <x:v>7.029999999999973</x:v>
      </x:c>
      <x:c r="Q41" s="74" t="n">
        <x:f>IF(OR(N41="",O41="",N41=0),"",O41/N41-1)</x:f>
        <x:v>0.006808189195994574</x:v>
      </x:c>
      <x:c r="R41" s="74" t="n">
        <x:f>IF(M41="SHORT",-Q41,IF(M41="LONG",Q41,""))</x:f>
        <x:v>0.006808189195994574</x:v>
      </x:c>
      <x:c r="S41" s="75" t="str">
        <x:f>IF(R41="","N/A",IF(R41&gt;0,"GAIN",IF(R41&lt;0,"LOSS","FLAT")))</x:f>
        <x:v>GAIN</x:v>
      </x:c>
      <x:c r="T41" s="76" t="str">
        <x:v>SIP</x:v>
      </x:c>
      <x:c r="U41" s="76" t="str">
        <x:v>FINAL</x:v>
      </x:c>
      <x:c r="V41" s="70" t="n">
        <x:v>46241.938233333334</x:v>
      </x:c>
      <x:c r="W41" s="50" t="str">
        <x:v>LONG_BUY_ZONE</x:v>
      </x:c>
      <x:c r="X41" s="50" t="str">
        <x:v>LONG_BUY_ZONE:35</x:v>
      </x:c>
      <x:c r="Y41" s="50" t="str">
        <x:f>IF(N41="","NO ALERT PRICE",IF(O41="","NO FRIDAY CLOSE","OK"))</x:f>
        <x:v>OK</x:v>
      </x:c>
    </x:row>
    <x:row r="42">
      <x:c r="A42" s="50" t="str">
        <x:v>HPE</x:v>
      </x:c>
      <x:c r="B42" s="50" t="n">
        <x:v>5</x:v>
      </x:c>
      <x:c r="C42" s="70" t="n">
        <x:v>46241.646562256945</x:v>
      </x:c>
      <x:c r="D42" s="50" t="str">
        <x:v>SWING_SETUP</x:v>
      </x:c>
      <x:c r="E42" s="71" t="n">
        <x:v>52.48</x:v>
      </x:c>
      <x:c r="F42" s="70"/>
      <x:c r="G42" s="50"/>
      <x:c r="H42" s="50"/>
      <x:c r="I42" s="71"/>
      <x:c r="J42" s="50" t="str">
        <x:v>REGISTRO_CONFIRMADO</x:v>
      </x:c>
      <x:c r="K42" s="70" t="n">
        <x:v>46241.646562256945</x:v>
      </x:c>
      <x:c r="L42" s="50" t="str">
        <x:v>SWING_SETUP</x:v>
      </x:c>
      <x:c r="M42" s="50" t="str">
        <x:v>LONG</x:v>
      </x:c>
      <x:c r="N42" s="72" t="n">
        <x:v>52.48</x:v>
      </x:c>
      <x:c r="O42" s="72" t="n">
        <x:v>53.22</x:v>
      </x:c>
      <x:c r="P42" s="73" t="n">
        <x:f>IF(OR(N42="",O42=""),"",O42-N42)</x:f>
        <x:v>0.740000000000002</x:v>
      </x:c>
      <x:c r="Q42" s="74" t="n">
        <x:f>IF(OR(N42="",O42="",N42=0),"",O42/N42-1)</x:f>
        <x:v>0.014100609756097615</x:v>
      </x:c>
      <x:c r="R42" s="74" t="n">
        <x:f>IF(M42="SHORT",-Q42,IF(M42="LONG",Q42,""))</x:f>
        <x:v>0.014100609756097615</x:v>
      </x:c>
      <x:c r="S42" s="75" t="str">
        <x:f>IF(R42="","N/A",IF(R42&gt;0,"GAIN",IF(R42&lt;0,"LOSS","FLAT")))</x:f>
        <x:v>GAIN</x:v>
      </x:c>
      <x:c r="T42" s="76" t="str">
        <x:v>SIP</x:v>
      </x:c>
      <x:c r="U42" s="76" t="str">
        <x:v>FINAL</x:v>
      </x:c>
      <x:c r="V42" s="70" t="n">
        <x:v>46241.7611534375</x:v>
      </x:c>
      <x:c r="W42" s="50" t="str">
        <x:v>SWING_SETUP</x:v>
      </x:c>
      <x:c r="X42" s="50" t="str">
        <x:v>SWING_SETUP:5</x:v>
      </x:c>
      <x:c r="Y42" s="50" t="str">
        <x:f>IF(N42="","NO ALERT PRICE",IF(O42="","NO FRIDAY CLOSE","OK"))</x:f>
        <x:v>OK</x:v>
      </x:c>
    </x:row>
    <x:row r="43">
      <x:c r="A43" s="50" t="str">
        <x:v>HRL</x:v>
      </x:c>
      <x:c r="B43" s="50" t="n">
        <x:v>53</x:v>
      </x:c>
      <x:c r="C43" s="70" t="n">
        <x:v>46241.174370486115</x:v>
      </x:c>
      <x:c r="D43" s="50" t="str">
        <x:v>LONG_BUY_ZONE</x:v>
      </x:c>
      <x:c r="E43" s="71" t="n">
        <x:v>25.09</x:v>
      </x:c>
      <x:c r="F43" s="70"/>
      <x:c r="G43" s="50"/>
      <x:c r="H43" s="50"/>
      <x:c r="I43" s="71"/>
      <x:c r="J43" s="50" t="str">
        <x:v>REGISTRO_CONFIRMADO</x:v>
      </x:c>
      <x:c r="K43" s="70" t="n">
        <x:v>46241.174370486115</x:v>
      </x:c>
      <x:c r="L43" s="50" t="str">
        <x:v>LONG_BUY_ZONE</x:v>
      </x:c>
      <x:c r="M43" s="50" t="str">
        <x:v>LONG</x:v>
      </x:c>
      <x:c r="N43" s="72" t="n">
        <x:v>25.09</x:v>
      </x:c>
      <x:c r="O43" s="72" t="n">
        <x:v>25.02</x:v>
      </x:c>
      <x:c r="P43" s="73" t="n">
        <x:f>IF(OR(N43="",O43=""),"",O43-N43)</x:f>
        <x:v>-0.07000000000000028</x:v>
      </x:c>
      <x:c r="Q43" s="74" t="n">
        <x:f>IF(OR(N43="",O43="",N43=0),"",O43/N43-1)</x:f>
        <x:v>-0.002789956157831841</x:v>
      </x:c>
      <x:c r="R43" s="74" t="n">
        <x:f>IF(M43="SHORT",-Q43,IF(M43="LONG",Q43,""))</x:f>
        <x:v>-0.002789956157831841</x:v>
      </x:c>
      <x:c r="S43" s="75" t="str">
        <x:f>IF(R43="","N/A",IF(R43&gt;0,"GAIN",IF(R43&lt;0,"LOSS","FLAT")))</x:f>
        <x:v>LOSS</x:v>
      </x:c>
      <x:c r="T43" s="76" t="str">
        <x:v>SIP</x:v>
      </x:c>
      <x:c r="U43" s="76" t="str">
        <x:v>FINAL</x:v>
      </x:c>
      <x:c r="V43" s="70" t="n">
        <x:v>46241.98962248843</x:v>
      </x:c>
      <x:c r="W43" s="50" t="str">
        <x:v>ENTRY_WATCH</x:v>
      </x:c>
      <x:c r="X43" s="50" t="str">
        <x:v>ENTRY_OPPORTUNITY_PROGRESS:1, ENTRY_WATCH:9, LONG_BUY_ZONE:32, SWING_SETUP:11</x:v>
      </x:c>
      <x:c r="Y43" s="50" t="str">
        <x:f>IF(N43="","NO ALERT PRICE",IF(O43="","NO FRIDAY CLOSE","OK"))</x:f>
        <x:v>OK</x:v>
      </x:c>
    </x:row>
    <x:row r="44">
      <x:c r="A44" s="50" t="str">
        <x:v>HWM</x:v>
      </x:c>
      <x:c r="B44" s="50" t="n">
        <x:v>5</x:v>
      </x:c>
      <x:c r="C44" s="70" t="n">
        <x:v>46241.1743284375</x:v>
      </x:c>
      <x:c r="D44" s="50" t="str">
        <x:v>SWING_SETUP</x:v>
      </x:c>
      <x:c r="E44" s="71" t="n">
        <x:v>291.9381</x:v>
      </x:c>
      <x:c r="F44" s="70"/>
      <x:c r="G44" s="50"/>
      <x:c r="H44" s="50"/>
      <x:c r="I44" s="71"/>
      <x:c r="J44" s="50" t="str">
        <x:v>REGISTRO_CONFIRMADO</x:v>
      </x:c>
      <x:c r="K44" s="70" t="n">
        <x:v>46241.1743284375</x:v>
      </x:c>
      <x:c r="L44" s="50" t="str">
        <x:v>SWING_SETUP</x:v>
      </x:c>
      <x:c r="M44" s="50" t="str">
        <x:v>LONG</x:v>
      </x:c>
      <x:c r="N44" s="72" t="n">
        <x:v>291.9381</x:v>
      </x:c>
      <x:c r="O44" s="72" t="n">
        <x:v>281.88</x:v>
      </x:c>
      <x:c r="P44" s="73" t="n">
        <x:f>IF(OR(N44="",O44=""),"",O44-N44)</x:f>
        <x:v>-10.058100000000024</x:v>
      </x:c>
      <x:c r="Q44" s="74" t="n">
        <x:f>IF(OR(N44="",O44="",N44=0),"",O44/N44-1)</x:f>
        <x:v>-0.034452851477762</x:v>
      </x:c>
      <x:c r="R44" s="74" t="n">
        <x:f>IF(M44="SHORT",-Q44,IF(M44="LONG",Q44,""))</x:f>
        <x:v>-0.034452851477762</x:v>
      </x:c>
      <x:c r="S44" s="75" t="str">
        <x:f>IF(R44="","N/A",IF(R44&gt;0,"GAIN",IF(R44&lt;0,"LOSS","FLAT")))</x:f>
        <x:v>LOSS</x:v>
      </x:c>
      <x:c r="T44" s="76" t="str">
        <x:v>SIP</x:v>
      </x:c>
      <x:c r="U44" s="76" t="str">
        <x:v>FINAL</x:v>
      </x:c>
      <x:c r="V44" s="70" t="n">
        <x:v>46241.57365236111</x:v>
      </x:c>
      <x:c r="W44" s="50" t="str">
        <x:v>SWING_SETUP</x:v>
      </x:c>
      <x:c r="X44" s="50" t="str">
        <x:v>SWING_SETUP:5</x:v>
      </x:c>
      <x:c r="Y44" s="50" t="str">
        <x:f>IF(N44="","NO ALERT PRICE",IF(O44="","NO FRIDAY CLOSE","OK"))</x:f>
        <x:v>OK</x:v>
      </x:c>
    </x:row>
    <x:row r="45">
      <x:c r="A45" s="50" t="str">
        <x:v>INTU</x:v>
      </x:c>
      <x:c r="B45" s="50" t="n">
        <x:v>50</x:v>
      </x:c>
      <x:c r="C45" s="70" t="n">
        <x:v>46241.174323935185</x:v>
      </x:c>
      <x:c r="D45" s="50" t="str">
        <x:v>SWING_SETUP</x:v>
      </x:c>
      <x:c r="E45" s="71" t="n">
        <x:v>324.45</x:v>
      </x:c>
      <x:c r="F45" s="70" t="n">
        <x:v>46241.58891537037</x:v>
      </x:c>
      <x:c r="G45" s="50" t="str">
        <x:v>ENTRY_CONFIRMED</x:v>
      </x:c>
      <x:c r="H45" s="50" t="str">
        <x:v>L2_SWING_CONFIRMED</x:v>
      </x:c>
      <x:c r="I45" s="71" t="n">
        <x:v>329.82</x:v>
      </x:c>
      <x:c r="J45" s="50" t="str">
        <x:v>REGISTRO_L1_L4</x:v>
      </x:c>
      <x:c r="K45" s="70" t="n">
        <x:v>46241.58891537037</x:v>
      </x:c>
      <x:c r="L45" s="50" t="str">
        <x:v>ENTRY_CONFIRMED</x:v>
      </x:c>
      <x:c r="M45" s="50" t="str">
        <x:v>LONG</x:v>
      </x:c>
      <x:c r="N45" s="72" t="n">
        <x:v>329.82</x:v>
      </x:c>
      <x:c r="O45" s="72" t="n">
        <x:v>325.25</x:v>
      </x:c>
      <x:c r="P45" s="73" t="n">
        <x:f>IF(OR(N45="",O45=""),"",O45-N45)</x:f>
        <x:v>-4.569999999999993</x:v>
      </x:c>
      <x:c r="Q45" s="74" t="n">
        <x:f>IF(OR(N45="",O45="",N45=0),"",O45/N45-1)</x:f>
        <x:v>-0.013856042689952108</x:v>
      </x:c>
      <x:c r="R45" s="74" t="n">
        <x:f>IF(M45="SHORT",-Q45,IF(M45="LONG",Q45,""))</x:f>
        <x:v>-0.013856042689952108</x:v>
      </x:c>
      <x:c r="S45" s="75" t="str">
        <x:f>IF(R45="","N/A",IF(R45&gt;0,"GAIN",IF(R45&lt;0,"LOSS","FLAT")))</x:f>
        <x:v>LOSS</x:v>
      </x:c>
      <x:c r="T45" s="76" t="str">
        <x:v>SIP</x:v>
      </x:c>
      <x:c r="U45" s="76" t="str">
        <x:v>FINAL</x:v>
      </x:c>
      <x:c r="V45" s="70" t="n">
        <x:v>46242.04449320602</x:v>
      </x:c>
      <x:c r="W45" s="50" t="str">
        <x:v>SWING_SETUP</x:v>
      </x:c>
      <x:c r="X45" s="50" t="str">
        <x:v>ENTRY_CONFIRMED:1, SWING_SETUP:49</x:v>
      </x:c>
      <x:c r="Y45" s="50" t="str">
        <x:f>IF(N45="","NO ALERT PRICE",IF(O45="","NO FRIDAY CLOSE","OK"))</x:f>
        <x:v>OK</x:v>
      </x:c>
    </x:row>
    <x:row r="46">
      <x:c r="A46" s="50" t="str">
        <x:v>JD</x:v>
      </x:c>
      <x:c r="B46" s="50" t="n">
        <x:v>43</x:v>
      </x:c>
      <x:c r="C46" s="70" t="n">
        <x:v>46241.573644571756</x:v>
      </x:c>
      <x:c r="D46" s="50" t="str">
        <x:v>SWING_SETUP</x:v>
      </x:c>
      <x:c r="E46" s="71" t="n">
        <x:v>32.725</x:v>
      </x:c>
      <x:c r="F46" s="70"/>
      <x:c r="G46" s="50"/>
      <x:c r="H46" s="50"/>
      <x:c r="I46" s="71"/>
      <x:c r="J46" s="50" t="str">
        <x:v>REGISTRO_CONFIRMADO</x:v>
      </x:c>
      <x:c r="K46" s="70" t="n">
        <x:v>46241.573644571756</x:v>
      </x:c>
      <x:c r="L46" s="50" t="str">
        <x:v>SWING_SETUP</x:v>
      </x:c>
      <x:c r="M46" s="50" t="str">
        <x:v>LONG</x:v>
      </x:c>
      <x:c r="N46" s="72" t="n">
        <x:v>32.725</x:v>
      </x:c>
      <x:c r="O46" s="72" t="n">
        <x:v>32.97</x:v>
      </x:c>
      <x:c r="P46" s="73" t="n">
        <x:f>IF(OR(N46="",O46=""),"",O46-N46)</x:f>
        <x:v>0.24499999999999744</x:v>
      </x:c>
      <x:c r="Q46" s="74" t="n">
        <x:f>IF(OR(N46="",O46="",N46=0),"",O46/N46-1)</x:f>
        <x:v>0.007486631016042633</x:v>
      </x:c>
      <x:c r="R46" s="74" t="n">
        <x:f>IF(M46="SHORT",-Q46,IF(M46="LONG",Q46,""))</x:f>
        <x:v>0.007486631016042633</x:v>
      </x:c>
      <x:c r="S46" s="75" t="str">
        <x:f>IF(R46="","N/A",IF(R46&gt;0,"GAIN",IF(R46&lt;0,"LOSS","FLAT")))</x:f>
        <x:v>GAIN</x:v>
      </x:c>
      <x:c r="T46" s="76" t="str">
        <x:v>SIP</x:v>
      </x:c>
      <x:c r="U46" s="76" t="str">
        <x:v>FINAL</x:v>
      </x:c>
      <x:c r="V46" s="70" t="n">
        <x:v>46242.037544074075</x:v>
      </x:c>
      <x:c r="W46" s="50" t="str">
        <x:v>SWING_SETUP</x:v>
      </x:c>
      <x:c r="X46" s="50" t="str">
        <x:v>SWING_SETUP:43</x:v>
      </x:c>
      <x:c r="Y46" s="50" t="str">
        <x:f>IF(N46="","NO ALERT PRICE",IF(O46="","NO FRIDAY CLOSE","OK"))</x:f>
        <x:v>OK</x:v>
      </x:c>
    </x:row>
    <x:row r="47">
      <x:c r="A47" s="50" t="str">
        <x:v>JNJ</x:v>
      </x:c>
      <x:c r="B47" s="50" t="n">
        <x:v>17</x:v>
      </x:c>
      <x:c r="C47" s="70" t="n">
        <x:v>46241.53613006944</x:v>
      </x:c>
      <x:c r="D47" s="50" t="str">
        <x:v>LONG_BUY_ZONE</x:v>
      </x:c>
      <x:c r="E47" s="71" t="n">
        <x:v>256.23</x:v>
      </x:c>
      <x:c r="F47" s="70"/>
      <x:c r="G47" s="50"/>
      <x:c r="H47" s="50"/>
      <x:c r="I47" s="71"/>
      <x:c r="J47" s="50" t="str">
        <x:v>REGISTRO_CONFIRMADO</x:v>
      </x:c>
      <x:c r="K47" s="70" t="n">
        <x:v>46241.53613006944</x:v>
      </x:c>
      <x:c r="L47" s="50" t="str">
        <x:v>LONG_BUY_ZONE</x:v>
      </x:c>
      <x:c r="M47" s="50" t="str">
        <x:v>LONG</x:v>
      </x:c>
      <x:c r="N47" s="72" t="n">
        <x:v>256.23</x:v>
      </x:c>
      <x:c r="O47" s="72" t="n">
        <x:v>259.24</x:v>
      </x:c>
      <x:c r="P47" s="73" t="n">
        <x:f>IF(OR(N47="",O47=""),"",O47-N47)</x:f>
        <x:v>3.009999999999991</x:v>
      </x:c>
      <x:c r="Q47" s="74" t="n">
        <x:f>IF(OR(N47="",O47="",N47=0),"",O47/N47-1)</x:f>
        <x:v>0.011747258322600818</x:v>
      </x:c>
      <x:c r="R47" s="74" t="n">
        <x:f>IF(M47="SHORT",-Q47,IF(M47="LONG",Q47,""))</x:f>
        <x:v>0.011747258322600818</x:v>
      </x:c>
      <x:c r="S47" s="75" t="str">
        <x:f>IF(R47="","N/A",IF(R47&gt;0,"GAIN",IF(R47&lt;0,"LOSS","FLAT")))</x:f>
        <x:v>GAIN</x:v>
      </x:c>
      <x:c r="T47" s="76" t="str">
        <x:v>SIP</x:v>
      </x:c>
      <x:c r="U47" s="76" t="str">
        <x:v>FINAL</x:v>
      </x:c>
      <x:c r="V47" s="70" t="n">
        <x:v>46241.78130185185</x:v>
      </x:c>
      <x:c r="W47" s="50" t="str">
        <x:v>LONG_BUY_ZONE</x:v>
      </x:c>
      <x:c r="X47" s="50" t="str">
        <x:v>LONG_BUY_ZONE:17</x:v>
      </x:c>
      <x:c r="Y47" s="50" t="str">
        <x:f>IF(N47="","NO ALERT PRICE",IF(O47="","NO FRIDAY CLOSE","OK"))</x:f>
        <x:v>OK</x:v>
      </x:c>
    </x:row>
    <x:row r="48">
      <x:c r="A48" s="50" t="str">
        <x:v>JPM</x:v>
      </x:c>
      <x:c r="B48" s="50" t="n">
        <x:v>48</x:v>
      </x:c>
      <x:c r="C48" s="70" t="n">
        <x:v>46241.174328657406</x:v>
      </x:c>
      <x:c r="D48" s="50" t="str">
        <x:v>SWING_SETUP</x:v>
      </x:c>
      <x:c r="E48" s="71" t="n">
        <x:v>356.51</x:v>
      </x:c>
      <x:c r="F48" s="70"/>
      <x:c r="G48" s="50"/>
      <x:c r="H48" s="50"/>
      <x:c r="I48" s="71"/>
      <x:c r="J48" s="50" t="str">
        <x:v>REGISTRO_CONFIRMADO</x:v>
      </x:c>
      <x:c r="K48" s="70" t="n">
        <x:v>46241.174328657406</x:v>
      </x:c>
      <x:c r="L48" s="50" t="str">
        <x:v>SWING_SETUP</x:v>
      </x:c>
      <x:c r="M48" s="50" t="str">
        <x:v>LONG</x:v>
      </x:c>
      <x:c r="N48" s="72" t="n">
        <x:v>356.51</x:v>
      </x:c>
      <x:c r="O48" s="72" t="n">
        <x:v>357.52</x:v>
      </x:c>
      <x:c r="P48" s="73" t="n">
        <x:f>IF(OR(N48="",O48=""),"",O48-N48)</x:f>
        <x:v>1.009999999999991</x:v>
      </x:c>
      <x:c r="Q48" s="74" t="n">
        <x:f>IF(OR(N48="",O48="",N48=0),"",O48/N48-1)</x:f>
        <x:v>0.002833020111637774</x:v>
      </x:c>
      <x:c r="R48" s="74" t="n">
        <x:f>IF(M48="SHORT",-Q48,IF(M48="LONG",Q48,""))</x:f>
        <x:v>0.002833020111637774</x:v>
      </x:c>
      <x:c r="S48" s="75" t="str">
        <x:f>IF(R48="","N/A",IF(R48&gt;0,"GAIN",IF(R48&lt;0,"LOSS","FLAT")))</x:f>
        <x:v>GAIN</x:v>
      </x:c>
      <x:c r="T48" s="76" t="str">
        <x:v>SIP</x:v>
      </x:c>
      <x:c r="U48" s="76" t="str">
        <x:v>FINAL</x:v>
      </x:c>
      <x:c r="V48" s="70" t="n">
        <x:v>46242.0437934838</x:v>
      </x:c>
      <x:c r="W48" s="50" t="str">
        <x:v>SWING_SETUP</x:v>
      </x:c>
      <x:c r="X48" s="50" t="str">
        <x:v>SWING_SETUP:48</x:v>
      </x:c>
      <x:c r="Y48" s="50" t="str">
        <x:f>IF(N48="","NO ALERT PRICE",IF(O48="","NO FRIDAY CLOSE","OK"))</x:f>
        <x:v>OK</x:v>
      </x:c>
    </x:row>
    <x:row r="49">
      <x:c r="A49" s="50" t="str">
        <x:v>KDP</x:v>
      </x:c>
      <x:c r="B49" s="50" t="n">
        <x:v>33</x:v>
      </x:c>
      <x:c r="C49" s="70" t="n">
        <x:v>46241.17437113426</x:v>
      </x:c>
      <x:c r="D49" s="50" t="str">
        <x:v>LONG_BUY_ZONE</x:v>
      </x:c>
      <x:c r="E49" s="71" t="n">
        <x:v>30.37</x:v>
      </x:c>
      <x:c r="F49" s="70"/>
      <x:c r="G49" s="50"/>
      <x:c r="H49" s="50"/>
      <x:c r="I49" s="71"/>
      <x:c r="J49" s="50" t="str">
        <x:v>REGISTRO_CONFIRMADO</x:v>
      </x:c>
      <x:c r="K49" s="70" t="n">
        <x:v>46241.17437113426</x:v>
      </x:c>
      <x:c r="L49" s="50" t="str">
        <x:v>LONG_BUY_ZONE</x:v>
      </x:c>
      <x:c r="M49" s="50" t="str">
        <x:v>LONG</x:v>
      </x:c>
      <x:c r="N49" s="72" t="n">
        <x:v>30.37</x:v>
      </x:c>
      <x:c r="O49" s="72" t="n">
        <x:v>30.01</x:v>
      </x:c>
      <x:c r="P49" s="73" t="n">
        <x:f>IF(OR(N49="",O49=""),"",O49-N49)</x:f>
        <x:v>-0.35999999999999943</x:v>
      </x:c>
      <x:c r="Q49" s="74" t="n">
        <x:f>IF(OR(N49="",O49="",N49=0),"",O49/N49-1)</x:f>
        <x:v>-0.01185380309515971</x:v>
      </x:c>
      <x:c r="R49" s="74" t="n">
        <x:f>IF(M49="SHORT",-Q49,IF(M49="LONG",Q49,""))</x:f>
        <x:v>-0.01185380309515971</x:v>
      </x:c>
      <x:c r="S49" s="75" t="str">
        <x:f>IF(R49="","N/A",IF(R49&gt;0,"GAIN",IF(R49&lt;0,"LOSS","FLAT")))</x:f>
        <x:v>LOSS</x:v>
      </x:c>
      <x:c r="T49" s="76" t="str">
        <x:v>SIP</x:v>
      </x:c>
      <x:c r="U49" s="76" t="str">
        <x:v>FINAL</x:v>
      </x:c>
      <x:c r="V49" s="70" t="n">
        <x:v>46241.867394155095</x:v>
      </x:c>
      <x:c r="W49" s="50" t="str">
        <x:v>LONG_BUY_ZONE</x:v>
      </x:c>
      <x:c r="X49" s="50" t="str">
        <x:v>ENTRY_OPPORTUNITY_PROGRESS:1, ENTRY_WATCH:1, LONG_BUY_ZONE:31</x:v>
      </x:c>
      <x:c r="Y49" s="50" t="str">
        <x:f>IF(N49="","NO ALERT PRICE",IF(O49="","NO FRIDAY CLOSE","OK"))</x:f>
        <x:v>OK</x:v>
      </x:c>
    </x:row>
    <x:row r="50">
      <x:c r="A50" s="50" t="str">
        <x:v>KO</x:v>
      </x:c>
      <x:c r="B50" s="50" t="n">
        <x:v>58</x:v>
      </x:c>
      <x:c r="C50" s="70" t="n">
        <x:v>46241.17432884259</x:v>
      </x:c>
      <x:c r="D50" s="50" t="str">
        <x:v>SWING_SETUP</x:v>
      </x:c>
      <x:c r="E50" s="71" t="n">
        <x:v>86.95</x:v>
      </x:c>
      <x:c r="F50" s="70"/>
      <x:c r="G50" s="50"/>
      <x:c r="H50" s="50"/>
      <x:c r="I50" s="71"/>
      <x:c r="J50" s="50" t="str">
        <x:v>REGISTRO_CONFIRMADO</x:v>
      </x:c>
      <x:c r="K50" s="70" t="n">
        <x:v>46241.17432884259</x:v>
      </x:c>
      <x:c r="L50" s="50" t="str">
        <x:v>SWING_SETUP</x:v>
      </x:c>
      <x:c r="M50" s="50" t="str">
        <x:v>LONG</x:v>
      </x:c>
      <x:c r="N50" s="72" t="n">
        <x:v>86.95</x:v>
      </x:c>
      <x:c r="O50" s="72" t="n">
        <x:v>87.05</x:v>
      </x:c>
      <x:c r="P50" s="73" t="n">
        <x:f>IF(OR(N50="",O50=""),"",O50-N50)</x:f>
        <x:v>0.09999999999999432</x:v>
      </x:c>
      <x:c r="Q50" s="74" t="n">
        <x:f>IF(OR(N50="",O50="",N50=0),"",O50/N50-1)</x:f>
        <x:v>0.0011500862564690628</x:v>
      </x:c>
      <x:c r="R50" s="74" t="n">
        <x:f>IF(M50="SHORT",-Q50,IF(M50="LONG",Q50,""))</x:f>
        <x:v>0.0011500862564690628</x:v>
      </x:c>
      <x:c r="S50" s="75" t="str">
        <x:f>IF(R50="","N/A",IF(R50&gt;0,"GAIN",IF(R50&lt;0,"LOSS","FLAT")))</x:f>
        <x:v>GAIN</x:v>
      </x:c>
      <x:c r="T50" s="76" t="str">
        <x:v>SIP</x:v>
      </x:c>
      <x:c r="U50" s="76" t="str">
        <x:v>FINAL</x:v>
      </x:c>
      <x:c r="V50" s="70" t="n">
        <x:v>46242.03685761574</x:v>
      </x:c>
      <x:c r="W50" s="50" t="str">
        <x:v>SWING_SETUP</x:v>
      </x:c>
      <x:c r="X50" s="50" t="str">
        <x:v>LONG_BUY_ZONE:12, SWING_SETUP:46</x:v>
      </x:c>
      <x:c r="Y50" s="50" t="str">
        <x:f>IF(N50="","NO ALERT PRICE",IF(O50="","NO FRIDAY CLOSE","OK"))</x:f>
        <x:v>OK</x:v>
      </x:c>
    </x:row>
    <x:row r="51">
      <x:c r="A51" s="50" t="str">
        <x:v>LITE</x:v>
      </x:c>
      <x:c r="B51" s="50" t="n">
        <x:v>1</x:v>
      </x:c>
      <x:c r="C51" s="70" t="n">
        <x:v>46241.57363771991</x:v>
      </x:c>
      <x:c r="D51" s="50" t="str">
        <x:v>SWING_SETUP</x:v>
      </x:c>
      <x:c r="E51" s="71" t="n">
        <x:v>927</x:v>
      </x:c>
      <x:c r="F51" s="70"/>
      <x:c r="G51" s="50"/>
      <x:c r="H51" s="50"/>
      <x:c r="I51" s="71"/>
      <x:c r="J51" s="50" t="str">
        <x:v>REGISTRO_CONFIRMADO</x:v>
      </x:c>
      <x:c r="K51" s="70" t="n">
        <x:v>46241.57363771991</x:v>
      </x:c>
      <x:c r="L51" s="50" t="str">
        <x:v>SWING_SETUP</x:v>
      </x:c>
      <x:c r="M51" s="50" t="str">
        <x:v>LONG</x:v>
      </x:c>
      <x:c r="N51" s="72" t="n">
        <x:v>927</x:v>
      </x:c>
      <x:c r="O51" s="72" t="n">
        <x:v>890.17</x:v>
      </x:c>
      <x:c r="P51" s="73" t="n">
        <x:f>IF(OR(N51="",O51=""),"",O51-N51)</x:f>
        <x:v>-36.83000000000004</x:v>
      </x:c>
      <x:c r="Q51" s="74" t="n">
        <x:f>IF(OR(N51="",O51="",N51=0),"",O51/N51-1)</x:f>
        <x:v>-0.03973031283710904</x:v>
      </x:c>
      <x:c r="R51" s="74" t="n">
        <x:f>IF(M51="SHORT",-Q51,IF(M51="LONG",Q51,""))</x:f>
        <x:v>-0.03973031283710904</x:v>
      </x:c>
      <x:c r="S51" s="75" t="str">
        <x:f>IF(R51="","N/A",IF(R51&gt;0,"GAIN",IF(R51&lt;0,"LOSS","FLAT")))</x:f>
        <x:v>LOSS</x:v>
      </x:c>
      <x:c r="T51" s="76" t="str">
        <x:v>SIP</x:v>
      </x:c>
      <x:c r="U51" s="76" t="str">
        <x:v>FINAL</x:v>
      </x:c>
      <x:c r="V51" s="70" t="n">
        <x:v>46241.57363771991</x:v>
      </x:c>
      <x:c r="W51" s="50" t="str">
        <x:v>SWING_SETUP</x:v>
      </x:c>
      <x:c r="X51" s="50" t="str">
        <x:v>SWING_SETUP:1</x:v>
      </x:c>
      <x:c r="Y51" s="50" t="str">
        <x:f>IF(N51="","NO ALERT PRICE",IF(O51="","NO FRIDAY CLOSE","OK"))</x:f>
        <x:v>OK</x:v>
      </x:c>
    </x:row>
    <x:row r="52">
      <x:c r="A52" s="50" t="str">
        <x:v>LMT</x:v>
      </x:c>
      <x:c r="B52" s="50" t="n">
        <x:v>46</x:v>
      </x:c>
      <x:c r="C52" s="70" t="n">
        <x:v>46241.17432912037</x:v>
      </x:c>
      <x:c r="D52" s="50" t="str">
        <x:v>SWING_SETUP</x:v>
      </x:c>
      <x:c r="E52" s="71" t="n">
        <x:v>585</x:v>
      </x:c>
      <x:c r="F52" s="70"/>
      <x:c r="G52" s="50"/>
      <x:c r="H52" s="50"/>
      <x:c r="I52" s="71"/>
      <x:c r="J52" s="50" t="str">
        <x:v>REGISTRO_CONFIRMADO</x:v>
      </x:c>
      <x:c r="K52" s="70" t="n">
        <x:v>46241.17432912037</x:v>
      </x:c>
      <x:c r="L52" s="50" t="str">
        <x:v>SWING_SETUP</x:v>
      </x:c>
      <x:c r="M52" s="50" t="str">
        <x:v>LONG</x:v>
      </x:c>
      <x:c r="N52" s="72" t="n">
        <x:v>585</x:v>
      </x:c>
      <x:c r="O52" s="72" t="n">
        <x:v>587.95</x:v>
      </x:c>
      <x:c r="P52" s="73" t="n">
        <x:f>IF(OR(N52="",O52=""),"",O52-N52)</x:f>
        <x:v>2.9500000000000455</x:v>
      </x:c>
      <x:c r="Q52" s="74" t="n">
        <x:f>IF(OR(N52="",O52="",N52=0),"",O52/N52-1)</x:f>
        <x:v>0.005042735042735114</x:v>
      </x:c>
      <x:c r="R52" s="74" t="n">
        <x:f>IF(M52="SHORT",-Q52,IF(M52="LONG",Q52,""))</x:f>
        <x:v>0.005042735042735114</x:v>
      </x:c>
      <x:c r="S52" s="75" t="str">
        <x:f>IF(R52="","N/A",IF(R52&gt;0,"GAIN",IF(R52&lt;0,"LOSS","FLAT")))</x:f>
        <x:v>GAIN</x:v>
      </x:c>
      <x:c r="T52" s="76" t="str">
        <x:v>SIP</x:v>
      </x:c>
      <x:c r="U52" s="76" t="str">
        <x:v>FINAL</x:v>
      </x:c>
      <x:c r="V52" s="70" t="n">
        <x:v>46242.047269016206</x:v>
      </x:c>
      <x:c r="W52" s="50" t="str">
        <x:v>SWING_SETUP</x:v>
      </x:c>
      <x:c r="X52" s="50" t="str">
        <x:v>SWING_SETUP:46</x:v>
      </x:c>
      <x:c r="Y52" s="50" t="str">
        <x:f>IF(N52="","NO ALERT PRICE",IF(O52="","NO FRIDAY CLOSE","OK"))</x:f>
        <x:v>OK</x:v>
      </x:c>
    </x:row>
    <x:row r="53">
      <x:c r="A53" s="50" t="str">
        <x:v>MA</x:v>
      </x:c>
      <x:c r="B53" s="50" t="n">
        <x:v>12</x:v>
      </x:c>
      <x:c r="C53" s="70" t="n">
        <x:v>46241.49841181713</x:v>
      </x:c>
      <x:c r="D53" s="50" t="str">
        <x:v>SWING_SETUP</x:v>
      </x:c>
      <x:c r="E53" s="71" t="n">
        <x:v>573.86</x:v>
      </x:c>
      <x:c r="F53" s="70"/>
      <x:c r="G53" s="50"/>
      <x:c r="H53" s="50"/>
      <x:c r="I53" s="71"/>
      <x:c r="J53" s="50" t="str">
        <x:v>REGISTRO_CONFIRMADO</x:v>
      </x:c>
      <x:c r="K53" s="70" t="n">
        <x:v>46241.49841181713</x:v>
      </x:c>
      <x:c r="L53" s="50" t="str">
        <x:v>SWING_SETUP</x:v>
      </x:c>
      <x:c r="M53" s="50" t="str">
        <x:v>LONG</x:v>
      </x:c>
      <x:c r="N53" s="72" t="n">
        <x:v>573.86</x:v>
      </x:c>
      <x:c r="O53" s="72" t="n">
        <x:v>562.95</x:v>
      </x:c>
      <x:c r="P53" s="73" t="n">
        <x:f>IF(OR(N53="",O53=""),"",O53-N53)</x:f>
        <x:v>-10.909999999999968</x:v>
      </x:c>
      <x:c r="Q53" s="74" t="n">
        <x:f>IF(OR(N53="",O53="",N53=0),"",O53/N53-1)</x:f>
        <x:v>-0.019011605618094896</x:v>
      </x:c>
      <x:c r="R53" s="74" t="n">
        <x:f>IF(M53="SHORT",-Q53,IF(M53="LONG",Q53,""))</x:f>
        <x:v>-0.019011605618094896</x:v>
      </x:c>
      <x:c r="S53" s="75" t="str">
        <x:f>IF(R53="","N/A",IF(R53&gt;0,"GAIN",IF(R53&lt;0,"LOSS","FLAT")))</x:f>
        <x:v>LOSS</x:v>
      </x:c>
      <x:c r="T53" s="76" t="str">
        <x:v>SIP</x:v>
      </x:c>
      <x:c r="U53" s="76" t="str">
        <x:v>FINAL</x:v>
      </x:c>
      <x:c r="V53" s="70" t="n">
        <x:v>46241.709074363425</x:v>
      </x:c>
      <x:c r="W53" s="50" t="str">
        <x:v>SWING_SETUP</x:v>
      </x:c>
      <x:c r="X53" s="50" t="str">
        <x:v>SWING_SETUP:12</x:v>
      </x:c>
      <x:c r="Y53" s="50" t="str">
        <x:f>IF(N53="","NO ALERT PRICE",IF(O53="","NO FRIDAY CLOSE","OK"))</x:f>
        <x:v>OK</x:v>
      </x:c>
    </x:row>
    <x:row r="54">
      <x:c r="A54" s="50" t="str">
        <x:v>MDLZ</x:v>
      </x:c>
      <x:c r="B54" s="50" t="n">
        <x:v>45</x:v>
      </x:c>
      <x:c r="C54" s="70" t="n">
        <x:v>46241.174329409725</x:v>
      </x:c>
      <x:c r="D54" s="50" t="str">
        <x:v>SWING_SETUP</x:v>
      </x:c>
      <x:c r="E54" s="71" t="n">
        <x:v>62.73</x:v>
      </x:c>
      <x:c r="F54" s="70"/>
      <x:c r="G54" s="50"/>
      <x:c r="H54" s="50"/>
      <x:c r="I54" s="71"/>
      <x:c r="J54" s="50" t="str">
        <x:v>REGISTRO_CONFIRMADO</x:v>
      </x:c>
      <x:c r="K54" s="70" t="n">
        <x:v>46241.174329409725</x:v>
      </x:c>
      <x:c r="L54" s="50" t="str">
        <x:v>SWING_SETUP</x:v>
      </x:c>
      <x:c r="M54" s="50" t="str">
        <x:v>LONG</x:v>
      </x:c>
      <x:c r="N54" s="72" t="n">
        <x:v>62.73</x:v>
      </x:c>
      <x:c r="O54" s="72" t="n">
        <x:v>62.61</x:v>
      </x:c>
      <x:c r="P54" s="73" t="n">
        <x:f>IF(OR(N54="",O54=""),"",O54-N54)</x:f>
        <x:v>-0.11999999999999744</x:v>
      </x:c>
      <x:c r="Q54" s="74" t="n">
        <x:f>IF(OR(N54="",O54="",N54=0),"",O54/N54-1)</x:f>
        <x:v>-0.0019129603060735745</x:v>
      </x:c>
      <x:c r="R54" s="74" t="n">
        <x:f>IF(M54="SHORT",-Q54,IF(M54="LONG",Q54,""))</x:f>
        <x:v>-0.0019129603060735745</x:v>
      </x:c>
      <x:c r="S54" s="75" t="str">
        <x:f>IF(R54="","N/A",IF(R54&gt;0,"GAIN",IF(R54&lt;0,"LOSS","FLAT")))</x:f>
        <x:v>LOSS</x:v>
      </x:c>
      <x:c r="T54" s="76" t="str">
        <x:v>SIP</x:v>
      </x:c>
      <x:c r="U54" s="76" t="str">
        <x:v>FINAL</x:v>
      </x:c>
      <x:c r="V54" s="70" t="n">
        <x:v>46242.04727402778</x:v>
      </x:c>
      <x:c r="W54" s="50" t="str">
        <x:v>SWING_SETUP</x:v>
      </x:c>
      <x:c r="X54" s="50" t="str">
        <x:v>SWING_SETUP:45</x:v>
      </x:c>
      <x:c r="Y54" s="50" t="str">
        <x:f>IF(N54="","NO ALERT PRICE",IF(O54="","NO FRIDAY CLOSE","OK"))</x:f>
        <x:v>OK</x:v>
      </x:c>
    </x:row>
    <x:row r="55">
      <x:c r="A55" s="50" t="str">
        <x:v>MMM</x:v>
      </x:c>
      <x:c r="B55" s="50" t="n">
        <x:v>44</x:v>
      </x:c>
      <x:c r="C55" s="70" t="n">
        <x:v>46241.573653611114</x:v>
      </x:c>
      <x:c r="D55" s="50" t="str">
        <x:v>SWING_SETUP</x:v>
      </x:c>
      <x:c r="E55" s="71" t="n">
        <x:v>180.775</x:v>
      </x:c>
      <x:c r="F55" s="70"/>
      <x:c r="G55" s="50"/>
      <x:c r="H55" s="50"/>
      <x:c r="I55" s="71"/>
      <x:c r="J55" s="50" t="str">
        <x:v>REGISTRO_CONFIRMADO</x:v>
      </x:c>
      <x:c r="K55" s="70" t="n">
        <x:v>46241.573653611114</x:v>
      </x:c>
      <x:c r="L55" s="50" t="str">
        <x:v>SWING_SETUP</x:v>
      </x:c>
      <x:c r="M55" s="50" t="str">
        <x:v>LONG</x:v>
      </x:c>
      <x:c r="N55" s="72" t="n">
        <x:v>180.775</x:v>
      </x:c>
      <x:c r="O55" s="72" t="n">
        <x:v>182.9</x:v>
      </x:c>
      <x:c r="P55" s="73" t="n">
        <x:f>IF(OR(N55="",O55=""),"",O55-N55)</x:f>
        <x:v>2.125</x:v>
      </x:c>
      <x:c r="Q55" s="74" t="n">
        <x:f>IF(OR(N55="",O55="",N55=0),"",O55/N55-1)</x:f>
        <x:v>0.011754943991149291</x:v>
      </x:c>
      <x:c r="R55" s="74" t="n">
        <x:f>IF(M55="SHORT",-Q55,IF(M55="LONG",Q55,""))</x:f>
        <x:v>0.011754943991149291</x:v>
      </x:c>
      <x:c r="S55" s="75" t="str">
        <x:f>IF(R55="","N/A",IF(R55&gt;0,"GAIN",IF(R55&lt;0,"LOSS","FLAT")))</x:f>
        <x:v>GAIN</x:v>
      </x:c>
      <x:c r="T55" s="76" t="str">
        <x:v>SIP</x:v>
      </x:c>
      <x:c r="U55" s="76" t="str">
        <x:v>FINAL</x:v>
      </x:c>
      <x:c r="V55" s="70" t="n">
        <x:v>46242.04727241898</x:v>
      </x:c>
      <x:c r="W55" s="50" t="str">
        <x:v>SWING_SETUP</x:v>
      </x:c>
      <x:c r="X55" s="50" t="str">
        <x:v>SWING_SETUP:44</x:v>
      </x:c>
      <x:c r="Y55" s="50" t="str">
        <x:f>IF(N55="","NO ALERT PRICE",IF(O55="","NO FRIDAY CLOSE","OK"))</x:f>
        <x:v>OK</x:v>
      </x:c>
    </x:row>
    <x:row r="56">
      <x:c r="A56" s="50" t="str">
        <x:v>MNST</x:v>
      </x:c>
      <x:c r="B56" s="50" t="n">
        <x:v>13</x:v>
      </x:c>
      <x:c r="C56" s="70" t="n">
        <x:v>46241.67016484954</x:v>
      </x:c>
      <x:c r="D56" s="50" t="str">
        <x:v>ENTRY_WATCH</x:v>
      </x:c>
      <x:c r="E56" s="71" t="n">
        <x:v>90.36</x:v>
      </x:c>
      <x:c r="F56" s="70"/>
      <x:c r="G56" s="50"/>
      <x:c r="H56" s="50"/>
      <x:c r="I56" s="71"/>
      <x:c r="J56" s="50" t="str">
        <x:v>REGISTRO_CONFIRMADO</x:v>
      </x:c>
      <x:c r="K56" s="70" t="n">
        <x:v>46241.67016484954</x:v>
      </x:c>
      <x:c r="L56" s="50" t="str">
        <x:v>ENTRY_WATCH</x:v>
      </x:c>
      <x:c r="M56" s="50" t="str">
        <x:v>LONG</x:v>
      </x:c>
      <x:c r="N56" s="72" t="n">
        <x:v>90.36</x:v>
      </x:c>
      <x:c r="O56" s="72" t="n">
        <x:v>90.36</x:v>
      </x:c>
      <x:c r="P56" s="73" t="n">
        <x:f>IF(OR(N56="",O56=""),"",O56-N56)</x:f>
        <x:v>0</x:v>
      </x:c>
      <x:c r="Q56" s="74" t="n">
        <x:f>IF(OR(N56="",O56="",N56=0),"",O56/N56-1)</x:f>
        <x:v>0</x:v>
      </x:c>
      <x:c r="R56" s="74" t="n">
        <x:f>IF(M56="SHORT",-Q56,IF(M56="LONG",Q56,""))</x:f>
        <x:v>0</x:v>
      </x:c>
      <x:c r="S56" s="75" t="str">
        <x:f>IF(R56="","N/A",IF(R56&gt;0,"GAIN",IF(R56&lt;0,"LOSS","FLAT")))</x:f>
        <x:v>N/A</x:v>
      </x:c>
      <x:c r="T56" s="76" t="str">
        <x:v>SIP</x:v>
      </x:c>
      <x:c r="U56" s="76" t="str">
        <x:v>FINAL</x:v>
      </x:c>
      <x:c r="V56" s="70" t="n">
        <x:v>46241.92225909722</x:v>
      </x:c>
      <x:c r="W56" s="50" t="str">
        <x:v>ENTRY_WATCH</x:v>
      </x:c>
      <x:c r="X56" s="50" t="str">
        <x:v>ENTRY_OPPORTUNITY_PROGRESS:1, ENTRY_WATCH:12</x:v>
      </x:c>
      <x:c r="Y56" s="50" t="str">
        <x:f>IF(N56="","NO ALERT PRICE",IF(O56="","NO FRIDAY CLOSE","OK"))</x:f>
        <x:v>OK</x:v>
      </x:c>
    </x:row>
    <x:row r="57">
      <x:c r="A57" s="50" t="str">
        <x:v>MRK</x:v>
      </x:c>
      <x:c r="B57" s="50" t="n">
        <x:v>83</x:v>
      </x:c>
      <x:c r="C57" s="70" t="n">
        <x:v>46241.17432976852</x:v>
      </x:c>
      <x:c r="D57" s="50" t="str">
        <x:v>SWING_SETUP</x:v>
      </x:c>
      <x:c r="E57" s="71" t="n">
        <x:v>128.2</x:v>
      </x:c>
      <x:c r="F57" s="70"/>
      <x:c r="G57" s="50"/>
      <x:c r="H57" s="50"/>
      <x:c r="I57" s="71"/>
      <x:c r="J57" s="50" t="str">
        <x:v>REGISTRO_CONFIRMADO</x:v>
      </x:c>
      <x:c r="K57" s="70" t="n">
        <x:v>46241.17432976852</x:v>
      </x:c>
      <x:c r="L57" s="50" t="str">
        <x:v>SWING_SETUP</x:v>
      </x:c>
      <x:c r="M57" s="50" t="str">
        <x:v>LONG</x:v>
      </x:c>
      <x:c r="N57" s="72" t="n">
        <x:v>128.2</x:v>
      </x:c>
      <x:c r="O57" s="72" t="n">
        <x:v>128.58</x:v>
      </x:c>
      <x:c r="P57" s="73" t="n">
        <x:f>IF(OR(N57="",O57=""),"",O57-N57)</x:f>
        <x:v>0.3800000000000239</x:v>
      </x:c>
      <x:c r="Q57" s="74" t="n">
        <x:f>IF(OR(N57="",O57="",N57=0),"",O57/N57-1)</x:f>
        <x:v>0.002964118564742879</x:v>
      </x:c>
      <x:c r="R57" s="74" t="n">
        <x:f>IF(M57="SHORT",-Q57,IF(M57="LONG",Q57,""))</x:f>
        <x:v>0.002964118564742879</x:v>
      </x:c>
      <x:c r="S57" s="75" t="str">
        <x:f>IF(R57="","N/A",IF(R57&gt;0,"GAIN",IF(R57&lt;0,"LOSS","FLAT")))</x:f>
        <x:v>GAIN</x:v>
      </x:c>
      <x:c r="T57" s="76" t="str">
        <x:v>SIP</x:v>
      </x:c>
      <x:c r="U57" s="76" t="str">
        <x:v>FINAL</x:v>
      </x:c>
      <x:c r="V57" s="70" t="n">
        <x:v>46242.03823978009</x:v>
      </x:c>
      <x:c r="W57" s="50" t="str">
        <x:v>SWING_SETUP</x:v>
      </x:c>
      <x:c r="X57" s="50" t="str">
        <x:v>ENTRY_OPPORTUNITY_PROGRESS:1, ENTRY_WATCH:14, LONG_BUY_ZONE:29, SWING_SETUP:39</x:v>
      </x:c>
      <x:c r="Y57" s="50" t="str">
        <x:f>IF(N57="","NO ALERT PRICE",IF(O57="","NO FRIDAY CLOSE","OK"))</x:f>
        <x:v>OK</x:v>
      </x:c>
    </x:row>
    <x:row r="58">
      <x:c r="A58" s="50" t="str">
        <x:v>MSFT</x:v>
      </x:c>
      <x:c r="B58" s="50" t="n">
        <x:v>7</x:v>
      </x:c>
      <x:c r="C58" s="70" t="n">
        <x:v>46241.57364439815</x:v>
      </x:c>
      <x:c r="D58" s="50" t="str">
        <x:v>SWING_SETUP</x:v>
      </x:c>
      <x:c r="E58" s="71" t="n">
        <x:v>503.4781</x:v>
      </x:c>
      <x:c r="F58" s="70"/>
      <x:c r="G58" s="50"/>
      <x:c r="H58" s="50"/>
      <x:c r="I58" s="71"/>
      <x:c r="J58" s="50" t="str">
        <x:v>REGISTRO_CONFIRMADO</x:v>
      </x:c>
      <x:c r="K58" s="70" t="n">
        <x:v>46241.57364439815</x:v>
      </x:c>
      <x:c r="L58" s="50" t="str">
        <x:v>SWING_SETUP</x:v>
      </x:c>
      <x:c r="M58" s="50" t="str">
        <x:v>LONG</x:v>
      </x:c>
      <x:c r="N58" s="72" t="n">
        <x:v>503.4781</x:v>
      </x:c>
      <x:c r="O58" s="72" t="n">
        <x:v>499.99</x:v>
      </x:c>
      <x:c r="P58" s="73" t="n">
        <x:f>IF(OR(N58="",O58=""),"",O58-N58)</x:f>
        <x:v>-3.4880999999999744</x:v>
      </x:c>
      <x:c r="Q58" s="74" t="n">
        <x:f>IF(OR(N58="",O58="",N58=0),"",O58/N58-1)</x:f>
        <x:v>-0.006928007394959135</x:v>
      </x:c>
      <x:c r="R58" s="74" t="n">
        <x:f>IF(M58="SHORT",-Q58,IF(M58="LONG",Q58,""))</x:f>
        <x:v>-0.006928007394959135</x:v>
      </x:c>
      <x:c r="S58" s="75" t="str">
        <x:f>IF(R58="","N/A",IF(R58&gt;0,"GAIN",IF(R58&lt;0,"LOSS","FLAT")))</x:f>
        <x:v>LOSS</x:v>
      </x:c>
      <x:c r="T58" s="76" t="str">
        <x:v>SIP</x:v>
      </x:c>
      <x:c r="U58" s="76" t="str">
        <x:v>FINAL</x:v>
      </x:c>
      <x:c r="V58" s="70" t="n">
        <x:v>46241.67852310185</x:v>
      </x:c>
      <x:c r="W58" s="50" t="str">
        <x:v>SWING_SETUP</x:v>
      </x:c>
      <x:c r="X58" s="50" t="str">
        <x:v>SWING_SETUP:7</x:v>
      </x:c>
      <x:c r="Y58" s="50" t="str">
        <x:f>IF(N58="","NO ALERT PRICE",IF(O58="","NO FRIDAY CLOSE","OK"))</x:f>
        <x:v>OK</x:v>
      </x:c>
    </x:row>
    <x:row r="59">
      <x:c r="A59" s="50" t="str">
        <x:v>NEM</x:v>
      </x:c>
      <x:c r="B59" s="50" t="n">
        <x:v>18</x:v>
      </x:c>
      <x:c r="C59" s="70" t="n">
        <x:v>46241.50001657407</x:v>
      </x:c>
      <x:c r="D59" s="50" t="str">
        <x:v>ENTRY_WATCH</x:v>
      </x:c>
      <x:c r="E59" s="71" t="n">
        <x:v>109.7</x:v>
      </x:c>
      <x:c r="F59" s="70"/>
      <x:c r="G59" s="50"/>
      <x:c r="H59" s="50"/>
      <x:c r="I59" s="71"/>
      <x:c r="J59" s="50" t="str">
        <x:v>REGISTRO_CONFIRMADO</x:v>
      </x:c>
      <x:c r="K59" s="70" t="n">
        <x:v>46241.50001657407</x:v>
      </x:c>
      <x:c r="L59" s="50" t="str">
        <x:v>ENTRY_WATCH</x:v>
      </x:c>
      <x:c r="M59" s="50" t="str">
        <x:v>LONG</x:v>
      </x:c>
      <x:c r="N59" s="72" t="n">
        <x:v>109.7</x:v>
      </x:c>
      <x:c r="O59" s="72" t="n">
        <x:v>112.98</x:v>
      </x:c>
      <x:c r="P59" s="73" t="n">
        <x:f>IF(OR(N59="",O59=""),"",O59-N59)</x:f>
        <x:v>3.280000000000001</x:v>
      </x:c>
      <x:c r="Q59" s="74" t="n">
        <x:f>IF(OR(N59="",O59="",N59=0),"",O59/N59-1)</x:f>
        <x:v>0.029899726526891435</x:v>
      </x:c>
      <x:c r="R59" s="74" t="n">
        <x:f>IF(M59="SHORT",-Q59,IF(M59="LONG",Q59,""))</x:f>
        <x:v>0.029899726526891435</x:v>
      </x:c>
      <x:c r="S59" s="75" t="str">
        <x:f>IF(R59="","N/A",IF(R59&gt;0,"GAIN",IF(R59&lt;0,"LOSS","FLAT")))</x:f>
        <x:v>GAIN</x:v>
      </x:c>
      <x:c r="T59" s="76" t="str">
        <x:v>SIP</x:v>
      </x:c>
      <x:c r="U59" s="76" t="str">
        <x:v>FINAL</x:v>
      </x:c>
      <x:c r="V59" s="70" t="n">
        <x:v>46241.925042662035</x:v>
      </x:c>
      <x:c r="W59" s="50" t="str">
        <x:v>SWING_SETUP</x:v>
      </x:c>
      <x:c r="X59" s="50" t="str">
        <x:v>ENTRY_OPPORTUNITY_PROGRESS:1, ENTRY_WATCH:1, SWING_SETUP:16</x:v>
      </x:c>
      <x:c r="Y59" s="50" t="str">
        <x:f>IF(N59="","NO ALERT PRICE",IF(O59="","NO FRIDAY CLOSE","OK"))</x:f>
        <x:v>OK</x:v>
      </x:c>
    </x:row>
    <x:row r="60">
      <x:c r="A60" s="50" t="str">
        <x:v>NOC</x:v>
      </x:c>
      <x:c r="B60" s="50" t="n">
        <x:v>38</x:v>
      </x:c>
      <x:c r="C60" s="70" t="n">
        <x:v>46241.1743241088</x:v>
      </x:c>
      <x:c r="D60" s="50" t="str">
        <x:v>SWING_SETUP</x:v>
      </x:c>
      <x:c r="E60" s="71" t="n">
        <x:v>567.88</x:v>
      </x:c>
      <x:c r="F60" s="70"/>
      <x:c r="G60" s="50"/>
      <x:c r="H60" s="50"/>
      <x:c r="I60" s="71"/>
      <x:c r="J60" s="50" t="str">
        <x:v>REGISTRO_CONFIRMADO</x:v>
      </x:c>
      <x:c r="K60" s="70" t="n">
        <x:v>46241.1743241088</x:v>
      </x:c>
      <x:c r="L60" s="50" t="str">
        <x:v>SWING_SETUP</x:v>
      </x:c>
      <x:c r="M60" s="50" t="str">
        <x:v>LONG</x:v>
      </x:c>
      <x:c r="N60" s="72" t="n">
        <x:v>567.88</x:v>
      </x:c>
      <x:c r="O60" s="72" t="n">
        <x:v>571.58</x:v>
      </x:c>
      <x:c r="P60" s="73" t="n">
        <x:f>IF(OR(N60="",O60=""),"",O60-N60)</x:f>
        <x:v>3.7000000000000455</x:v>
      </x:c>
      <x:c r="Q60" s="74" t="n">
        <x:f>IF(OR(N60="",O60="",N60=0),"",O60/N60-1)</x:f>
        <x:v>0.006515461012890134</x:v>
      </x:c>
      <x:c r="R60" s="74" t="n">
        <x:f>IF(M60="SHORT",-Q60,IF(M60="LONG",Q60,""))</x:f>
        <x:v>0.006515461012890134</x:v>
      </x:c>
      <x:c r="S60" s="75" t="str">
        <x:f>IF(R60="","N/A",IF(R60&gt;0,"GAIN",IF(R60&lt;0,"LOSS","FLAT")))</x:f>
        <x:v>GAIN</x:v>
      </x:c>
      <x:c r="T60" s="76" t="str">
        <x:v>SIP</x:v>
      </x:c>
      <x:c r="U60" s="76" t="str">
        <x:v>FINAL</x:v>
      </x:c>
      <x:c r="V60" s="70" t="n">
        <x:v>46242.04587623842</x:v>
      </x:c>
      <x:c r="W60" s="50" t="str">
        <x:v>SWING_SETUP</x:v>
      </x:c>
      <x:c r="X60" s="50" t="str">
        <x:v>SWING_SETUP:38</x:v>
      </x:c>
      <x:c r="Y60" s="50" t="str">
        <x:f>IF(N60="","NO ALERT PRICE",IF(O60="","NO FRIDAY CLOSE","OK"))</x:f>
        <x:v>OK</x:v>
      </x:c>
    </x:row>
    <x:row r="61">
      <x:c r="A61" s="50" t="str">
        <x:v>NOVT</x:v>
      </x:c>
      <x:c r="B61" s="50" t="n">
        <x:v>10</x:v>
      </x:c>
      <x:c r="C61" s="70" t="n">
        <x:v>46241.60557417824</x:v>
      </x:c>
      <x:c r="D61" s="50" t="str">
        <x:v>SWING_SETUP</x:v>
      </x:c>
      <x:c r="E61" s="71" t="n">
        <x:v>169.565</x:v>
      </x:c>
      <x:c r="F61" s="70"/>
      <x:c r="G61" s="50"/>
      <x:c r="H61" s="50"/>
      <x:c r="I61" s="71"/>
      <x:c r="J61" s="50" t="str">
        <x:v>REGISTRO_CONFIRMADO</x:v>
      </x:c>
      <x:c r="K61" s="70" t="n">
        <x:v>46241.60557417824</x:v>
      </x:c>
      <x:c r="L61" s="50" t="str">
        <x:v>SWING_SETUP</x:v>
      </x:c>
      <x:c r="M61" s="50" t="str">
        <x:v>LONG</x:v>
      </x:c>
      <x:c r="N61" s="72" t="n">
        <x:v>169.565</x:v>
      </x:c>
      <x:c r="O61" s="72" t="n">
        <x:v>166.37</x:v>
      </x:c>
      <x:c r="P61" s="73" t="n">
        <x:f>IF(OR(N61="",O61=""),"",O61-N61)</x:f>
        <x:v>-3.194999999999993</x:v>
      </x:c>
      <x:c r="Q61" s="74" t="n">
        <x:f>IF(OR(N61="",O61="",N61=0),"",O61/N61-1)</x:f>
        <x:v>-0.0188423318491433</x:v>
      </x:c>
      <x:c r="R61" s="74" t="n">
        <x:f>IF(M61="SHORT",-Q61,IF(M61="LONG",Q61,""))</x:f>
        <x:v>-0.0188423318491433</x:v>
      </x:c>
      <x:c r="S61" s="75" t="str">
        <x:f>IF(R61="","N/A",IF(R61&gt;0,"GAIN",IF(R61&lt;0,"LOSS","FLAT")))</x:f>
        <x:v>LOSS</x:v>
      </x:c>
      <x:c r="T61" s="76" t="str">
        <x:v>SIP</x:v>
      </x:c>
      <x:c r="U61" s="76" t="str">
        <x:v>FINAL</x:v>
      </x:c>
      <x:c r="V61" s="70" t="n">
        <x:v>46241.78405994213</x:v>
      </x:c>
      <x:c r="W61" s="50" t="str">
        <x:v>SWING_SETUP</x:v>
      </x:c>
      <x:c r="X61" s="50" t="str">
        <x:v>SWING_SETUP:10</x:v>
      </x:c>
      <x:c r="Y61" s="50" t="str">
        <x:f>IF(N61="","NO ALERT PRICE",IF(O61="","NO FRIDAY CLOSE","OK"))</x:f>
        <x:v>OK</x:v>
      </x:c>
    </x:row>
    <x:row r="62">
      <x:c r="A62" s="50" t="str">
        <x:v>NTR</x:v>
      </x:c>
      <x:c r="B62" s="50" t="n">
        <x:v>1</x:v>
      </x:c>
      <x:c r="C62" s="70" t="n">
        <x:v>46241.17433016204</x:v>
      </x:c>
      <x:c r="D62" s="50" t="str">
        <x:v>SWING_SETUP</x:v>
      </x:c>
      <x:c r="E62" s="71" t="n">
        <x:v>67.8375</x:v>
      </x:c>
      <x:c r="F62" s="70"/>
      <x:c r="G62" s="50"/>
      <x:c r="H62" s="50"/>
      <x:c r="I62" s="71"/>
      <x:c r="J62" s="50" t="str">
        <x:v>REGISTRO_CONFIRMADO</x:v>
      </x:c>
      <x:c r="K62" s="70" t="n">
        <x:v>46241.17433016204</x:v>
      </x:c>
      <x:c r="L62" s="50" t="str">
        <x:v>SWING_SETUP</x:v>
      </x:c>
      <x:c r="M62" s="50" t="str">
        <x:v>LONG</x:v>
      </x:c>
      <x:c r="N62" s="72" t="n">
        <x:v>67.8375</x:v>
      </x:c>
      <x:c r="O62" s="72" t="n">
        <x:v>64.42</x:v>
      </x:c>
      <x:c r="P62" s="73" t="n">
        <x:f>IF(OR(N62="",O62=""),"",O62-N62)</x:f>
        <x:v>-3.417500000000004</x:v>
      </x:c>
      <x:c r="Q62" s="74" t="n">
        <x:f>IF(OR(N62="",O62="",N62=0),"",O62/N62-1)</x:f>
        <x:v>-0.05037774092500469</x:v>
      </x:c>
      <x:c r="R62" s="74" t="n">
        <x:f>IF(M62="SHORT",-Q62,IF(M62="LONG",Q62,""))</x:f>
        <x:v>-0.05037774092500469</x:v>
      </x:c>
      <x:c r="S62" s="75" t="str">
        <x:f>IF(R62="","N/A",IF(R62&gt;0,"GAIN",IF(R62&lt;0,"LOSS","FLAT")))</x:f>
        <x:v>LOSS</x:v>
      </x:c>
      <x:c r="T62" s="76" t="str">
        <x:v>SIP</x:v>
      </x:c>
      <x:c r="U62" s="76" t="str">
        <x:v>FINAL</x:v>
      </x:c>
      <x:c r="V62" s="70" t="n">
        <x:v>46241.17433016204</x:v>
      </x:c>
      <x:c r="W62" s="50" t="str">
        <x:v>SWING_SETUP</x:v>
      </x:c>
      <x:c r="X62" s="50" t="str">
        <x:v>SWING_SETUP:1</x:v>
      </x:c>
      <x:c r="Y62" s="50" t="str">
        <x:f>IF(N62="","NO ALERT PRICE",IF(O62="","NO FRIDAY CLOSE","OK"))</x:f>
        <x:v>OK</x:v>
      </x:c>
    </x:row>
    <x:row r="63">
      <x:c r="A63" s="50" t="str">
        <x:v>NU</x:v>
      </x:c>
      <x:c r="B63" s="50" t="n">
        <x:v>6</x:v>
      </x:c>
      <x:c r="C63" s="70" t="n">
        <x:v>46241.66811018519</x:v>
      </x:c>
      <x:c r="D63" s="50" t="str">
        <x:v>ENTRY_WATCH</x:v>
      </x:c>
      <x:c r="E63" s="71" t="n">
        <x:v>13.91</x:v>
      </x:c>
      <x:c r="F63" s="70"/>
      <x:c r="G63" s="50"/>
      <x:c r="H63" s="50"/>
      <x:c r="I63" s="71"/>
      <x:c r="J63" s="50" t="str">
        <x:v>REGISTRO_CONFIRMADO</x:v>
      </x:c>
      <x:c r="K63" s="70" t="n">
        <x:v>46241.66811018519</x:v>
      </x:c>
      <x:c r="L63" s="50" t="str">
        <x:v>ENTRY_WATCH</x:v>
      </x:c>
      <x:c r="M63" s="50" t="str">
        <x:v>LONG</x:v>
      </x:c>
      <x:c r="N63" s="72" t="n">
        <x:v>13.91</x:v>
      </x:c>
      <x:c r="O63" s="72" t="n">
        <x:v>13.84</x:v>
      </x:c>
      <x:c r="P63" s="73" t="n">
        <x:f>IF(OR(N63="",O63=""),"",O63-N63)</x:f>
        <x:v>-0.07000000000000028</x:v>
      </x:c>
      <x:c r="Q63" s="74" t="n">
        <x:f>IF(OR(N63="",O63="",N63=0),"",O63/N63-1)</x:f>
        <x:v>-0.005032350826743359</x:v>
      </x:c>
      <x:c r="R63" s="74" t="n">
        <x:f>IF(M63="SHORT",-Q63,IF(M63="LONG",Q63,""))</x:f>
        <x:v>-0.005032350826743359</x:v>
      </x:c>
      <x:c r="S63" s="75" t="str">
        <x:f>IF(R63="","N/A",IF(R63&gt;0,"GAIN",IF(R63&lt;0,"LOSS","FLAT")))</x:f>
        <x:v>LOSS</x:v>
      </x:c>
      <x:c r="T63" s="76" t="str">
        <x:v>SIP</x:v>
      </x:c>
      <x:c r="U63" s="76" t="str">
        <x:v>FINAL</x:v>
      </x:c>
      <x:c r="V63" s="70" t="n">
        <x:v>46241.71116385417</x:v>
      </x:c>
      <x:c r="W63" s="50" t="str">
        <x:v>ENTRY_WATCH</x:v>
      </x:c>
      <x:c r="X63" s="50" t="str">
        <x:v>ENTRY_OPPORTUNITY_PROGRESS:1, ENTRY_WATCH:5</x:v>
      </x:c>
      <x:c r="Y63" s="50" t="str">
        <x:f>IF(N63="","NO ALERT PRICE",IF(O63="","NO FRIDAY CLOSE","OK"))</x:f>
        <x:v>OK</x:v>
      </x:c>
    </x:row>
    <x:row r="64">
      <x:c r="A64" s="50" t="str">
        <x:v>NUE</x:v>
      </x:c>
      <x:c r="B64" s="50" t="n">
        <x:v>26</x:v>
      </x:c>
      <x:c r="C64" s="70" t="n">
        <x:v>46241.17433028935</x:v>
      </x:c>
      <x:c r="D64" s="50" t="str">
        <x:v>SWING_SETUP</x:v>
      </x:c>
      <x:c r="E64" s="71" t="n">
        <x:v>271.03</x:v>
      </x:c>
      <x:c r="F64" s="70"/>
      <x:c r="G64" s="50"/>
      <x:c r="H64" s="50"/>
      <x:c r="I64" s="71"/>
      <x:c r="J64" s="50" t="str">
        <x:v>REGISTRO_CONFIRMADO</x:v>
      </x:c>
      <x:c r="K64" s="70" t="n">
        <x:v>46241.17433028935</x:v>
      </x:c>
      <x:c r="L64" s="50" t="str">
        <x:v>SWING_SETUP</x:v>
      </x:c>
      <x:c r="M64" s="50" t="str">
        <x:v>LONG</x:v>
      </x:c>
      <x:c r="N64" s="72" t="n">
        <x:v>271.03</x:v>
      </x:c>
      <x:c r="O64" s="72" t="n">
        <x:v>272.63</x:v>
      </x:c>
      <x:c r="P64" s="73" t="n">
        <x:f>IF(OR(N64="",O64=""),"",O64-N64)</x:f>
        <x:v>1.6000000000000227</x:v>
      </x:c>
      <x:c r="Q64" s="74" t="n">
        <x:f>IF(OR(N64="",O64="",N64=0),"",O64/N64-1)</x:f>
        <x:v>0.005903405527063477</x:v>
      </x:c>
      <x:c r="R64" s="74" t="n">
        <x:f>IF(M64="SHORT",-Q64,IF(M64="LONG",Q64,""))</x:f>
        <x:v>0.005903405527063477</x:v>
      </x:c>
      <x:c r="S64" s="75" t="str">
        <x:f>IF(R64="","N/A",IF(R64&gt;0,"GAIN",IF(R64&lt;0,"LOSS","FLAT")))</x:f>
        <x:v>GAIN</x:v>
      </x:c>
      <x:c r="T64" s="76" t="str">
        <x:v>SIP</x:v>
      </x:c>
      <x:c r="U64" s="76" t="str">
        <x:v>FINAL</x:v>
      </x:c>
      <x:c r="V64" s="70" t="n">
        <x:v>46242.04171430555</x:v>
      </x:c>
      <x:c r="W64" s="50" t="str">
        <x:v>SWING_SETUP</x:v>
      </x:c>
      <x:c r="X64" s="50" t="str">
        <x:v>SWING_SETUP:26</x:v>
      </x:c>
      <x:c r="Y64" s="50" t="str">
        <x:f>IF(N64="","NO ALERT PRICE",IF(O64="","NO FRIDAY CLOSE","OK"))</x:f>
        <x:v>OK</x:v>
      </x:c>
    </x:row>
    <x:row r="65">
      <x:c r="A65" s="50" t="str">
        <x:v>NVDA</x:v>
      </x:c>
      <x:c r="B65" s="50" t="n">
        <x:v>24</x:v>
      </x:c>
      <x:c r="C65" s="70" t="n">
        <x:v>46241.53196039352</x:v>
      </x:c>
      <x:c r="D65" s="50" t="str">
        <x:v>SWING_SETUP</x:v>
      </x:c>
      <x:c r="E65" s="71" t="n">
        <x:v>221.2999</x:v>
      </x:c>
      <x:c r="F65" s="70"/>
      <x:c r="G65" s="50"/>
      <x:c r="H65" s="50"/>
      <x:c r="I65" s="71"/>
      <x:c r="J65" s="50" t="str">
        <x:v>REGISTRO_CONFIRMADO</x:v>
      </x:c>
      <x:c r="K65" s="70" t="n">
        <x:v>46241.53196039352</x:v>
      </x:c>
      <x:c r="L65" s="50" t="str">
        <x:v>SWING_SETUP</x:v>
      </x:c>
      <x:c r="M65" s="50" t="str">
        <x:v>LONG</x:v>
      </x:c>
      <x:c r="N65" s="72" t="n">
        <x:v>221.2999</x:v>
      </x:c>
      <x:c r="O65" s="72" t="n">
        <x:v>223.96</x:v>
      </x:c>
      <x:c r="P65" s="73" t="n">
        <x:f>IF(OR(N65="",O65=""),"",O65-N65)</x:f>
        <x:v>2.6601</x:v>
      </x:c>
      <x:c r="Q65" s="74" t="n">
        <x:f>IF(OR(N65="",O65="",N65=0),"",O65/N65-1)</x:f>
        <x:v>0.012020339819403425</x:v>
      </x:c>
      <x:c r="R65" s="74" t="n">
        <x:f>IF(M65="SHORT",-Q65,IF(M65="LONG",Q65,""))</x:f>
        <x:v>0.012020339819403425</x:v>
      </x:c>
      <x:c r="S65" s="75" t="str">
        <x:f>IF(R65="","N/A",IF(R65&gt;0,"GAIN",IF(R65&lt;0,"LOSS","FLAT")))</x:f>
        <x:v>GAIN</x:v>
      </x:c>
      <x:c r="T65" s="76" t="str">
        <x:v>SIP</x:v>
      </x:c>
      <x:c r="U65" s="76" t="str">
        <x:v>FINAL</x:v>
      </x:c>
      <x:c r="V65" s="70" t="n">
        <x:v>46242.047272951386</x:v>
      </x:c>
      <x:c r="W65" s="50" t="str">
        <x:v>SWING_SETUP</x:v>
      </x:c>
      <x:c r="X65" s="50" t="str">
        <x:v>SWING_SETUP:24</x:v>
      </x:c>
      <x:c r="Y65" s="50" t="str">
        <x:f>IF(N65="","NO ALERT PRICE",IF(O65="","NO FRIDAY CLOSE","OK"))</x:f>
        <x:v>OK</x:v>
      </x:c>
    </x:row>
    <x:row r="66">
      <x:c r="A66" s="50" t="str">
        <x:v>NXE</x:v>
      </x:c>
      <x:c r="B66" s="50" t="n">
        <x:v>31</x:v>
      </x:c>
      <x:c r="C66" s="70" t="n">
        <x:v>46241.56323359954</x:v>
      </x:c>
      <x:c r="D66" s="50" t="str">
        <x:v>SWING_SETUP</x:v>
      </x:c>
      <x:c r="E66" s="71" t="n">
        <x:v>10.58</x:v>
      </x:c>
      <x:c r="F66" s="70"/>
      <x:c r="G66" s="50"/>
      <x:c r="H66" s="50"/>
      <x:c r="I66" s="71"/>
      <x:c r="J66" s="50" t="str">
        <x:v>REGISTRO_CONFIRMADO</x:v>
      </x:c>
      <x:c r="K66" s="70" t="n">
        <x:v>46241.56323359954</x:v>
      </x:c>
      <x:c r="L66" s="50" t="str">
        <x:v>SWING_SETUP</x:v>
      </x:c>
      <x:c r="M66" s="50" t="str">
        <x:v>LONG</x:v>
      </x:c>
      <x:c r="N66" s="72" t="n">
        <x:v>10.58</x:v>
      </x:c>
      <x:c r="O66" s="72" t="n">
        <x:v>10.43</x:v>
      </x:c>
      <x:c r="P66" s="73" t="n">
        <x:f>IF(OR(N66="",O66=""),"",O66-N66)</x:f>
        <x:v>-0.15000000000000036</x:v>
      </x:c>
      <x:c r="Q66" s="74" t="n">
        <x:f>IF(OR(N66="",O66="",N66=0),"",O66/N66-1)</x:f>
        <x:v>-0.01417769376181477</x:v>
      </x:c>
      <x:c r="R66" s="74" t="n">
        <x:f>IF(M66="SHORT",-Q66,IF(M66="LONG",Q66,""))</x:f>
        <x:v>-0.01417769376181477</x:v>
      </x:c>
      <x:c r="S66" s="75" t="str">
        <x:f>IF(R66="","N/A",IF(R66&gt;0,"GAIN",IF(R66&lt;0,"LOSS","FLAT")))</x:f>
        <x:v>LOSS</x:v>
      </x:c>
      <x:c r="T66" s="76" t="str">
        <x:v>SIP</x:v>
      </x:c>
      <x:c r="U66" s="76" t="str">
        <x:v>FINAL</x:v>
      </x:c>
      <x:c r="V66" s="70" t="n">
        <x:v>46242.04032049768</x:v>
      </x:c>
      <x:c r="W66" s="50" t="str">
        <x:v>SWING_SETUP</x:v>
      </x:c>
      <x:c r="X66" s="50" t="str">
        <x:v>SWING_SETUP:31</x:v>
      </x:c>
      <x:c r="Y66" s="50" t="str">
        <x:f>IF(N66="","NO ALERT PRICE",IF(O66="","NO FRIDAY CLOSE","OK"))</x:f>
        <x:v>OK</x:v>
      </x:c>
    </x:row>
    <x:row r="67">
      <x:c r="A67" s="50" t="str">
        <x:v>ONDS</x:v>
      </x:c>
      <x:c r="B67" s="50" t="n">
        <x:v>3</x:v>
      </x:c>
      <x:c r="C67" s="70" t="n">
        <x:v>46241.636141550924</x:v>
      </x:c>
      <x:c r="D67" s="50" t="str">
        <x:v>SWING_SETUP</x:v>
      </x:c>
      <x:c r="E67" s="71" t="n">
        <x:v>8.8786</x:v>
      </x:c>
      <x:c r="F67" s="70"/>
      <x:c r="G67" s="50"/>
      <x:c r="H67" s="50"/>
      <x:c r="I67" s="71"/>
      <x:c r="J67" s="50" t="str">
        <x:v>REGISTRO_CONFIRMADO</x:v>
      </x:c>
      <x:c r="K67" s="70" t="n">
        <x:v>46241.636141550924</x:v>
      </x:c>
      <x:c r="L67" s="50" t="str">
        <x:v>SWING_SETUP</x:v>
      </x:c>
      <x:c r="M67" s="50" t="str">
        <x:v>LONG</x:v>
      </x:c>
      <x:c r="N67" s="72" t="n">
        <x:v>8.8786</x:v>
      </x:c>
      <x:c r="O67" s="72" t="n">
        <x:v>9.11</x:v>
      </x:c>
      <x:c r="P67" s="73" t="n">
        <x:f>IF(OR(N67="",O67=""),"",O67-N67)</x:f>
        <x:v>0.23139999999999894</x:v>
      </x:c>
      <x:c r="Q67" s="74" t="n">
        <x:f>IF(OR(N67="",O67="",N67=0),"",O67/N67-1)</x:f>
        <x:v>0.026062667537674722</x:v>
      </x:c>
      <x:c r="R67" s="74" t="n">
        <x:f>IF(M67="SHORT",-Q67,IF(M67="LONG",Q67,""))</x:f>
        <x:v>0.026062667537674722</x:v>
      </x:c>
      <x:c r="S67" s="75" t="str">
        <x:f>IF(R67="","N/A",IF(R67&gt;0,"GAIN",IF(R67&lt;0,"LOSS","FLAT")))</x:f>
        <x:v>GAIN</x:v>
      </x:c>
      <x:c r="T67" s="76" t="str">
        <x:v>SIP</x:v>
      </x:c>
      <x:c r="U67" s="76" t="str">
        <x:v>FINAL</x:v>
      </x:c>
      <x:c r="V67" s="70" t="n">
        <x:v>46241.65698539352</x:v>
      </x:c>
      <x:c r="W67" s="50" t="str">
        <x:v>SWING_SETUP</x:v>
      </x:c>
      <x:c r="X67" s="50" t="str">
        <x:v>SWING_SETUP:3</x:v>
      </x:c>
      <x:c r="Y67" s="50" t="str">
        <x:f>IF(N67="","NO ALERT PRICE",IF(O67="","NO FRIDAY CLOSE","OK"))</x:f>
        <x:v>OK</x:v>
      </x:c>
    </x:row>
    <x:row r="68">
      <x:c r="A68" s="50" t="str">
        <x:v>ONTO</x:v>
      </x:c>
      <x:c r="B68" s="50" t="n">
        <x:v>6</x:v>
      </x:c>
      <x:c r="C68" s="70" t="n">
        <x:v>46241.594467511575</x:v>
      </x:c>
      <x:c r="D68" s="50" t="str">
        <x:v>SWING_SETUP</x:v>
      </x:c>
      <x:c r="E68" s="71" t="n">
        <x:v>301.1325</x:v>
      </x:c>
      <x:c r="F68" s="70"/>
      <x:c r="G68" s="50"/>
      <x:c r="H68" s="50"/>
      <x:c r="I68" s="71"/>
      <x:c r="J68" s="50" t="str">
        <x:v>REGISTRO_CONFIRMADO</x:v>
      </x:c>
      <x:c r="K68" s="70" t="n">
        <x:v>46241.594467511575</x:v>
      </x:c>
      <x:c r="L68" s="50" t="str">
        <x:v>SWING_SETUP</x:v>
      </x:c>
      <x:c r="M68" s="50" t="str">
        <x:v>LONG</x:v>
      </x:c>
      <x:c r="N68" s="72" t="n">
        <x:v>301.1325</x:v>
      </x:c>
      <x:c r="O68" s="72" t="n">
        <x:v>308.3</x:v>
      </x:c>
      <x:c r="P68" s="73" t="n">
        <x:f>IF(OR(N68="",O68=""),"",O68-N68)</x:f>
        <x:v>7.167500000000018</x:v>
      </x:c>
      <x:c r="Q68" s="74" t="n">
        <x:f>IF(OR(N68="",O68="",N68=0),"",O68/N68-1)</x:f>
        <x:v>0.023801814815737288</x:v>
      </x:c>
      <x:c r="R68" s="74" t="n">
        <x:f>IF(M68="SHORT",-Q68,IF(M68="LONG",Q68,""))</x:f>
        <x:v>0.023801814815737288</x:v>
      </x:c>
      <x:c r="S68" s="75" t="str">
        <x:f>IF(R68="","N/A",IF(R68&gt;0,"GAIN",IF(R68&lt;0,"LOSS","FLAT")))</x:f>
        <x:v>GAIN</x:v>
      </x:c>
      <x:c r="T68" s="76" t="str">
        <x:v>SIP</x:v>
      </x:c>
      <x:c r="U68" s="76" t="str">
        <x:v>FINAL</x:v>
      </x:c>
      <x:c r="V68" s="70" t="n">
        <x:v>46241.793096678244</x:v>
      </x:c>
      <x:c r="W68" s="50" t="str">
        <x:v>SWING_SETUP</x:v>
      </x:c>
      <x:c r="X68" s="50" t="str">
        <x:v>SWING_SETUP:6</x:v>
      </x:c>
      <x:c r="Y68" s="50" t="str">
        <x:f>IF(N68="","NO ALERT PRICE",IF(O68="","NO FRIDAY CLOSE","OK"))</x:f>
        <x:v>OK</x:v>
      </x:c>
    </x:row>
    <x:row r="69">
      <x:c r="A69" s="50" t="str">
        <x:v>OXY</x:v>
      </x:c>
      <x:c r="B69" s="50" t="n">
        <x:v>87</x:v>
      </x:c>
      <x:c r="C69" s="70" t="n">
        <x:v>46241.174324224536</x:v>
      </x:c>
      <x:c r="D69" s="50" t="str">
        <x:v>SWING_SETUP</x:v>
      </x:c>
      <x:c r="E69" s="71" t="n">
        <x:v>56.0386</x:v>
      </x:c>
      <x:c r="F69" s="70"/>
      <x:c r="G69" s="50"/>
      <x:c r="H69" s="50"/>
      <x:c r="I69" s="71"/>
      <x:c r="J69" s="50" t="str">
        <x:v>REGISTRO_CONFIRMADO</x:v>
      </x:c>
      <x:c r="K69" s="70" t="n">
        <x:v>46241.174324224536</x:v>
      </x:c>
      <x:c r="L69" s="50" t="str">
        <x:v>SWING_SETUP</x:v>
      </x:c>
      <x:c r="M69" s="50" t="str">
        <x:v>LONG</x:v>
      </x:c>
      <x:c r="N69" s="72" t="n">
        <x:v>56.0386</x:v>
      </x:c>
      <x:c r="O69" s="72" t="n">
        <x:v>55.91</x:v>
      </x:c>
      <x:c r="P69" s="73" t="n">
        <x:f>IF(OR(N69="",O69=""),"",O69-N69)</x:f>
        <x:v>-0.12860000000000582</x:v>
      </x:c>
      <x:c r="Q69" s="74" t="n">
        <x:f>IF(OR(N69="",O69="",N69=0),"",O69/N69-1)</x:f>
        <x:v>-0.0022948467663361782</x:v>
      </x:c>
      <x:c r="R69" s="74" t="n">
        <x:f>IF(M69="SHORT",-Q69,IF(M69="LONG",Q69,""))</x:f>
        <x:v>-0.0022948467663361782</x:v>
      </x:c>
      <x:c r="S69" s="75" t="str">
        <x:f>IF(R69="","N/A",IF(R69&gt;0,"GAIN",IF(R69&lt;0,"LOSS","FLAT")))</x:f>
        <x:v>LOSS</x:v>
      </x:c>
      <x:c r="T69" s="76" t="str">
        <x:v>SIP</x:v>
      </x:c>
      <x:c r="U69" s="76" t="str">
        <x:v>FINAL</x:v>
      </x:c>
      <x:c r="V69" s="70" t="n">
        <x:v>46242.047274386576</x:v>
      </x:c>
      <x:c r="W69" s="50" t="str">
        <x:v>SWING_SETUP</x:v>
      </x:c>
      <x:c r="X69" s="50" t="str">
        <x:v>LONG_BUY_ZONE:41, SWING_SETUP:46</x:v>
      </x:c>
      <x:c r="Y69" s="50" t="str">
        <x:f>IF(N69="","NO ALERT PRICE",IF(O69="","NO FRIDAY CLOSE","OK"))</x:f>
        <x:v>OK</x:v>
      </x:c>
    </x:row>
    <x:row r="70">
      <x:c r="A70" s="50" t="str">
        <x:v>PFE</x:v>
      </x:c>
      <x:c r="B70" s="50" t="n">
        <x:v>49</x:v>
      </x:c>
      <x:c r="C70" s="70" t="n">
        <x:v>46241.17433364583</x:v>
      </x:c>
      <x:c r="D70" s="50" t="str">
        <x:v>SWING_SETUP</x:v>
      </x:c>
      <x:c r="E70" s="71" t="n">
        <x:v>26.12</x:v>
      </x:c>
      <x:c r="F70" s="70"/>
      <x:c r="G70" s="50"/>
      <x:c r="H70" s="50"/>
      <x:c r="I70" s="71"/>
      <x:c r="J70" s="50" t="str">
        <x:v>REGISTRO_CONFIRMADO</x:v>
      </x:c>
      <x:c r="K70" s="70" t="n">
        <x:v>46241.17433364583</x:v>
      </x:c>
      <x:c r="L70" s="50" t="str">
        <x:v>SWING_SETUP</x:v>
      </x:c>
      <x:c r="M70" s="50" t="str">
        <x:v>LONG</x:v>
      </x:c>
      <x:c r="N70" s="72" t="n">
        <x:v>26.12</x:v>
      </x:c>
      <x:c r="O70" s="72" t="n">
        <x:v>26.76</x:v>
      </x:c>
      <x:c r="P70" s="73" t="n">
        <x:f>IF(OR(N70="",O70=""),"",O70-N70)</x:f>
        <x:v>0.6400000000000006</x:v>
      </x:c>
      <x:c r="Q70" s="74" t="n">
        <x:f>IF(OR(N70="",O70="",N70=0),"",O70/N70-1)</x:f>
        <x:v>0.024502297090352343</x:v>
      </x:c>
      <x:c r="R70" s="74" t="n">
        <x:f>IF(M70="SHORT",-Q70,IF(M70="LONG",Q70,""))</x:f>
        <x:v>0.024502297090352343</x:v>
      </x:c>
      <x:c r="S70" s="75" t="str">
        <x:f>IF(R70="","N/A",IF(R70&gt;0,"GAIN",IF(R70&lt;0,"LOSS","FLAT")))</x:f>
        <x:v>GAIN</x:v>
      </x:c>
      <x:c r="T70" s="76" t="str">
        <x:v>SIP</x:v>
      </x:c>
      <x:c r="U70" s="76" t="str">
        <x:v>FINAL</x:v>
      </x:c>
      <x:c r="V70" s="70" t="n">
        <x:v>46242.04171075232</x:v>
      </x:c>
      <x:c r="W70" s="50" t="str">
        <x:v>SWING_SETUP</x:v>
      </x:c>
      <x:c r="X70" s="50" t="str">
        <x:v>SWING_SETUP:49</x:v>
      </x:c>
      <x:c r="Y70" s="50" t="str">
        <x:f>IF(N70="","NO ALERT PRICE",IF(O70="","NO FRIDAY CLOSE","OK"))</x:f>
        <x:v>OK</x:v>
      </x:c>
    </x:row>
    <x:row r="71">
      <x:c r="A71" s="50" t="str">
        <x:v>PLTR</x:v>
      </x:c>
      <x:c r="B71" s="50" t="n">
        <x:v>45</x:v>
      </x:c>
      <x:c r="C71" s="70" t="n">
        <x:v>46241.584046550925</x:v>
      </x:c>
      <x:c r="D71" s="50" t="str">
        <x:v>SWING_SETUP</x:v>
      </x:c>
      <x:c r="E71" s="71" t="n">
        <x:v>168.28</x:v>
      </x:c>
      <x:c r="F71" s="70" t="n">
        <x:v>46241.6548959375</x:v>
      </x:c>
      <x:c r="G71" s="50" t="str">
        <x:v>ENTRY_CONFIRMED</x:v>
      </x:c>
      <x:c r="H71" s="50" t="str">
        <x:v>L2_SWING_CONFIRMED</x:v>
      </x:c>
      <x:c r="I71" s="71" t="n">
        <x:v>169.7909</x:v>
      </x:c>
      <x:c r="J71" s="50" t="str">
        <x:v>REGISTRO_L1_L4</x:v>
      </x:c>
      <x:c r="K71" s="70" t="n">
        <x:v>46241.6548959375</x:v>
      </x:c>
      <x:c r="L71" s="50" t="str">
        <x:v>ENTRY_CONFIRMED</x:v>
      </x:c>
      <x:c r="M71" s="50" t="str">
        <x:v>LONG</x:v>
      </x:c>
      <x:c r="N71" s="72" t="n">
        <x:v>169.7909</x:v>
      </x:c>
      <x:c r="O71" s="72" t="n">
        <x:v>172.01</x:v>
      </x:c>
      <x:c r="P71" s="73" t="n">
        <x:f>IF(OR(N71="",O71=""),"",O71-N71)</x:f>
        <x:v>2.2190999999999974</x:v>
      </x:c>
      <x:c r="Q71" s="74" t="n">
        <x:f>IF(OR(N71="",O71="",N71=0),"",O71/N71-1)</x:f>
        <x:v>0.013069605025946673</x:v>
      </x:c>
      <x:c r="R71" s="74" t="n">
        <x:f>IF(M71="SHORT",-Q71,IF(M71="LONG",Q71,""))</x:f>
        <x:v>0.013069605025946673</x:v>
      </x:c>
      <x:c r="S71" s="75" t="str">
        <x:f>IF(R71="","N/A",IF(R71&gt;0,"GAIN",IF(R71&lt;0,"LOSS","FLAT")))</x:f>
        <x:v>GAIN</x:v>
      </x:c>
      <x:c r="T71" s="76" t="str">
        <x:v>SIP</x:v>
      </x:c>
      <x:c r="U71" s="76" t="str">
        <x:v>FINAL</x:v>
      </x:c>
      <x:c r="V71" s="70" t="n">
        <x:v>46242.04519001157</x:v>
      </x:c>
      <x:c r="W71" s="50" t="str">
        <x:v>SWING_SETUP</x:v>
      </x:c>
      <x:c r="X71" s="50" t="str">
        <x:v>ENTRY_CONFIRMED:1, SWING_SETUP:44</x:v>
      </x:c>
      <x:c r="Y71" s="50" t="str">
        <x:f>IF(N71="","NO ALERT PRICE",IF(O71="","NO FRIDAY CLOSE","OK"))</x:f>
        <x:v>OK</x:v>
      </x:c>
    </x:row>
    <x:row r="72">
      <x:c r="A72" s="50" t="str">
        <x:v>PM</x:v>
      </x:c>
      <x:c r="B72" s="50" t="n">
        <x:v>78</x:v>
      </x:c>
      <x:c r="C72" s="70" t="n">
        <x:v>46241.174330636575</x:v>
      </x:c>
      <x:c r="D72" s="50" t="str">
        <x:v>SWING_SETUP</x:v>
      </x:c>
      <x:c r="E72" s="71" t="n">
        <x:v>187.5</x:v>
      </x:c>
      <x:c r="F72" s="70" t="n">
        <x:v>46241.613220162035</x:v>
      </x:c>
      <x:c r="G72" s="50" t="str">
        <x:v>HIGH_CONVICTION_BUY</x:v>
      </x:c>
      <x:c r="H72" s="50" t="str">
        <x:v>L3_HIGH_CONVICTION</x:v>
      </x:c>
      <x:c r="I72" s="71" t="n">
        <x:v>189.48</x:v>
      </x:c>
      <x:c r="J72" s="50" t="str">
        <x:v>REGISTRO_L1_L4</x:v>
      </x:c>
      <x:c r="K72" s="70" t="n">
        <x:v>46241.613220162035</x:v>
      </x:c>
      <x:c r="L72" s="50" t="str">
        <x:v>HIGH_CONVICTION_BUY</x:v>
      </x:c>
      <x:c r="M72" s="50" t="str">
        <x:v>LONG</x:v>
      </x:c>
      <x:c r="N72" s="72" t="n">
        <x:v>189.48</x:v>
      </x:c>
      <x:c r="O72" s="72" t="n">
        <x:v>189.57</x:v>
      </x:c>
      <x:c r="P72" s="73" t="n">
        <x:f>IF(OR(N72="",O72=""),"",O72-N72)</x:f>
        <x:v>0.09000000000000341</x:v>
      </x:c>
      <x:c r="Q72" s="74" t="n">
        <x:f>IF(OR(N72="",O72="",N72=0),"",O72/N72-1)</x:f>
        <x:v>0.0004749841671944921</x:v>
      </x:c>
      <x:c r="R72" s="74" t="n">
        <x:f>IF(M72="SHORT",-Q72,IF(M72="LONG",Q72,""))</x:f>
        <x:v>0.0004749841671944921</x:v>
      </x:c>
      <x:c r="S72" s="75" t="str">
        <x:f>IF(R72="","N/A",IF(R72&gt;0,"GAIN",IF(R72&lt;0,"LOSS","FLAT")))</x:f>
        <x:v>GAIN</x:v>
      </x:c>
      <x:c r="T72" s="76" t="str">
        <x:v>SIP</x:v>
      </x:c>
      <x:c r="U72" s="76" t="str">
        <x:v>FINAL</x:v>
      </x:c>
      <x:c r="V72" s="70" t="n">
        <x:v>46242.04031819444</x:v>
      </x:c>
      <x:c r="W72" s="50" t="str">
        <x:v>SWING_SETUP</x:v>
      </x:c>
      <x:c r="X72" s="50" t="str">
        <x:v>HIGH_CONVICTION_BUY:1, LONG_BUY_ZONE:31, SWING_SETUP:46</x:v>
      </x:c>
      <x:c r="Y72" s="50" t="str">
        <x:f>IF(N72="","NO ALERT PRICE",IF(O72="","NO FRIDAY CLOSE","OK"))</x:f>
        <x:v>OK</x:v>
      </x:c>
    </x:row>
    <x:row r="73">
      <x:c r="A73" s="50" t="str">
        <x:v>PSX</x:v>
      </x:c>
      <x:c r="B73" s="50" t="n">
        <x:v>38</x:v>
      </x:c>
      <x:c r="C73" s="70" t="n">
        <x:v>46241.563227569444</x:v>
      </x:c>
      <x:c r="D73" s="50" t="str">
        <x:v>SWING_SETUP</x:v>
      </x:c>
      <x:c r="E73" s="71" t="n">
        <x:v>205.5</x:v>
      </x:c>
      <x:c r="F73" s="70"/>
      <x:c r="G73" s="50"/>
      <x:c r="H73" s="50"/>
      <x:c r="I73" s="71"/>
      <x:c r="J73" s="50" t="str">
        <x:v>REGISTRO_CONFIRMADO</x:v>
      </x:c>
      <x:c r="K73" s="70" t="n">
        <x:v>46241.563227569444</x:v>
      </x:c>
      <x:c r="L73" s="50" t="str">
        <x:v>SWING_SETUP</x:v>
      </x:c>
      <x:c r="M73" s="50" t="str">
        <x:v>LONG</x:v>
      </x:c>
      <x:c r="N73" s="72" t="n">
        <x:v>205.5</x:v>
      </x:c>
      <x:c r="O73" s="72" t="n">
        <x:v>203.91</x:v>
      </x:c>
      <x:c r="P73" s="73" t="n">
        <x:f>IF(OR(N73="",O73=""),"",O73-N73)</x:f>
        <x:v>-1.5900000000000034</x:v>
      </x:c>
      <x:c r="Q73" s="74" t="n">
        <x:f>IF(OR(N73="",O73="",N73=0),"",O73/N73-1)</x:f>
        <x:v>-0.007737226277372278</x:v>
      </x:c>
      <x:c r="R73" s="74" t="n">
        <x:f>IF(M73="SHORT",-Q73,IF(M73="LONG",Q73,""))</x:f>
        <x:v>-0.007737226277372278</x:v>
      </x:c>
      <x:c r="S73" s="75" t="str">
        <x:f>IF(R73="","N/A",IF(R73&gt;0,"GAIN",IF(R73&lt;0,"LOSS","FLAT")))</x:f>
        <x:v>LOSS</x:v>
      </x:c>
      <x:c r="T73" s="76" t="str">
        <x:v>SIP</x:v>
      </x:c>
      <x:c r="U73" s="76" t="str">
        <x:v>FINAL</x:v>
      </x:c>
      <x:c r="V73" s="70" t="n">
        <x:v>46242.04587673611</x:v>
      </x:c>
      <x:c r="W73" s="50" t="str">
        <x:v>SWING_SETUP</x:v>
      </x:c>
      <x:c r="X73" s="50" t="str">
        <x:v>SWING_SETUP:38</x:v>
      </x:c>
      <x:c r="Y73" s="50" t="str">
        <x:f>IF(N73="","NO ALERT PRICE",IF(O73="","NO FRIDAY CLOSE","OK"))</x:f>
        <x:v>OK</x:v>
      </x:c>
    </x:row>
    <x:row r="74">
      <x:c r="A74" s="50" t="str">
        <x:v>PYPL</x:v>
      </x:c>
      <x:c r="B74" s="50" t="n">
        <x:v>36</x:v>
      </x:c>
      <x:c r="C74" s="70" t="n">
        <x:v>46241.17433353009</x:v>
      </x:c>
      <x:c r="D74" s="50" t="str">
        <x:v>SWING_SETUP</x:v>
      </x:c>
      <x:c r="E74" s="71" t="n">
        <x:v>59.65</x:v>
      </x:c>
      <x:c r="F74" s="70"/>
      <x:c r="G74" s="50"/>
      <x:c r="H74" s="50"/>
      <x:c r="I74" s="71"/>
      <x:c r="J74" s="50" t="str">
        <x:v>REGISTRO_CONFIRMADO</x:v>
      </x:c>
      <x:c r="K74" s="70" t="n">
        <x:v>46241.17433353009</x:v>
      </x:c>
      <x:c r="L74" s="50" t="str">
        <x:v>SWING_SETUP</x:v>
      </x:c>
      <x:c r="M74" s="50" t="str">
        <x:v>LONG</x:v>
      </x:c>
      <x:c r="N74" s="72" t="n">
        <x:v>59.65</x:v>
      </x:c>
      <x:c r="O74" s="72" t="n">
        <x:v>59.07</x:v>
      </x:c>
      <x:c r="P74" s="73" t="n">
        <x:f>IF(OR(N74="",O74=""),"",O74-N74)</x:f>
        <x:v>-0.5799999999999983</x:v>
      </x:c>
      <x:c r="Q74" s="74" t="n">
        <x:f>IF(OR(N74="",O74="",N74=0),"",O74/N74-1)</x:f>
        <x:v>-0.00972338642078785</x:v>
      </x:c>
      <x:c r="R74" s="74" t="n">
        <x:f>IF(M74="SHORT",-Q74,IF(M74="LONG",Q74,""))</x:f>
        <x:v>-0.00972338642078785</x:v>
      </x:c>
      <x:c r="S74" s="75" t="str">
        <x:f>IF(R74="","N/A",IF(R74&gt;0,"GAIN",IF(R74&lt;0,"LOSS","FLAT")))</x:f>
        <x:v>LOSS</x:v>
      </x:c>
      <x:c r="T74" s="76" t="str">
        <x:v>SIP</x:v>
      </x:c>
      <x:c r="U74" s="76" t="str">
        <x:v>FINAL</x:v>
      </x:c>
      <x:c r="V74" s="70" t="n">
        <x:v>46242.04448902778</x:v>
      </x:c>
      <x:c r="W74" s="50" t="str">
        <x:v>SWING_SETUP</x:v>
      </x:c>
      <x:c r="X74" s="50" t="str">
        <x:v>SWING_SETUP:36</x:v>
      </x:c>
      <x:c r="Y74" s="50" t="str">
        <x:f>IF(N74="","NO ALERT PRICE",IF(O74="","NO FRIDAY CLOSE","OK"))</x:f>
        <x:v>OK</x:v>
      </x:c>
    </x:row>
    <x:row r="75">
      <x:c r="A75" s="50" t="str">
        <x:v>RCL</x:v>
      </x:c>
      <x:c r="B75" s="50" t="n">
        <x:v>77</x:v>
      </x:c>
      <x:c r="C75" s="70" t="n">
        <x:v>46241.17432435185</x:v>
      </x:c>
      <x:c r="D75" s="50" t="str">
        <x:v>SWING_SETUP</x:v>
      </x:c>
      <x:c r="E75" s="71" t="n">
        <x:v>320.6</x:v>
      </x:c>
      <x:c r="F75" s="70"/>
      <x:c r="G75" s="50"/>
      <x:c r="H75" s="50"/>
      <x:c r="I75" s="71"/>
      <x:c r="J75" s="50" t="str">
        <x:v>REGISTRO_CONFIRMADO</x:v>
      </x:c>
      <x:c r="K75" s="70" t="n">
        <x:v>46241.17432435185</x:v>
      </x:c>
      <x:c r="L75" s="50" t="str">
        <x:v>SWING_SETUP</x:v>
      </x:c>
      <x:c r="M75" s="50" t="str">
        <x:v>LONG</x:v>
      </x:c>
      <x:c r="N75" s="72" t="n">
        <x:v>320.6</x:v>
      </x:c>
      <x:c r="O75" s="72" t="n">
        <x:v>320</x:v>
      </x:c>
      <x:c r="P75" s="73" t="n">
        <x:f>IF(OR(N75="",O75=""),"",O75-N75)</x:f>
        <x:v>-0.6000000000000227</x:v>
      </x:c>
      <x:c r="Q75" s="74" t="n">
        <x:f>IF(OR(N75="",O75="",N75=0),"",O75/N75-1)</x:f>
        <x:v>-0.0018714909544604863</x:v>
      </x:c>
      <x:c r="R75" s="74" t="n">
        <x:f>IF(M75="SHORT",-Q75,IF(M75="LONG",Q75,""))</x:f>
        <x:v>-0.0018714909544604863</x:v>
      </x:c>
      <x:c r="S75" s="75" t="str">
        <x:f>IF(R75="","N/A",IF(R75&gt;0,"GAIN",IF(R75&lt;0,"LOSS","FLAT")))</x:f>
        <x:v>LOSS</x:v>
      </x:c>
      <x:c r="T75" s="76" t="str">
        <x:v>SIP</x:v>
      </x:c>
      <x:c r="U75" s="76" t="str">
        <x:v>FINAL</x:v>
      </x:c>
      <x:c r="V75" s="70" t="n">
        <x:v>46242.03824652778</x:v>
      </x:c>
      <x:c r="W75" s="50" t="str">
        <x:v>SWING_SETUP</x:v>
      </x:c>
      <x:c r="X75" s="50" t="str">
        <x:v>LONG_BUY_ZONE:30, SWING_SETUP:47</x:v>
      </x:c>
      <x:c r="Y75" s="50" t="str">
        <x:f>IF(N75="","NO ALERT PRICE",IF(O75="","NO FRIDAY CLOSE","OK"))</x:f>
        <x:v>OK</x:v>
      </x:c>
    </x:row>
    <x:row r="76">
      <x:c r="A76" s="50" t="str">
        <x:v>RDW</x:v>
      </x:c>
      <x:c r="B76" s="50" t="n">
        <x:v>45</x:v>
      </x:c>
      <x:c r="C76" s="70" t="n">
        <x:v>46241.57364634259</x:v>
      </x:c>
      <x:c r="D76" s="50" t="str">
        <x:v>SWING_SETUP</x:v>
      </x:c>
      <x:c r="E76" s="71" t="n">
        <x:v>13.28</x:v>
      </x:c>
      <x:c r="F76" s="70" t="n">
        <x:v>46241.64239310185</x:v>
      </x:c>
      <x:c r="G76" s="50" t="str">
        <x:v>ENTRY_CONFIRMED</x:v>
      </x:c>
      <x:c r="H76" s="50" t="str">
        <x:v>L2_SWING_CONFIRMED</x:v>
      </x:c>
      <x:c r="I76" s="71" t="n">
        <x:v>13.1198</x:v>
      </x:c>
      <x:c r="J76" s="50" t="str">
        <x:v>REGISTRO_L1_L4</x:v>
      </x:c>
      <x:c r="K76" s="70" t="n">
        <x:v>46241.64239310185</x:v>
      </x:c>
      <x:c r="L76" s="50" t="str">
        <x:v>ENTRY_CONFIRMED</x:v>
      </x:c>
      <x:c r="M76" s="50" t="str">
        <x:v>LONG</x:v>
      </x:c>
      <x:c r="N76" s="72" t="n">
        <x:v>13.1198</x:v>
      </x:c>
      <x:c r="O76" s="72" t="n">
        <x:v>13.59</x:v>
      </x:c>
      <x:c r="P76" s="73" t="n">
        <x:f>IF(OR(N76="",O76=""),"",O76-N76)</x:f>
        <x:v>0.4702000000000002</x:v>
      </x:c>
      <x:c r="Q76" s="74" t="n">
        <x:f>IF(OR(N76="",O76="",N76=0),"",O76/N76-1)</x:f>
        <x:v>0.03583896095977068</x:v>
      </x:c>
      <x:c r="R76" s="74" t="n">
        <x:f>IF(M76="SHORT",-Q76,IF(M76="LONG",Q76,""))</x:f>
        <x:v>0.03583896095977068</x:v>
      </x:c>
      <x:c r="S76" s="75" t="str">
        <x:f>IF(R76="","N/A",IF(R76&gt;0,"GAIN",IF(R76&lt;0,"LOSS","FLAT")))</x:f>
        <x:v>GAIN</x:v>
      </x:c>
      <x:c r="T76" s="76" t="str">
        <x:v>SIP</x:v>
      </x:c>
      <x:c r="U76" s="76" t="str">
        <x:v>FINAL</x:v>
      </x:c>
      <x:c r="V76" s="70" t="n">
        <x:v>46242.04519008102</x:v>
      </x:c>
      <x:c r="W76" s="50" t="str">
        <x:v>SWING_SETUP</x:v>
      </x:c>
      <x:c r="X76" s="50" t="str">
        <x:v>ENTRY_CONFIRMED:2, SWING_SETUP:43</x:v>
      </x:c>
      <x:c r="Y76" s="50" t="str">
        <x:f>IF(N76="","NO ALERT PRICE",IF(O76="","NO FRIDAY CLOSE","OK"))</x:f>
        <x:v>OK</x:v>
      </x:c>
    </x:row>
    <x:row r="77">
      <x:c r="A77" s="50" t="str">
        <x:v>REGN</x:v>
      </x:c>
      <x:c r="B77" s="50" t="n">
        <x:v>1</x:v>
      </x:c>
      <x:c r="C77" s="70" t="n">
        <x:v>46241.82363987269</x:v>
      </x:c>
      <x:c r="D77" s="50" t="str">
        <x:v>SWING_SETUP</x:v>
      </x:c>
      <x:c r="E77" s="71" t="n">
        <x:v>785.69</x:v>
      </x:c>
      <x:c r="F77" s="70"/>
      <x:c r="G77" s="50"/>
      <x:c r="H77" s="50"/>
      <x:c r="I77" s="71"/>
      <x:c r="J77" s="50" t="str">
        <x:v>REGISTRO_CONFIRMADO</x:v>
      </x:c>
      <x:c r="K77" s="70" t="n">
        <x:v>46241.82363987269</x:v>
      </x:c>
      <x:c r="L77" s="50" t="str">
        <x:v>SWING_SETUP</x:v>
      </x:c>
      <x:c r="M77" s="50" t="str">
        <x:v>LONG</x:v>
      </x:c>
      <x:c r="N77" s="72" t="n">
        <x:v>785.69</x:v>
      </x:c>
      <x:c r="O77" s="72" t="n">
        <x:v>784.36</x:v>
      </x:c>
      <x:c r="P77" s="73" t="n">
        <x:f>IF(OR(N77="",O77=""),"",O77-N77)</x:f>
        <x:v>-1.330000000000041</x:v>
      </x:c>
      <x:c r="Q77" s="74" t="n">
        <x:f>IF(OR(N77="",O77="",N77=0),"",O77/N77-1)</x:f>
        <x:v>-0.001692779595005689</x:v>
      </x:c>
      <x:c r="R77" s="74" t="n">
        <x:f>IF(M77="SHORT",-Q77,IF(M77="LONG",Q77,""))</x:f>
        <x:v>-0.001692779595005689</x:v>
      </x:c>
      <x:c r="S77" s="75" t="str">
        <x:f>IF(R77="","N/A",IF(R77&gt;0,"GAIN",IF(R77&lt;0,"LOSS","FLAT")))</x:f>
        <x:v>LOSS</x:v>
      </x:c>
      <x:c r="T77" s="76" t="str">
        <x:v>SIP</x:v>
      </x:c>
      <x:c r="U77" s="76" t="str">
        <x:v>FINAL</x:v>
      </x:c>
      <x:c r="V77" s="70" t="n">
        <x:v>46241.82363987269</x:v>
      </x:c>
      <x:c r="W77" s="50" t="str">
        <x:v>SWING_SETUP</x:v>
      </x:c>
      <x:c r="X77" s="50" t="str">
        <x:v>SWING_SETUP:1</x:v>
      </x:c>
      <x:c r="Y77" s="50" t="str">
        <x:f>IF(N77="","NO ALERT PRICE",IF(O77="","NO FRIDAY CLOSE","OK"))</x:f>
        <x:v>OK</x:v>
      </x:c>
    </x:row>
    <x:row r="78">
      <x:c r="A78" s="50" t="str">
        <x:v>RIOT</x:v>
      </x:c>
      <x:c r="B78" s="50" t="n">
        <x:v>36</x:v>
      </x:c>
      <x:c r="C78" s="70" t="n">
        <x:v>46241.58683864583</x:v>
      </x:c>
      <x:c r="D78" s="50" t="str">
        <x:v>ENTRY_WATCH</x:v>
      </x:c>
      <x:c r="E78" s="71" t="n">
        <x:v>20.495</x:v>
      </x:c>
      <x:c r="F78" s="70"/>
      <x:c r="G78" s="50"/>
      <x:c r="H78" s="50"/>
      <x:c r="I78" s="71"/>
      <x:c r="J78" s="50" t="str">
        <x:v>REGISTRO_CONFIRMADO</x:v>
      </x:c>
      <x:c r="K78" s="70" t="n">
        <x:v>46241.58683864583</x:v>
      </x:c>
      <x:c r="L78" s="50" t="str">
        <x:v>ENTRY_WATCH</x:v>
      </x:c>
      <x:c r="M78" s="50" t="str">
        <x:v>LONG</x:v>
      </x:c>
      <x:c r="N78" s="72" t="n">
        <x:v>20.495</x:v>
      </x:c>
      <x:c r="O78" s="72" t="n">
        <x:v>20.52</x:v>
      </x:c>
      <x:c r="P78" s="73" t="n">
        <x:f>IF(OR(N78="",O78=""),"",O78-N78)</x:f>
        <x:v>0.02499999999999858</x:v>
      </x:c>
      <x:c r="Q78" s="74" t="n">
        <x:f>IF(OR(N78="",O78="",N78=0),"",O78/N78-1)</x:f>
        <x:v>0.0012198097096851601</x:v>
      </x:c>
      <x:c r="R78" s="74" t="n">
        <x:f>IF(M78="SHORT",-Q78,IF(M78="LONG",Q78,""))</x:f>
        <x:v>0.0012198097096851601</x:v>
      </x:c>
      <x:c r="S78" s="75" t="str">
        <x:f>IF(R78="","N/A",IF(R78&gt;0,"GAIN",IF(R78&lt;0,"LOSS","FLAT")))</x:f>
        <x:v>GAIN</x:v>
      </x:c>
      <x:c r="T78" s="76" t="str">
        <x:v>SIP</x:v>
      </x:c>
      <x:c r="U78" s="76" t="str">
        <x:v>FINAL</x:v>
      </x:c>
      <x:c r="V78" s="70" t="n">
        <x:v>46241.813924710645</x:v>
      </x:c>
      <x:c r="W78" s="50" t="str">
        <x:v>ENTRY_WATCH</x:v>
      </x:c>
      <x:c r="X78" s="50" t="str">
        <x:v>ENTRY_OPPORTUNITY_PROGRESS:1, ENTRY_WATCH:35</x:v>
      </x:c>
      <x:c r="Y78" s="50" t="str">
        <x:f>IF(N78="","NO ALERT PRICE",IF(O78="","NO FRIDAY CLOSE","OK"))</x:f>
        <x:v>OK</x:v>
      </x:c>
    </x:row>
    <x:row r="79">
      <x:c r="A79" s="50" t="str">
        <x:v>ROBO</x:v>
      </x:c>
      <x:c r="B79" s="50" t="n">
        <x:v>4</x:v>
      </x:c>
      <x:c r="C79" s="70" t="n">
        <x:v>46241.57364917824</x:v>
      </x:c>
      <x:c r="D79" s="50" t="str">
        <x:v>SWING_SETUP</x:v>
      </x:c>
      <x:c r="E79" s="71" t="n">
        <x:v>84.65</x:v>
      </x:c>
      <x:c r="F79" s="70"/>
      <x:c r="G79" s="50"/>
      <x:c r="H79" s="50"/>
      <x:c r="I79" s="71"/>
      <x:c r="J79" s="50" t="str">
        <x:v>REGISTRO_CONFIRMADO</x:v>
      </x:c>
      <x:c r="K79" s="70" t="n">
        <x:v>46241.57364917824</x:v>
      </x:c>
      <x:c r="L79" s="50" t="str">
        <x:v>SWING_SETUP</x:v>
      </x:c>
      <x:c r="M79" s="50" t="str">
        <x:v>LONG</x:v>
      </x:c>
      <x:c r="N79" s="72" t="n">
        <x:v>84.65</x:v>
      </x:c>
      <x:c r="O79" s="72" t="n">
        <x:v>84.44</x:v>
      </x:c>
      <x:c r="P79" s="73" t="n">
        <x:f>IF(OR(N79="",O79=""),"",O79-N79)</x:f>
        <x:v>-0.21000000000000796</x:v>
      </x:c>
      <x:c r="Q79" s="74" t="n">
        <x:f>IF(OR(N79="",O79="",N79=0),"",O79/N79-1)</x:f>
        <x:v>-0.002480803307737811</x:v>
      </x:c>
      <x:c r="R79" s="74" t="n">
        <x:f>IF(M79="SHORT",-Q79,IF(M79="LONG",Q79,""))</x:f>
        <x:v>-0.002480803307737811</x:v>
      </x:c>
      <x:c r="S79" s="75" t="str">
        <x:f>IF(R79="","N/A",IF(R79&gt;0,"GAIN",IF(R79&lt;0,"LOSS","FLAT")))</x:f>
        <x:v>LOSS</x:v>
      </x:c>
      <x:c r="T79" s="76" t="str">
        <x:v>SIP</x:v>
      </x:c>
      <x:c r="U79" s="76" t="str">
        <x:v>FINAL</x:v>
      </x:c>
      <x:c r="V79" s="70" t="n">
        <x:v>46241.65837615741</x:v>
      </x:c>
      <x:c r="W79" s="50" t="str">
        <x:v>SWING_SETUP</x:v>
      </x:c>
      <x:c r="X79" s="50" t="str">
        <x:v>SWING_SETUP:4</x:v>
      </x:c>
      <x:c r="Y79" s="50" t="str">
        <x:f>IF(N79="","NO ALERT PRICE",IF(O79="","NO FRIDAY CLOSE","OK"))</x:f>
        <x:v>OK</x:v>
      </x:c>
    </x:row>
    <x:row r="80">
      <x:c r="A80" s="50" t="str">
        <x:v>RTX</x:v>
      </x:c>
      <x:c r="B80" s="50" t="n">
        <x:v>30</x:v>
      </x:c>
      <x:c r="C80" s="70" t="n">
        <x:v>46241.17433116898</x:v>
      </x:c>
      <x:c r="D80" s="50" t="str">
        <x:v>SWING_SETUP</x:v>
      </x:c>
      <x:c r="E80" s="71" t="n">
        <x:v>223.84</x:v>
      </x:c>
      <x:c r="F80" s="70"/>
      <x:c r="G80" s="50"/>
      <x:c r="H80" s="50"/>
      <x:c r="I80" s="71"/>
      <x:c r="J80" s="50" t="str">
        <x:v>REGISTRO_CONFIRMADO</x:v>
      </x:c>
      <x:c r="K80" s="70" t="n">
        <x:v>46241.17433116898</x:v>
      </x:c>
      <x:c r="L80" s="50" t="str">
        <x:v>SWING_SETUP</x:v>
      </x:c>
      <x:c r="M80" s="50" t="str">
        <x:v>LONG</x:v>
      </x:c>
      <x:c r="N80" s="72" t="n">
        <x:v>223.84</x:v>
      </x:c>
      <x:c r="O80" s="72" t="n">
        <x:v>223.03</x:v>
      </x:c>
      <x:c r="P80" s="73" t="n">
        <x:f>IF(OR(N80="",O80=""),"",O80-N80)</x:f>
        <x:v>-0.8100000000000023</x:v>
      </x:c>
      <x:c r="Q80" s="74" t="n">
        <x:f>IF(OR(N80="",O80="",N80=0),"",O80/N80-1)</x:f>
        <x:v>-0.003618656182987845</x:v>
      </x:c>
      <x:c r="R80" s="74" t="n">
        <x:f>IF(M80="SHORT",-Q80,IF(M80="LONG",Q80,""))</x:f>
        <x:v>-0.003618656182987845</x:v>
      </x:c>
      <x:c r="S80" s="75" t="str">
        <x:f>IF(R80="","N/A",IF(R80&gt;0,"GAIN",IF(R80&lt;0,"LOSS","FLAT")))</x:f>
        <x:v>LOSS</x:v>
      </x:c>
      <x:c r="T80" s="76" t="str">
        <x:v>SIP</x:v>
      </x:c>
      <x:c r="U80" s="76" t="str">
        <x:v>FINAL</x:v>
      </x:c>
      <x:c r="V80" s="70" t="n">
        <x:v>46242.03824412037</x:v>
      </x:c>
      <x:c r="W80" s="50" t="str">
        <x:v>SWING_SETUP</x:v>
      </x:c>
      <x:c r="X80" s="50" t="str">
        <x:v>SWING_SETUP:30</x:v>
      </x:c>
      <x:c r="Y80" s="50" t="str">
        <x:f>IF(N80="","NO ALERT PRICE",IF(O80="","NO FRIDAY CLOSE","OK"))</x:f>
        <x:v>OK</x:v>
      </x:c>
    </x:row>
    <x:row r="81">
      <x:c r="A81" s="50" t="str">
        <x:v>SBUX</x:v>
      </x:c>
      <x:c r="B81" s="50" t="n">
        <x:v>83</x:v>
      </x:c>
      <x:c r="C81" s="70" t="n">
        <x:v>46241.17436346065</x:v>
      </x:c>
      <x:c r="D81" s="50" t="str">
        <x:v>LONG_BUY_ZONE</x:v>
      </x:c>
      <x:c r="E81" s="71" t="n">
        <x:v>105.16</x:v>
      </x:c>
      <x:c r="F81" s="70" t="n">
        <x:v>46241.64447849537</x:v>
      </x:c>
      <x:c r="G81" s="50" t="str">
        <x:v>HIGH_CONVICTION_BUY</x:v>
      </x:c>
      <x:c r="H81" s="50" t="str">
        <x:v>L3_HIGH_CONVICTION</x:v>
      </x:c>
      <x:c r="I81" s="71" t="n">
        <x:v>106.365</x:v>
      </x:c>
      <x:c r="J81" s="50" t="str">
        <x:v>REGISTRO_L1_L4</x:v>
      </x:c>
      <x:c r="K81" s="70" t="n">
        <x:v>46241.64447849537</x:v>
      </x:c>
      <x:c r="L81" s="50" t="str">
        <x:v>HIGH_CONVICTION_BUY</x:v>
      </x:c>
      <x:c r="M81" s="50" t="str">
        <x:v>LONG</x:v>
      </x:c>
      <x:c r="N81" s="72" t="n">
        <x:v>106.365</x:v>
      </x:c>
      <x:c r="O81" s="72" t="n">
        <x:v>105.58</x:v>
      </x:c>
      <x:c r="P81" s="73" t="n">
        <x:f>IF(OR(N81="",O81=""),"",O81-N81)</x:f>
        <x:v>-0.7849999999999966</x:v>
      </x:c>
      <x:c r="Q81" s="74" t="n">
        <x:f>IF(OR(N81="",O81="",N81=0),"",O81/N81-1)</x:f>
        <x:v>-0.0073802472617872095</x:v>
      </x:c>
      <x:c r="R81" s="74" t="n">
        <x:f>IF(M81="SHORT",-Q81,IF(M81="LONG",Q81,""))</x:f>
        <x:v>-0.0073802472617872095</x:v>
      </x:c>
      <x:c r="S81" s="75" t="str">
        <x:f>IF(R81="","N/A",IF(R81&gt;0,"GAIN",IF(R81&lt;0,"LOSS","FLAT")))</x:f>
        <x:v>LOSS</x:v>
      </x:c>
      <x:c r="T81" s="76" t="str">
        <x:v>SIP</x:v>
      </x:c>
      <x:c r="U81" s="76" t="str">
        <x:v>FINAL</x:v>
      </x:c>
      <x:c r="V81" s="70" t="n">
        <x:v>46242.04727387732</x:v>
      </x:c>
      <x:c r="W81" s="50" t="str">
        <x:v>SWING_SETUP</x:v>
      </x:c>
      <x:c r="X81" s="50" t="str">
        <x:v>ENTRY_OPPORTUNITY_PROGRESS:2, ENTRY_WATCH:1, HIGH_CONVICTION_BUY:1, LONG_BUY_ZONE:36, SWING_SETUP:43</x:v>
      </x:c>
      <x:c r="Y81" s="50" t="str">
        <x:f>IF(N81="","NO ALERT PRICE",IF(O81="","NO FRIDAY CLOSE","OK"))</x:f>
        <x:v>OK</x:v>
      </x:c>
    </x:row>
    <x:row r="82">
      <x:c r="A82" s="50" t="str">
        <x:v>SCHW</x:v>
      </x:c>
      <x:c r="B82" s="50" t="n">
        <x:v>36</x:v>
      </x:c>
      <x:c r="C82" s="70" t="n">
        <x:v>46241.573644247685</x:v>
      </x:c>
      <x:c r="D82" s="50" t="str">
        <x:v>SWING_SETUP</x:v>
      </x:c>
      <x:c r="E82" s="71" t="n">
        <x:v>106.89</x:v>
      </x:c>
      <x:c r="F82" s="70"/>
      <x:c r="G82" s="50"/>
      <x:c r="H82" s="50"/>
      <x:c r="I82" s="71"/>
      <x:c r="J82" s="50" t="str">
        <x:v>REGISTRO_CONFIRMADO</x:v>
      </x:c>
      <x:c r="K82" s="70" t="n">
        <x:v>46241.573644247685</x:v>
      </x:c>
      <x:c r="L82" s="50" t="str">
        <x:v>SWING_SETUP</x:v>
      </x:c>
      <x:c r="M82" s="50" t="str">
        <x:v>LONG</x:v>
      </x:c>
      <x:c r="N82" s="72" t="n">
        <x:v>106.89</x:v>
      </x:c>
      <x:c r="O82" s="72" t="n">
        <x:v>107.6</x:v>
      </x:c>
      <x:c r="P82" s="73" t="n">
        <x:f>IF(OR(N82="",O82=""),"",O82-N82)</x:f>
        <x:v>0.7099999999999937</x:v>
      </x:c>
      <x:c r="Q82" s="74" t="n">
        <x:f>IF(OR(N82="",O82="",N82=0),"",O82/N82-1)</x:f>
        <x:v>0.006642342595191364</x:v>
      </x:c>
      <x:c r="R82" s="74" t="n">
        <x:f>IF(M82="SHORT",-Q82,IF(M82="LONG",Q82,""))</x:f>
        <x:v>0.006642342595191364</x:v>
      </x:c>
      <x:c r="S82" s="75" t="str">
        <x:f>IF(R82="","N/A",IF(R82&gt;0,"GAIN",IF(R82&lt;0,"LOSS","FLAT")))</x:f>
        <x:v>GAIN</x:v>
      </x:c>
      <x:c r="T82" s="76" t="str">
        <x:v>SIP</x:v>
      </x:c>
      <x:c r="U82" s="76" t="str">
        <x:v>FINAL</x:v>
      </x:c>
      <x:c r="V82" s="70" t="n">
        <x:v>46242.038249108795</x:v>
      </x:c>
      <x:c r="W82" s="50" t="str">
        <x:v>SWING_SETUP</x:v>
      </x:c>
      <x:c r="X82" s="50" t="str">
        <x:v>SWING_SETUP:36</x:v>
      </x:c>
      <x:c r="Y82" s="50" t="str">
        <x:f>IF(N82="","NO ALERT PRICE",IF(O82="","NO FRIDAY CLOSE","OK"))</x:f>
        <x:v>OK</x:v>
      </x:c>
    </x:row>
    <x:row r="83">
      <x:c r="A83" s="50" t="str">
        <x:v>SE</x:v>
      </x:c>
      <x:c r="B83" s="50" t="n">
        <x:v>29</x:v>
      </x:c>
      <x:c r="C83" s="70" t="n">
        <x:v>46241.57364369213</x:v>
      </x:c>
      <x:c r="D83" s="50" t="str">
        <x:v>SWING_SETUP</x:v>
      </x:c>
      <x:c r="E83" s="71" t="n">
        <x:v>113.27</x:v>
      </x:c>
      <x:c r="F83" s="70"/>
      <x:c r="G83" s="50"/>
      <x:c r="H83" s="50"/>
      <x:c r="I83" s="71"/>
      <x:c r="J83" s="50" t="str">
        <x:v>REGISTRO_CONFIRMADO</x:v>
      </x:c>
      <x:c r="K83" s="70" t="n">
        <x:v>46241.57364369213</x:v>
      </x:c>
      <x:c r="L83" s="50" t="str">
        <x:v>SWING_SETUP</x:v>
      </x:c>
      <x:c r="M83" s="50" t="str">
        <x:v>LONG</x:v>
      </x:c>
      <x:c r="N83" s="72" t="n">
        <x:v>113.27</x:v>
      </x:c>
      <x:c r="O83" s="72" t="n">
        <x:v>113.43</x:v>
      </x:c>
      <x:c r="P83" s="73" t="n">
        <x:f>IF(OR(N83="",O83=""),"",O83-N83)</x:f>
        <x:v>0.1600000000000108</x:v>
      </x:c>
      <x:c r="Q83" s="74" t="n">
        <x:f>IF(OR(N83="",O83="",N83=0),"",O83/N83-1)</x:f>
        <x:v>0.0014125540743357146</x:v>
      </x:c>
      <x:c r="R83" s="74" t="n">
        <x:f>IF(M83="SHORT",-Q83,IF(M83="LONG",Q83,""))</x:f>
        <x:v>0.0014125540743357146</x:v>
      </x:c>
      <x:c r="S83" s="75" t="str">
        <x:f>IF(R83="","N/A",IF(R83&gt;0,"GAIN",IF(R83&lt;0,"LOSS","FLAT")))</x:f>
        <x:v>GAIN</x:v>
      </x:c>
      <x:c r="T83" s="76" t="str">
        <x:v>SIP</x:v>
      </x:c>
      <x:c r="U83" s="76" t="str">
        <x:v>FINAL</x:v>
      </x:c>
      <x:c r="V83" s="70" t="n">
        <x:v>46242.04032508102</x:v>
      </x:c>
      <x:c r="W83" s="50" t="str">
        <x:v>SWING_SETUP</x:v>
      </x:c>
      <x:c r="X83" s="50" t="str">
        <x:v>SWING_SETUP:29</x:v>
      </x:c>
      <x:c r="Y83" s="50" t="str">
        <x:f>IF(N83="","NO ALERT PRICE",IF(O83="","NO FRIDAY CLOSE","OK"))</x:f>
        <x:v>OK</x:v>
      </x:c>
    </x:row>
    <x:row r="84">
      <x:c r="A84" s="50" t="str">
        <x:v>SHW</x:v>
      </x:c>
      <x:c r="B84" s="50" t="n">
        <x:v>43</x:v>
      </x:c>
      <x:c r="C84" s="70" t="n">
        <x:v>46241.57365092593</x:v>
      </x:c>
      <x:c r="D84" s="50" t="str">
        <x:v>SWING_SETUP</x:v>
      </x:c>
      <x:c r="E84" s="71" t="n">
        <x:v>368.255</x:v>
      </x:c>
      <x:c r="F84" s="70"/>
      <x:c r="G84" s="50"/>
      <x:c r="H84" s="50"/>
      <x:c r="I84" s="71"/>
      <x:c r="J84" s="50" t="str">
        <x:v>REGISTRO_CONFIRMADO</x:v>
      </x:c>
      <x:c r="K84" s="70" t="n">
        <x:v>46241.57365092593</x:v>
      </x:c>
      <x:c r="L84" s="50" t="str">
        <x:v>SWING_SETUP</x:v>
      </x:c>
      <x:c r="M84" s="50" t="str">
        <x:v>LONG</x:v>
      </x:c>
      <x:c r="N84" s="72" t="n">
        <x:v>368.255</x:v>
      </x:c>
      <x:c r="O84" s="72" t="n">
        <x:v>369.73</x:v>
      </x:c>
      <x:c r="P84" s="73" t="n">
        <x:f>IF(OR(N84="",O84=""),"",O84-N84)</x:f>
        <x:v>1.4750000000000227</x:v>
      </x:c>
      <x:c r="Q84" s="74" t="n">
        <x:f>IF(OR(N84="",O84="",N84=0),"",O84/N84-1)</x:f>
        <x:v>0.004005376709073971</x:v>
      </x:c>
      <x:c r="R84" s="74" t="n">
        <x:f>IF(M84="SHORT",-Q84,IF(M84="LONG",Q84,""))</x:f>
        <x:v>0.004005376709073971</x:v>
      </x:c>
      <x:c r="S84" s="75" t="str">
        <x:f>IF(R84="","N/A",IF(R84&gt;0,"GAIN",IF(R84&lt;0,"LOSS","FLAT")))</x:f>
        <x:v>GAIN</x:v>
      </x:c>
      <x:c r="T84" s="76" t="str">
        <x:v>SIP</x:v>
      </x:c>
      <x:c r="U84" s="76" t="str">
        <x:v>FINAL</x:v>
      </x:c>
      <x:c r="V84" s="70" t="n">
        <x:v>46242.04032545139</x:v>
      </x:c>
      <x:c r="W84" s="50" t="str">
        <x:v>SWING_SETUP</x:v>
      </x:c>
      <x:c r="X84" s="50" t="str">
        <x:v>SWING_SETUP:43</x:v>
      </x:c>
      <x:c r="Y84" s="50" t="str">
        <x:f>IF(N84="","NO ALERT PRICE",IF(O84="","NO FRIDAY CLOSE","OK"))</x:f>
        <x:v>OK</x:v>
      </x:c>
    </x:row>
    <x:row r="85">
      <x:c r="A85" s="50" t="str">
        <x:v>SLV</x:v>
      </x:c>
      <x:c r="B85" s="50" t="n">
        <x:v>2</x:v>
      </x:c>
      <x:c r="C85" s="70" t="n">
        <x:v>46241.57365388889</x:v>
      </x:c>
      <x:c r="D85" s="50" t="str">
        <x:v>SWING_SETUP</x:v>
      </x:c>
      <x:c r="E85" s="71" t="n">
        <x:v>58.09</x:v>
      </x:c>
      <x:c r="F85" s="70"/>
      <x:c r="G85" s="50"/>
      <x:c r="H85" s="50"/>
      <x:c r="I85" s="71"/>
      <x:c r="J85" s="50" t="str">
        <x:v>REGISTRO_CONFIRMADO</x:v>
      </x:c>
      <x:c r="K85" s="70" t="n">
        <x:v>46241.57365388889</x:v>
      </x:c>
      <x:c r="L85" s="50" t="str">
        <x:v>SWING_SETUP</x:v>
      </x:c>
      <x:c r="M85" s="50" t="str">
        <x:v>LONG</x:v>
      </x:c>
      <x:c r="N85" s="72" t="n">
        <x:v>58.09</x:v>
      </x:c>
      <x:c r="O85" s="72" t="n">
        <x:v>57.5</x:v>
      </x:c>
      <x:c r="P85" s="73" t="n">
        <x:f>IF(OR(N85="",O85=""),"",O85-N85)</x:f>
        <x:v>-0.5900000000000034</x:v>
      </x:c>
      <x:c r="Q85" s="74" t="n">
        <x:f>IF(OR(N85="",O85="",N85=0),"",O85/N85-1)</x:f>
        <x:v>-0.010156653468755383</x:v>
      </x:c>
      <x:c r="R85" s="74" t="n">
        <x:f>IF(M85="SHORT",-Q85,IF(M85="LONG",Q85,""))</x:f>
        <x:v>-0.010156653468755383</x:v>
      </x:c>
      <x:c r="S85" s="75" t="str">
        <x:f>IF(R85="","N/A",IF(R85&gt;0,"GAIN",IF(R85&lt;0,"LOSS","FLAT")))</x:f>
        <x:v>LOSS</x:v>
      </x:c>
      <x:c r="T85" s="76" t="str">
        <x:v>SIP</x:v>
      </x:c>
      <x:c r="U85" s="76" t="str">
        <x:v>FINAL</x:v>
      </x:c>
      <x:c r="V85" s="70" t="n">
        <x:v>46241.83409752315</x:v>
      </x:c>
      <x:c r="W85" s="50" t="str">
        <x:v>SWING_SETUP</x:v>
      </x:c>
      <x:c r="X85" s="50" t="str">
        <x:v>SWING_SETUP:2</x:v>
      </x:c>
      <x:c r="Y85" s="50" t="str">
        <x:f>IF(N85="","NO ALERT PRICE",IF(O85="","NO FRIDAY CLOSE","OK"))</x:f>
        <x:v>OK</x:v>
      </x:c>
    </x:row>
    <x:row r="86">
      <x:c r="A86" s="50" t="str">
        <x:v>SMR</x:v>
      </x:c>
      <x:c r="B86" s="50" t="n">
        <x:v>12</x:v>
      </x:c>
      <x:c r="C86" s="70" t="n">
        <x:v>46241.57362837963</x:v>
      </x:c>
      <x:c r="D86" s="50" t="str">
        <x:v>SWING_SETUP</x:v>
      </x:c>
      <x:c r="E86" s="71" t="n">
        <x:v>9.845</x:v>
      </x:c>
      <x:c r="F86" s="70" t="n">
        <x:v>46241.663241145834</x:v>
      </x:c>
      <x:c r="G86" s="50" t="str">
        <x:v>ENTRY_CONFIRMED</x:v>
      </x:c>
      <x:c r="H86" s="50" t="str">
        <x:v>L2_SWING_CONFIRMED</x:v>
      </x:c>
      <x:c r="I86" s="71" t="n">
        <x:v>9.955</x:v>
      </x:c>
      <x:c r="J86" s="50" t="str">
        <x:v>REGISTRO_L1_L4</x:v>
      </x:c>
      <x:c r="K86" s="70" t="n">
        <x:v>46241.663241145834</x:v>
      </x:c>
      <x:c r="L86" s="50" t="str">
        <x:v>ENTRY_CONFIRMED</x:v>
      </x:c>
      <x:c r="M86" s="50" t="str">
        <x:v>LONG</x:v>
      </x:c>
      <x:c r="N86" s="72" t="n">
        <x:v>9.955</x:v>
      </x:c>
      <x:c r="O86" s="72" t="n">
        <x:v>9.82</x:v>
      </x:c>
      <x:c r="P86" s="73" t="n">
        <x:f>IF(OR(N86="",O86=""),"",O86-N86)</x:f>
        <x:v>-0.1349999999999998</x:v>
      </x:c>
      <x:c r="Q86" s="74" t="n">
        <x:f>IF(OR(N86="",O86="",N86=0),"",O86/N86-1)</x:f>
        <x:v>-0.013561024610748373</x:v>
      </x:c>
      <x:c r="R86" s="74" t="n">
        <x:f>IF(M86="SHORT",-Q86,IF(M86="LONG",Q86,""))</x:f>
        <x:v>-0.013561024610748373</x:v>
      </x:c>
      <x:c r="S86" s="75" t="str">
        <x:f>IF(R86="","N/A",IF(R86&gt;0,"GAIN",IF(R86&lt;0,"LOSS","FLAT")))</x:f>
        <x:v>LOSS</x:v>
      </x:c>
      <x:c r="T86" s="76" t="str">
        <x:v>SIP</x:v>
      </x:c>
      <x:c r="U86" s="76" t="str">
        <x:v>FINAL</x:v>
      </x:c>
      <x:c r="V86" s="70" t="n">
        <x:v>46241.83408554398</x:v>
      </x:c>
      <x:c r="W86" s="50" t="str">
        <x:v>SWING_SETUP</x:v>
      </x:c>
      <x:c r="X86" s="50" t="str">
        <x:v>ENTRY_CONFIRMED:1, SWING_SETUP:11</x:v>
      </x:c>
      <x:c r="Y86" s="50" t="str">
        <x:f>IF(N86="","NO ALERT PRICE",IF(O86="","NO FRIDAY CLOSE","OK"))</x:f>
        <x:v>OK</x:v>
      </x:c>
    </x:row>
    <x:row r="87">
      <x:c r="A87" s="50" t="str">
        <x:v>SNDK</x:v>
      </x:c>
      <x:c r="B87" s="50" t="n">
        <x:v>3</x:v>
      </x:c>
      <x:c r="C87" s="70" t="n">
        <x:v>46241.69783199074</x:v>
      </x:c>
      <x:c r="D87" s="50" t="str">
        <x:v>ENTRY_WATCH</x:v>
      </x:c>
      <x:c r="E87" s="71" t="n">
        <x:v>1229.3875</x:v>
      </x:c>
      <x:c r="F87" s="70"/>
      <x:c r="G87" s="50"/>
      <x:c r="H87" s="50"/>
      <x:c r="I87" s="71"/>
      <x:c r="J87" s="50" t="str">
        <x:v>REGISTRO_CONFIRMADO</x:v>
      </x:c>
      <x:c r="K87" s="70" t="n">
        <x:v>46241.69783199074</x:v>
      </x:c>
      <x:c r="L87" s="50" t="str">
        <x:v>ENTRY_WATCH</x:v>
      </x:c>
      <x:c r="M87" s="50" t="str">
        <x:v>LONG</x:v>
      </x:c>
      <x:c r="N87" s="72" t="n">
        <x:v>1229.3875</x:v>
      </x:c>
      <x:c r="O87" s="72" t="n">
        <x:v>1212.21</x:v>
      </x:c>
      <x:c r="P87" s="73" t="n">
        <x:f>IF(OR(N87="",O87=""),"",O87-N87)</x:f>
        <x:v>-17.17750000000001</x:v>
      </x:c>
      <x:c r="Q87" s="74" t="n">
        <x:f>IF(OR(N87="",O87="",N87=0),"",O87/N87-1)</x:f>
        <x:v>-0.013972404957753315</x:v>
      </x:c>
      <x:c r="R87" s="74" t="n">
        <x:f>IF(M87="SHORT",-Q87,IF(M87="LONG",Q87,""))</x:f>
        <x:v>-0.013972404957753315</x:v>
      </x:c>
      <x:c r="S87" s="75" t="str">
        <x:f>IF(R87="","N/A",IF(R87&gt;0,"GAIN",IF(R87&lt;0,"LOSS","FLAT")))</x:f>
        <x:v>LOSS</x:v>
      </x:c>
      <x:c r="T87" s="76" t="str">
        <x:v>SIP</x:v>
      </x:c>
      <x:c r="U87" s="76" t="str">
        <x:v>FINAL</x:v>
      </x:c>
      <x:c r="V87" s="70" t="n">
        <x:v>46241.698086550925</x:v>
      </x:c>
      <x:c r="W87" s="50" t="str">
        <x:v>ENTRY_OPPORTUNITY_CLOSED</x:v>
      </x:c>
      <x:c r="X87" s="50" t="str">
        <x:v>ENTRY_OPPORTUNITY_CLOSED:1, ENTRY_OPPORTUNITY_PROGRESS:1, ENTRY_WATCH:1</x:v>
      </x:c>
      <x:c r="Y87" s="50" t="str">
        <x:f>IF(N87="","NO ALERT PRICE",IF(O87="","NO FRIDAY CLOSE","OK"))</x:f>
        <x:v>OK</x:v>
      </x:c>
    </x:row>
    <x:row r="88">
      <x:c r="A88" s="50" t="str">
        <x:v>SNOW</x:v>
      </x:c>
      <x:c r="B88" s="50" t="n">
        <x:v>46</x:v>
      </x:c>
      <x:c r="C88" s="70" t="n">
        <x:v>46241.54237730324</x:v>
      </x:c>
      <x:c r="D88" s="50" t="str">
        <x:v>SWING_SETUP</x:v>
      </x:c>
      <x:c r="E88" s="71" t="n">
        <x:v>325.97</x:v>
      </x:c>
      <x:c r="F88" s="70" t="n">
        <x:v>46241.78198186342</x:v>
      </x:c>
      <x:c r="G88" s="50" t="str">
        <x:v>ENTRY_CONFIRMED</x:v>
      </x:c>
      <x:c r="H88" s="50" t="str">
        <x:v>L2_SWING_CONFIRMED</x:v>
      </x:c>
      <x:c r="I88" s="71" t="n">
        <x:v>326.94</x:v>
      </x:c>
      <x:c r="J88" s="50" t="str">
        <x:v>REGISTRO_L1_L4</x:v>
      </x:c>
      <x:c r="K88" s="70" t="n">
        <x:v>46241.78198186342</x:v>
      </x:c>
      <x:c r="L88" s="50" t="str">
        <x:v>ENTRY_CONFIRMED</x:v>
      </x:c>
      <x:c r="M88" s="50" t="str">
        <x:v>LONG</x:v>
      </x:c>
      <x:c r="N88" s="72" t="n">
        <x:v>326.94</x:v>
      </x:c>
      <x:c r="O88" s="72" t="n">
        <x:v>330.49</x:v>
      </x:c>
      <x:c r="P88" s="73" t="n">
        <x:f>IF(OR(N88="",O88=""),"",O88-N88)</x:f>
        <x:v>3.5500000000000114</x:v>
      </x:c>
      <x:c r="Q88" s="74" t="n">
        <x:f>IF(OR(N88="",O88="",N88=0),"",O88/N88-1)</x:f>
        <x:v>0.010858261454701257</x:v>
      </x:c>
      <x:c r="R88" s="74" t="n">
        <x:f>IF(M88="SHORT",-Q88,IF(M88="LONG",Q88,""))</x:f>
        <x:v>0.010858261454701257</x:v>
      </x:c>
      <x:c r="S88" s="75" t="str">
        <x:f>IF(R88="","N/A",IF(R88&gt;0,"GAIN",IF(R88&lt;0,"LOSS","FLAT")))</x:f>
        <x:v>GAIN</x:v>
      </x:c>
      <x:c r="T88" s="76" t="str">
        <x:v>SIP</x:v>
      </x:c>
      <x:c r="U88" s="76" t="str">
        <x:v>FINAL</x:v>
      </x:c>
      <x:c r="V88" s="70" t="n">
        <x:v>46242.037543101855</x:v>
      </x:c>
      <x:c r="W88" s="50" t="str">
        <x:v>SWING_SETUP</x:v>
      </x:c>
      <x:c r="X88" s="50" t="str">
        <x:v>ENTRY_CONFIRMED:1, SWING_SETUP:45</x:v>
      </x:c>
      <x:c r="Y88" s="50" t="str">
        <x:f>IF(N88="","NO ALERT PRICE",IF(O88="","NO FRIDAY CLOSE","OK"))</x:f>
        <x:v>OK</x:v>
      </x:c>
    </x:row>
    <x:row r="89">
      <x:c r="A89" s="50" t="str">
        <x:v>SOUN</x:v>
      </x:c>
      <x:c r="B89" s="50" t="n">
        <x:v>6</x:v>
      </x:c>
      <x:c r="C89" s="70" t="n">
        <x:v>46241.59448358796</x:v>
      </x:c>
      <x:c r="D89" s="50" t="str">
        <x:v>SWING_SETUP</x:v>
      </x:c>
      <x:c r="E89" s="71" t="n">
        <x:v>7.52</x:v>
      </x:c>
      <x:c r="F89" s="70"/>
      <x:c r="G89" s="50"/>
      <x:c r="H89" s="50"/>
      <x:c r="I89" s="71"/>
      <x:c r="J89" s="50" t="str">
        <x:v>REGISTRO_CONFIRMADO</x:v>
      </x:c>
      <x:c r="K89" s="70" t="n">
        <x:v>46241.59448358796</x:v>
      </x:c>
      <x:c r="L89" s="50" t="str">
        <x:v>SWING_SETUP</x:v>
      </x:c>
      <x:c r="M89" s="50" t="str">
        <x:v>LONG</x:v>
      </x:c>
      <x:c r="N89" s="72" t="n">
        <x:v>7.52</x:v>
      </x:c>
      <x:c r="O89" s="72" t="n">
        <x:v>8.02</x:v>
      </x:c>
      <x:c r="P89" s="73" t="n">
        <x:f>IF(OR(N89="",O89=""),"",O89-N89)</x:f>
        <x:v>0.5</x:v>
      </x:c>
      <x:c r="Q89" s="74" t="n">
        <x:f>IF(OR(N89="",O89="",N89=0),"",O89/N89-1)</x:f>
        <x:v>0.0664893617021276</x:v>
      </x:c>
      <x:c r="R89" s="74" t="n">
        <x:f>IF(M89="SHORT",-Q89,IF(M89="LONG",Q89,""))</x:f>
        <x:v>0.0664893617021276</x:v>
      </x:c>
      <x:c r="S89" s="75" t="str">
        <x:f>IF(R89="","N/A",IF(R89&gt;0,"GAIN",IF(R89&lt;0,"LOSS","FLAT")))</x:f>
        <x:v>GAIN</x:v>
      </x:c>
      <x:c r="T89" s="76" t="str">
        <x:v>SIP</x:v>
      </x:c>
      <x:c r="U89" s="76" t="str">
        <x:v>FINAL</x:v>
      </x:c>
      <x:c r="V89" s="70" t="n">
        <x:v>46241.66530659722</x:v>
      </x:c>
      <x:c r="W89" s="50" t="str">
        <x:v>ENTRY_OPPORTUNITY_CLOSED</x:v>
      </x:c>
      <x:c r="X89" s="50" t="str">
        <x:v>ENTRY_OPPORTUNITY_CLOSED:1, ENTRY_OPPORTUNITY_PROGRESS:1, ENTRY_WATCH:2, SWING_SETUP:2</x:v>
      </x:c>
      <x:c r="Y89" s="50" t="str">
        <x:f>IF(N89="","NO ALERT PRICE",IF(O89="","NO FRIDAY CLOSE","OK"))</x:f>
        <x:v>OK</x:v>
      </x:c>
    </x:row>
    <x:row r="90">
      <x:c r="A90" s="50" t="str">
        <x:v>SPG</x:v>
      </x:c>
      <x:c r="B90" s="50" t="n">
        <x:v>1</x:v>
      </x:c>
      <x:c r="C90" s="70" t="n">
        <x:v>46241.56601207176</x:v>
      </x:c>
      <x:c r="D90" s="50" t="str">
        <x:v>LONG_BUY_ZONE</x:v>
      </x:c>
      <x:c r="E90" s="71" t="n">
        <x:v>219.715</x:v>
      </x:c>
      <x:c r="F90" s="70"/>
      <x:c r="G90" s="50"/>
      <x:c r="H90" s="50"/>
      <x:c r="I90" s="71"/>
      <x:c r="J90" s="50" t="str">
        <x:v>REGISTRO_CONFIRMADO</x:v>
      </x:c>
      <x:c r="K90" s="70" t="n">
        <x:v>46241.56601207176</x:v>
      </x:c>
      <x:c r="L90" s="50" t="str">
        <x:v>LONG_BUY_ZONE</x:v>
      </x:c>
      <x:c r="M90" s="50" t="str">
        <x:v>LONG</x:v>
      </x:c>
      <x:c r="N90" s="72" t="n">
        <x:v>219.715</x:v>
      </x:c>
      <x:c r="O90" s="72" t="n">
        <x:v>222.91</x:v>
      </x:c>
      <x:c r="P90" s="73" t="n">
        <x:f>IF(OR(N90="",O90=""),"",O90-N90)</x:f>
        <x:v>3.194999999999993</x:v>
      </x:c>
      <x:c r="Q90" s="74" t="n">
        <x:f>IF(OR(N90="",O90="",N90=0),"",O90/N90-1)</x:f>
        <x:v>0.014541565209475804</x:v>
      </x:c>
      <x:c r="R90" s="74" t="n">
        <x:f>IF(M90="SHORT",-Q90,IF(M90="LONG",Q90,""))</x:f>
        <x:v>0.014541565209475804</x:v>
      </x:c>
      <x:c r="S90" s="75" t="str">
        <x:f>IF(R90="","N/A",IF(R90&gt;0,"GAIN",IF(R90&lt;0,"LOSS","FLAT")))</x:f>
        <x:v>GAIN</x:v>
      </x:c>
      <x:c r="T90" s="76" t="str">
        <x:v>SIP</x:v>
      </x:c>
      <x:c r="U90" s="76" t="str">
        <x:v>FINAL</x:v>
      </x:c>
      <x:c r="V90" s="70" t="n">
        <x:v>46241.56601207176</x:v>
      </x:c>
      <x:c r="W90" s="50" t="str">
        <x:v>LONG_BUY_ZONE</x:v>
      </x:c>
      <x:c r="X90" s="50" t="str">
        <x:v>LONG_BUY_ZONE:1</x:v>
      </x:c>
      <x:c r="Y90" s="50" t="str">
        <x:f>IF(N90="","NO ALERT PRICE",IF(O90="","NO FRIDAY CLOSE","OK"))</x:f>
        <x:v>OK</x:v>
      </x:c>
    </x:row>
    <x:row r="91">
      <x:c r="A91" s="50" t="str">
        <x:v>TEM</x:v>
      </x:c>
      <x:c r="B91" s="50" t="n">
        <x:v>7</x:v>
      </x:c>
      <x:c r="C91" s="70" t="n">
        <x:v>46241.80281908565</x:v>
      </x:c>
      <x:c r="D91" s="50" t="str">
        <x:v>SWING_SETUP</x:v>
      </x:c>
      <x:c r="E91" s="71" t="n">
        <x:v>51.97</x:v>
      </x:c>
      <x:c r="F91" s="70" t="n">
        <x:v>46241.823654444444</x:v>
      </x:c>
      <x:c r="G91" s="50" t="str">
        <x:v>ENTRY_CONFIRMED</x:v>
      </x:c>
      <x:c r="H91" s="50" t="str">
        <x:v>L2_SWING_CONFIRMED</x:v>
      </x:c>
      <x:c r="I91" s="71" t="n">
        <x:v>52.21</x:v>
      </x:c>
      <x:c r="J91" s="50" t="str">
        <x:v>REGISTRO_L1_L4</x:v>
      </x:c>
      <x:c r="K91" s="70" t="n">
        <x:v>46241.823654444444</x:v>
      </x:c>
      <x:c r="L91" s="50" t="str">
        <x:v>ENTRY_CONFIRMED</x:v>
      </x:c>
      <x:c r="M91" s="50" t="str">
        <x:v>LONG</x:v>
      </x:c>
      <x:c r="N91" s="72" t="n">
        <x:v>52.21</x:v>
      </x:c>
      <x:c r="O91" s="72" t="n">
        <x:v>52.05</x:v>
      </x:c>
      <x:c r="P91" s="73" t="n">
        <x:f>IF(OR(N91="",O91=""),"",O91-N91)</x:f>
        <x:v>-0.1600000000000037</x:v>
      </x:c>
      <x:c r="Q91" s="74" t="n">
        <x:f>IF(OR(N91="",O91="",N91=0),"",O91/N91-1)</x:f>
        <x:v>-0.0030645470216433823</x:v>
      </x:c>
      <x:c r="R91" s="74" t="n">
        <x:f>IF(M91="SHORT",-Q91,IF(M91="LONG",Q91,""))</x:f>
        <x:v>-0.0030645470216433823</x:v>
      </x:c>
      <x:c r="S91" s="75" t="str">
        <x:f>IF(R91="","N/A",IF(R91&gt;0,"GAIN",IF(R91&lt;0,"LOSS","FLAT")))</x:f>
        <x:v>LOSS</x:v>
      </x:c>
      <x:c r="T91" s="76" t="str">
        <x:v>SIP</x:v>
      </x:c>
      <x:c r="U91" s="76" t="str">
        <x:v>FINAL</x:v>
      </x:c>
      <x:c r="V91" s="70" t="n">
        <x:v>46241.85906087963</x:v>
      </x:c>
      <x:c r="W91" s="50" t="str">
        <x:v>SWING_SETUP</x:v>
      </x:c>
      <x:c r="X91" s="50" t="str">
        <x:v>ENTRY_CONFIRMED:1, SWING_SETUP:6</x:v>
      </x:c>
      <x:c r="Y91" s="50" t="str">
        <x:f>IF(N91="","NO ALERT PRICE",IF(O91="","NO FRIDAY CLOSE","OK"))</x:f>
        <x:v>OK</x:v>
      </x:c>
    </x:row>
    <x:row r="92">
      <x:c r="A92" s="50" t="str">
        <x:v>TGT</x:v>
      </x:c>
      <x:c r="B92" s="50" t="n">
        <x:v>29</x:v>
      </x:c>
      <x:c r="C92" s="70" t="n">
        <x:v>46241.69866543981</x:v>
      </x:c>
      <x:c r="D92" s="50" t="str">
        <x:v>SWING_SETUP</x:v>
      </x:c>
      <x:c r="E92" s="71" t="n">
        <x:v>148.05</x:v>
      </x:c>
      <x:c r="F92" s="70"/>
      <x:c r="G92" s="50"/>
      <x:c r="H92" s="50"/>
      <x:c r="I92" s="71"/>
      <x:c r="J92" s="50" t="str">
        <x:v>REGISTRO_CONFIRMADO</x:v>
      </x:c>
      <x:c r="K92" s="70" t="n">
        <x:v>46241.69866543981</x:v>
      </x:c>
      <x:c r="L92" s="50" t="str">
        <x:v>SWING_SETUP</x:v>
      </x:c>
      <x:c r="M92" s="50" t="str">
        <x:v>LONG</x:v>
      </x:c>
      <x:c r="N92" s="72" t="n">
        <x:v>148.05</x:v>
      </x:c>
      <x:c r="O92" s="72" t="n">
        <x:v>149.7</x:v>
      </x:c>
      <x:c r="P92" s="73" t="n">
        <x:f>IF(OR(N92="",O92=""),"",O92-N92)</x:f>
        <x:v>1.6499999999999773</x:v>
      </x:c>
      <x:c r="Q92" s="74" t="n">
        <x:f>IF(OR(N92="",O92="",N92=0),"",O92/N92-1)</x:f>
        <x:v>0.011144883485308954</x:v>
      </x:c>
      <x:c r="R92" s="74" t="n">
        <x:f>IF(M92="SHORT",-Q92,IF(M92="LONG",Q92,""))</x:f>
        <x:v>0.011144883485308954</x:v>
      </x:c>
      <x:c r="S92" s="75" t="str">
        <x:f>IF(R92="","N/A",IF(R92&gt;0,"GAIN",IF(R92&lt;0,"LOSS","FLAT")))</x:f>
        <x:v>GAIN</x:v>
      </x:c>
      <x:c r="T92" s="76" t="str">
        <x:v>SIP</x:v>
      </x:c>
      <x:c r="U92" s="76" t="str">
        <x:v>FINAL</x:v>
      </x:c>
      <x:c r="V92" s="70" t="n">
        <x:v>46242.03754443287</x:v>
      </x:c>
      <x:c r="W92" s="50" t="str">
        <x:v>SWING_SETUP</x:v>
      </x:c>
      <x:c r="X92" s="50" t="str">
        <x:v>SWING_SETUP:29</x:v>
      </x:c>
      <x:c r="Y92" s="50" t="str">
        <x:f>IF(N92="","NO ALERT PRICE",IF(O92="","NO FRIDAY CLOSE","OK"))</x:f>
        <x:v>OK</x:v>
      </x:c>
    </x:row>
    <x:row r="93">
      <x:c r="A93" s="50" t="str">
        <x:v>TMDX</x:v>
      </x:c>
      <x:c r="B93" s="50" t="n">
        <x:v>46</x:v>
      </x:c>
      <x:c r="C93" s="70" t="n">
        <x:v>46241.17433178241</x:v>
      </x:c>
      <x:c r="D93" s="50" t="str">
        <x:v>SWING_SETUP</x:v>
      </x:c>
      <x:c r="E93" s="71" t="n">
        <x:v>79</x:v>
      </x:c>
      <x:c r="F93" s="70"/>
      <x:c r="G93" s="50"/>
      <x:c r="H93" s="50"/>
      <x:c r="I93" s="71"/>
      <x:c r="J93" s="50" t="str">
        <x:v>REGISTRO_CONFIRMADO</x:v>
      </x:c>
      <x:c r="K93" s="70" t="n">
        <x:v>46241.17433178241</x:v>
      </x:c>
      <x:c r="L93" s="50" t="str">
        <x:v>SWING_SETUP</x:v>
      </x:c>
      <x:c r="M93" s="50" t="str">
        <x:v>LONG</x:v>
      </x:c>
      <x:c r="N93" s="72" t="n">
        <x:v>79</x:v>
      </x:c>
      <x:c r="O93" s="72" t="n">
        <x:v>83.89</x:v>
      </x:c>
      <x:c r="P93" s="73" t="n">
        <x:f>IF(OR(N93="",O93=""),"",O93-N93)</x:f>
        <x:v>4.890000000000001</x:v>
      </x:c>
      <x:c r="Q93" s="74" t="n">
        <x:f>IF(OR(N93="",O93="",N93=0),"",O93/N93-1)</x:f>
        <x:v>0.06189873417721525</x:v>
      </x:c>
      <x:c r="R93" s="74" t="n">
        <x:f>IF(M93="SHORT",-Q93,IF(M93="LONG",Q93,""))</x:f>
        <x:v>0.06189873417721525</x:v>
      </x:c>
      <x:c r="S93" s="75" t="str">
        <x:f>IF(R93="","N/A",IF(R93&gt;0,"GAIN",IF(R93&lt;0,"LOSS","FLAT")))</x:f>
        <x:v>GAIN</x:v>
      </x:c>
      <x:c r="T93" s="76" t="str">
        <x:v>SIP</x:v>
      </x:c>
      <x:c r="U93" s="76" t="str">
        <x:v>FINAL</x:v>
      </x:c>
      <x:c r="V93" s="70" t="n">
        <x:v>46242.038248993056</x:v>
      </x:c>
      <x:c r="W93" s="50" t="str">
        <x:v>SWING_SETUP</x:v>
      </x:c>
      <x:c r="X93" s="50" t="str">
        <x:v>SWING_SETUP:46</x:v>
      </x:c>
      <x:c r="Y93" s="50" t="str">
        <x:f>IF(N93="","NO ALERT PRICE",IF(O93="","NO FRIDAY CLOSE","OK"))</x:f>
        <x:v>OK</x:v>
      </x:c>
    </x:row>
    <x:row r="94">
      <x:c r="A94" s="50" t="str">
        <x:v>TMO</x:v>
      </x:c>
      <x:c r="B94" s="50" t="n">
        <x:v>23</x:v>
      </x:c>
      <x:c r="C94" s="70" t="n">
        <x:v>46241.57365167824</x:v>
      </x:c>
      <x:c r="D94" s="50" t="str">
        <x:v>SWING_SETUP</x:v>
      </x:c>
      <x:c r="E94" s="71" t="n">
        <x:v>580.505</x:v>
      </x:c>
      <x:c r="F94" s="70"/>
      <x:c r="G94" s="50"/>
      <x:c r="H94" s="50"/>
      <x:c r="I94" s="71"/>
      <x:c r="J94" s="50" t="str">
        <x:v>REGISTRO_CONFIRMADO</x:v>
      </x:c>
      <x:c r="K94" s="70" t="n">
        <x:v>46241.57365167824</x:v>
      </x:c>
      <x:c r="L94" s="50" t="str">
        <x:v>SWING_SETUP</x:v>
      </x:c>
      <x:c r="M94" s="50" t="str">
        <x:v>LONG</x:v>
      </x:c>
      <x:c r="N94" s="72" t="n">
        <x:v>580.505</x:v>
      </x:c>
      <x:c r="O94" s="72" t="n">
        <x:v>594</x:v>
      </x:c>
      <x:c r="P94" s="73" t="n">
        <x:f>IF(OR(N94="",O94=""),"",O94-N94)</x:f>
        <x:v>13.495000000000005</x:v>
      </x:c>
      <x:c r="Q94" s="74" t="n">
        <x:f>IF(OR(N94="",O94="",N94=0),"",O94/N94-1)</x:f>
        <x:v>0.02324700045649908</x:v>
      </x:c>
      <x:c r="R94" s="74" t="n">
        <x:f>IF(M94="SHORT",-Q94,IF(M94="LONG",Q94,""))</x:f>
        <x:v>0.02324700045649908</x:v>
      </x:c>
      <x:c r="S94" s="75" t="str">
        <x:f>IF(R94="","N/A",IF(R94&gt;0,"GAIN",IF(R94&lt;0,"LOSS","FLAT")))</x:f>
        <x:v>GAIN</x:v>
      </x:c>
      <x:c r="T94" s="76" t="str">
        <x:v>SIP</x:v>
      </x:c>
      <x:c r="U94" s="76" t="str">
        <x:v>FINAL</x:v>
      </x:c>
      <x:c r="V94" s="70" t="n">
        <x:v>46242.04171038194</x:v>
      </x:c>
      <x:c r="W94" s="50" t="str">
        <x:v>SWING_SETUP</x:v>
      </x:c>
      <x:c r="X94" s="50" t="str">
        <x:v>SWING_SETUP:23</x:v>
      </x:c>
      <x:c r="Y94" s="50" t="str">
        <x:f>IF(N94="","NO ALERT PRICE",IF(O94="","NO FRIDAY CLOSE","OK"))</x:f>
        <x:v>OK</x:v>
      </x:c>
    </x:row>
    <x:row r="95">
      <x:c r="A95" s="50" t="str">
        <x:v>TSLA</x:v>
      </x:c>
      <x:c r="B95" s="50" t="n">
        <x:v>1</x:v>
      </x:c>
      <x:c r="C95" s="70" t="n">
        <x:v>46241.95420313657</x:v>
      </x:c>
      <x:c r="D95" s="50" t="str">
        <x:v>BEARISH_CONSENSUS</x:v>
      </x:c>
      <x:c r="E95" s="71" t="n">
        <x:v>328.29</x:v>
      </x:c>
      <x:c r="F95" s="70"/>
      <x:c r="G95" s="50"/>
      <x:c r="H95" s="50"/>
      <x:c r="I95" s="71"/>
      <x:c r="J95" s="50" t="str">
        <x:v>REGISTRO_CONFIRMADO</x:v>
      </x:c>
      <x:c r="K95" s="70" t="n">
        <x:v>46241.95420313657</x:v>
      </x:c>
      <x:c r="L95" s="50" t="str">
        <x:v>BEARISH_CONSENSUS</x:v>
      </x:c>
      <x:c r="M95" s="50" t="str">
        <x:v>SHORT</x:v>
      </x:c>
      <x:c r="N95" s="72" t="n">
        <x:v>328.29</x:v>
      </x:c>
      <x:c r="O95" s="72" t="n">
        <x:v>328.58</x:v>
      </x:c>
      <x:c r="P95" s="73" t="n">
        <x:f>IF(OR(N95="",O95=""),"",O95-N95)</x:f>
        <x:v>0.2899999999999636</x:v>
      </x:c>
      <x:c r="Q95" s="74" t="n">
        <x:f>IF(OR(N95="",O95="",N95=0),"",O95/N95-1)</x:f>
        <x:v>0.0008833653172499734</x:v>
      </x:c>
      <x:c r="R95" s="74" t="n">
        <x:f>IF(M95="SHORT",-Q95,IF(M95="LONG",Q95,""))</x:f>
        <x:v>-0.0008833653172499734</x:v>
      </x:c>
      <x:c r="S95" s="75" t="str">
        <x:f>IF(R95="","N/A",IF(R95&gt;0,"GAIN",IF(R95&lt;0,"LOSS","FLAT")))</x:f>
        <x:v>LOSS</x:v>
      </x:c>
      <x:c r="T95" s="76" t="str">
        <x:v>SIP</x:v>
      </x:c>
      <x:c r="U95" s="76" t="str">
        <x:v>FINAL</x:v>
      </x:c>
      <x:c r="V95" s="70" t="n">
        <x:v>46241.95420313657</x:v>
      </x:c>
      <x:c r="W95" s="50" t="str">
        <x:v>BEARISH_CONSENSUS</x:v>
      </x:c>
      <x:c r="X95" s="50" t="str">
        <x:v>BEARISH_CONSENSUS:1</x:v>
      </x:c>
      <x:c r="Y95" s="50" t="str">
        <x:f>IF(N95="","NO ALERT PRICE",IF(O95="","NO FRIDAY CLOSE","OK"))</x:f>
        <x:v>OK</x:v>
      </x:c>
    </x:row>
    <x:row r="96">
      <x:c r="A96" s="50" t="str">
        <x:v>TTWO</x:v>
      </x:c>
      <x:c r="B96" s="50" t="n">
        <x:v>23</x:v>
      </x:c>
      <x:c r="C96" s="70" t="n">
        <x:v>46241.515294756944</x:v>
      </x:c>
      <x:c r="D96" s="50" t="str">
        <x:v>ENTRY_WATCH</x:v>
      </x:c>
      <x:c r="E96" s="71" t="n">
        <x:v>236.53</x:v>
      </x:c>
      <x:c r="F96" s="70" t="n">
        <x:v>46241.63197200232</x:v>
      </x:c>
      <x:c r="G96" s="50" t="str">
        <x:v>ENTRY_CONFIRMED</x:v>
      </x:c>
      <x:c r="H96" s="50" t="str">
        <x:v>L2_SWING_CONFIRMED</x:v>
      </x:c>
      <x:c r="I96" s="71" t="n">
        <x:v>243.39</x:v>
      </x:c>
      <x:c r="J96" s="50" t="str">
        <x:v>REGISTRO_L1_L4</x:v>
      </x:c>
      <x:c r="K96" s="70" t="n">
        <x:v>46241.63197200232</x:v>
      </x:c>
      <x:c r="L96" s="50" t="str">
        <x:v>ENTRY_CONFIRMED</x:v>
      </x:c>
      <x:c r="M96" s="50" t="str">
        <x:v>LONG</x:v>
      </x:c>
      <x:c r="N96" s="72" t="n">
        <x:v>243.39</x:v>
      </x:c>
      <x:c r="O96" s="72" t="n">
        <x:v>246.5</x:v>
      </x:c>
      <x:c r="P96" s="73" t="n">
        <x:f>IF(OR(N96="",O96=""),"",O96-N96)</x:f>
        <x:v>3.1100000000000136</x:v>
      </x:c>
      <x:c r="Q96" s="74" t="n">
        <x:f>IF(OR(N96="",O96="",N96=0),"",O96/N96-1)</x:f>
        <x:v>0.012777846254981684</x:v>
      </x:c>
      <x:c r="R96" s="74" t="n">
        <x:f>IF(M96="SHORT",-Q96,IF(M96="LONG",Q96,""))</x:f>
        <x:v>0.012777846254981684</x:v>
      </x:c>
      <x:c r="S96" s="75" t="str">
        <x:f>IF(R96="","N/A",IF(R96&gt;0,"GAIN",IF(R96&lt;0,"LOSS","FLAT")))</x:f>
        <x:v>GAIN</x:v>
      </x:c>
      <x:c r="T96" s="76" t="str">
        <x:v>SIP</x:v>
      </x:c>
      <x:c r="U96" s="76" t="str">
        <x:v>FINAL</x:v>
      </x:c>
      <x:c r="V96" s="70" t="n">
        <x:v>46241.65700564815</x:v>
      </x:c>
      <x:c r="W96" s="50" t="str">
        <x:v>SWING_SETUP</x:v>
      </x:c>
      <x:c r="X96" s="50" t="str">
        <x:v>ENTRY_CONFIRMED:1, ENTRY_OPPORTUNITY_PROGRESS:3, ENTRY_WATCH:15, SWING_SETUP:4</x:v>
      </x:c>
      <x:c r="Y96" s="50" t="str">
        <x:f>IF(N96="","NO ALERT PRICE",IF(O96="","NO FRIDAY CLOSE","OK"))</x:f>
        <x:v>OK</x:v>
      </x:c>
    </x:row>
    <x:row r="97">
      <x:c r="A97" s="50" t="str">
        <x:v>UEC</x:v>
      </x:c>
      <x:c r="B97" s="50" t="n">
        <x:v>35</x:v>
      </x:c>
      <x:c r="C97" s="70" t="n">
        <x:v>46241.58229313658</x:v>
      </x:c>
      <x:c r="D97" s="50" t="str">
        <x:v>SWING_SETUP</x:v>
      </x:c>
      <x:c r="E97" s="71" t="n">
        <x:v>11.355</x:v>
      </x:c>
      <x:c r="F97" s="70"/>
      <x:c r="G97" s="50"/>
      <x:c r="H97" s="50"/>
      <x:c r="I97" s="71"/>
      <x:c r="J97" s="50" t="str">
        <x:v>REGISTRO_CONFIRMADO</x:v>
      </x:c>
      <x:c r="K97" s="70" t="n">
        <x:v>46241.58229313658</x:v>
      </x:c>
      <x:c r="L97" s="50" t="str">
        <x:v>SWING_SETUP</x:v>
      </x:c>
      <x:c r="M97" s="50" t="str">
        <x:v>LONG</x:v>
      </x:c>
      <x:c r="N97" s="72" t="n">
        <x:v>11.355</x:v>
      </x:c>
      <x:c r="O97" s="72" t="n">
        <x:v>11.26</x:v>
      </x:c>
      <x:c r="P97" s="73" t="n">
        <x:f>IF(OR(N97="",O97=""),"",O97-N97)</x:f>
        <x:v>-0.09500000000000064</x:v>
      </x:c>
      <x:c r="Q97" s="74" t="n">
        <x:f>IF(OR(N97="",O97="",N97=0),"",O97/N97-1)</x:f>
        <x:v>-0.008366358432408738</x:v>
      </x:c>
      <x:c r="R97" s="74" t="n">
        <x:f>IF(M97="SHORT",-Q97,IF(M97="LONG",Q97,""))</x:f>
        <x:v>-0.008366358432408738</x:v>
      </x:c>
      <x:c r="S97" s="75" t="str">
        <x:f>IF(R97="","N/A",IF(R97&gt;0,"GAIN",IF(R97&lt;0,"LOSS","FLAT")))</x:f>
        <x:v>LOSS</x:v>
      </x:c>
      <x:c r="T97" s="76" t="str">
        <x:v>SIP</x:v>
      </x:c>
      <x:c r="U97" s="76" t="str">
        <x:v>FINAL</x:v>
      </x:c>
      <x:c r="V97" s="70" t="n">
        <x:v>46242.03824793982</x:v>
      </x:c>
      <x:c r="W97" s="50" t="str">
        <x:v>SWING_SETUP</x:v>
      </x:c>
      <x:c r="X97" s="50" t="str">
        <x:v>SWING_SETUP:35</x:v>
      </x:c>
      <x:c r="Y97" s="50" t="str">
        <x:f>IF(N97="","NO ALERT PRICE",IF(O97="","NO FRIDAY CLOSE","OK"))</x:f>
        <x:v>OK</x:v>
      </x:c>
    </x:row>
    <x:row r="98">
      <x:c r="A98" s="50" t="str">
        <x:v>UNP</x:v>
      </x:c>
      <x:c r="B98" s="50" t="n">
        <x:v>45</x:v>
      </x:c>
      <x:c r="C98" s="70" t="n">
        <x:v>46241.57363142361</x:v>
      </x:c>
      <x:c r="D98" s="50" t="str">
        <x:v>SWING_SETUP</x:v>
      </x:c>
      <x:c r="E98" s="71" t="n">
        <x:v>294.225</x:v>
      </x:c>
      <x:c r="F98" s="70" t="n">
        <x:v>46241.60488233796</x:v>
      </x:c>
      <x:c r="G98" s="50" t="str">
        <x:v>ENTRY_CONFIRMED</x:v>
      </x:c>
      <x:c r="H98" s="50" t="str">
        <x:v>L2_SWING_CONFIRMED</x:v>
      </x:c>
      <x:c r="I98" s="71" t="n">
        <x:v>294.76</x:v>
      </x:c>
      <x:c r="J98" s="50" t="str">
        <x:v>REGISTRO_L1_L4</x:v>
      </x:c>
      <x:c r="K98" s="70" t="n">
        <x:v>46241.60488233796</x:v>
      </x:c>
      <x:c r="L98" s="50" t="str">
        <x:v>ENTRY_CONFIRMED</x:v>
      </x:c>
      <x:c r="M98" s="50" t="str">
        <x:v>LONG</x:v>
      </x:c>
      <x:c r="N98" s="72" t="n">
        <x:v>294.76</x:v>
      </x:c>
      <x:c r="O98" s="72" t="n">
        <x:v>293.13</x:v>
      </x:c>
      <x:c r="P98" s="73" t="n">
        <x:f>IF(OR(N98="",O98=""),"",O98-N98)</x:f>
        <x:v>-1.6299999999999955</x:v>
      </x:c>
      <x:c r="Q98" s="74" t="n">
        <x:f>IF(OR(N98="",O98="",N98=0),"",O98/N98-1)</x:f>
        <x:v>-0.005529922648934704</x:v>
      </x:c>
      <x:c r="R98" s="74" t="n">
        <x:f>IF(M98="SHORT",-Q98,IF(M98="LONG",Q98,""))</x:f>
        <x:v>-0.005529922648934704</x:v>
      </x:c>
      <x:c r="S98" s="75" t="str">
        <x:f>IF(R98="","N/A",IF(R98&gt;0,"GAIN",IF(R98&lt;0,"LOSS","FLAT")))</x:f>
        <x:v>LOSS</x:v>
      </x:c>
      <x:c r="T98" s="76" t="str">
        <x:v>SIP</x:v>
      </x:c>
      <x:c r="U98" s="76" t="str">
        <x:v>FINAL</x:v>
      </x:c>
      <x:c r="V98" s="70" t="n">
        <x:v>46242.04380049768</x:v>
      </x:c>
      <x:c r="W98" s="50" t="str">
        <x:v>SWING_SETUP</x:v>
      </x:c>
      <x:c r="X98" s="50" t="str">
        <x:v>ENTRY_CONFIRMED:1, SWING_SETUP:44</x:v>
      </x:c>
      <x:c r="Y98" s="50" t="str">
        <x:f>IF(N98="","NO ALERT PRICE",IF(O98="","NO FRIDAY CLOSE","OK"))</x:f>
        <x:v>OK</x:v>
      </x:c>
    </x:row>
    <x:row r="99">
      <x:c r="A99" s="50" t="str">
        <x:v>V</x:v>
      </x:c>
      <x:c r="B99" s="50" t="n">
        <x:v>4</x:v>
      </x:c>
      <x:c r="C99" s="70" t="n">
        <x:v>46241.49841552084</x:v>
      </x:c>
      <x:c r="D99" s="50" t="str">
        <x:v>SWING_SETUP</x:v>
      </x:c>
      <x:c r="E99" s="71" t="n">
        <x:v>369.1</x:v>
      </x:c>
      <x:c r="F99" s="70"/>
      <x:c r="G99" s="50"/>
      <x:c r="H99" s="50"/>
      <x:c r="I99" s="71"/>
      <x:c r="J99" s="50" t="str">
        <x:v>REGISTRO_CONFIRMADO</x:v>
      </x:c>
      <x:c r="K99" s="70" t="n">
        <x:v>46241.49841552084</x:v>
      </x:c>
      <x:c r="L99" s="50" t="str">
        <x:v>SWING_SETUP</x:v>
      </x:c>
      <x:c r="M99" s="50" t="str">
        <x:v>LONG</x:v>
      </x:c>
      <x:c r="N99" s="72" t="n">
        <x:v>369.1</x:v>
      </x:c>
      <x:c r="O99" s="72" t="n">
        <x:v>362.5</x:v>
      </x:c>
      <x:c r="P99" s="73" t="n">
        <x:f>IF(OR(N99="",O99=""),"",O99-N99)</x:f>
        <x:v>-6.600000000000023</x:v>
      </x:c>
      <x:c r="Q99" s="74" t="n">
        <x:f>IF(OR(N99="",O99="",N99=0),"",O99/N99-1)</x:f>
        <x:v>-0.017881332972094377</x:v>
      </x:c>
      <x:c r="R99" s="74" t="n">
        <x:f>IF(M99="SHORT",-Q99,IF(M99="LONG",Q99,""))</x:f>
        <x:v>-0.017881332972094377</x:v>
      </x:c>
      <x:c r="S99" s="75" t="str">
        <x:f>IF(R99="","N/A",IF(R99&gt;0,"GAIN",IF(R99&lt;0,"LOSS","FLAT")))</x:f>
        <x:v>LOSS</x:v>
      </x:c>
      <x:c r="T99" s="76" t="str">
        <x:v>SIP</x:v>
      </x:c>
      <x:c r="U99" s="76" t="str">
        <x:v>FINAL</x:v>
      </x:c>
      <x:c r="V99" s="70" t="n">
        <x:v>46241.59447592593</x:v>
      </x:c>
      <x:c r="W99" s="50" t="str">
        <x:v>SWING_SETUP</x:v>
      </x:c>
      <x:c r="X99" s="50" t="str">
        <x:v>SWING_SETUP:4</x:v>
      </x:c>
      <x:c r="Y99" s="50" t="str">
        <x:f>IF(N99="","NO ALERT PRICE",IF(O99="","NO FRIDAY CLOSE","OK"))</x:f>
        <x:v>OK</x:v>
      </x:c>
    </x:row>
    <x:row r="100">
      <x:c r="A100" s="50" t="str">
        <x:v>VRTX</x:v>
      </x:c>
      <x:c r="B100" s="50" t="n">
        <x:v>12</x:v>
      </x:c>
      <x:c r="C100" s="70" t="n">
        <x:v>46241.17437806713</x:v>
      </x:c>
      <x:c r="D100" s="50" t="str">
        <x:v>LONG_BUY_ZONE</x:v>
      </x:c>
      <x:c r="E100" s="71" t="n">
        <x:v>484.03</x:v>
      </x:c>
      <x:c r="F100" s="70"/>
      <x:c r="G100" s="50"/>
      <x:c r="H100" s="50"/>
      <x:c r="I100" s="71"/>
      <x:c r="J100" s="50" t="str">
        <x:v>REGISTRO_CONFIRMADO</x:v>
      </x:c>
      <x:c r="K100" s="70" t="n">
        <x:v>46241.17437806713</x:v>
      </x:c>
      <x:c r="L100" s="50" t="str">
        <x:v>LONG_BUY_ZONE</x:v>
      </x:c>
      <x:c r="M100" s="50" t="str">
        <x:v>LONG</x:v>
      </x:c>
      <x:c r="N100" s="72" t="n">
        <x:v>484.03</x:v>
      </x:c>
      <x:c r="O100" s="72" t="n">
        <x:v>496.07</x:v>
      </x:c>
      <x:c r="P100" s="73" t="n">
        <x:f>IF(OR(N100="",O100=""),"",O100-N100)</x:f>
        <x:v>12.04000000000002</x:v>
      </x:c>
      <x:c r="Q100" s="74" t="n">
        <x:f>IF(OR(N100="",O100="",N100=0),"",O100/N100-1)</x:f>
        <x:v>0.024874491250542308</x:v>
      </x:c>
      <x:c r="R100" s="74" t="n">
        <x:f>IF(M100="SHORT",-Q100,IF(M100="LONG",Q100,""))</x:f>
        <x:v>0.024874491250542308</x:v>
      </x:c>
      <x:c r="S100" s="75" t="str">
        <x:f>IF(R100="","N/A",IF(R100&gt;0,"GAIN",IF(R100&lt;0,"LOSS","FLAT")))</x:f>
        <x:v>GAIN</x:v>
      </x:c>
      <x:c r="T100" s="76" t="str">
        <x:v>SIP</x:v>
      </x:c>
      <x:c r="U100" s="76" t="str">
        <x:v>FINAL</x:v>
      </x:c>
      <x:c r="V100" s="70" t="n">
        <x:v>46241.57366616898</x:v>
      </x:c>
      <x:c r="W100" s="50" t="str">
        <x:v>ENTRY_WATCH</x:v>
      </x:c>
      <x:c r="X100" s="50" t="str">
        <x:v>ENTRY_OPPORTUNITY_PROGRESS:2, ENTRY_WATCH:5, LONG_BUY_ZONE:5</x:v>
      </x:c>
      <x:c r="Y100" s="50" t="str">
        <x:f>IF(N100="","NO ALERT PRICE",IF(O100="","NO FRIDAY CLOSE","OK"))</x:f>
        <x:v>OK</x:v>
      </x:c>
    </x:row>
    <x:row r="101">
      <x:c r="A101" s="50" t="str">
        <x:v>VZ</x:v>
      </x:c>
      <x:c r="B101" s="50" t="n">
        <x:v>86</x:v>
      </x:c>
      <x:c r="C101" s="70" t="n">
        <x:v>46241.174378194446</x:v>
      </x:c>
      <x:c r="D101" s="50" t="str">
        <x:v>LONG_BUY_ZONE</x:v>
      </x:c>
      <x:c r="E101" s="71" t="n">
        <x:v>46.99</x:v>
      </x:c>
      <x:c r="F101" s="70"/>
      <x:c r="G101" s="50"/>
      <x:c r="H101" s="50"/>
      <x:c r="I101" s="71"/>
      <x:c r="J101" s="50" t="str">
        <x:v>REGISTRO_CONFIRMADO</x:v>
      </x:c>
      <x:c r="K101" s="70" t="n">
        <x:v>46241.174378194446</x:v>
      </x:c>
      <x:c r="L101" s="50" t="str">
        <x:v>LONG_BUY_ZONE</x:v>
      </x:c>
      <x:c r="M101" s="50" t="str">
        <x:v>LONG</x:v>
      </x:c>
      <x:c r="N101" s="72" t="n">
        <x:v>46.99</x:v>
      </x:c>
      <x:c r="O101" s="72" t="n">
        <x:v>47.06</x:v>
      </x:c>
      <x:c r="P101" s="73" t="n">
        <x:f>IF(OR(N101="",O101=""),"",O101-N101)</x:f>
        <x:v>0.07000000000000028</x:v>
      </x:c>
      <x:c r="Q101" s="74" t="n">
        <x:f>IF(OR(N101="",O101="",N101=0),"",O101/N101-1)</x:f>
        <x:v>0.001489678655032911</x:v>
      </x:c>
      <x:c r="R101" s="74" t="n">
        <x:f>IF(M101="SHORT",-Q101,IF(M101="LONG",Q101,""))</x:f>
        <x:v>0.001489678655032911</x:v>
      </x:c>
      <x:c r="S101" s="75" t="str">
        <x:f>IF(R101="","N/A",IF(R101&gt;0,"GAIN",IF(R101&lt;0,"LOSS","FLAT")))</x:f>
        <x:v>GAIN</x:v>
      </x:c>
      <x:c r="T101" s="76" t="str">
        <x:v>SIP</x:v>
      </x:c>
      <x:c r="U101" s="76" t="str">
        <x:v>FINAL</x:v>
      </x:c>
      <x:c r="V101" s="70" t="n">
        <x:v>46242.04031994213</x:v>
      </x:c>
      <x:c r="W101" s="50" t="str">
        <x:v>SWING_SETUP</x:v>
      </x:c>
      <x:c r="X101" s="50" t="str">
        <x:v>LONG_BUY_ZONE:42, SWING_SETUP:44</x:v>
      </x:c>
      <x:c r="Y101" s="50" t="str">
        <x:f>IF(N101="","NO ALERT PRICE",IF(O101="","NO FRIDAY CLOSE","OK"))</x:f>
        <x:v>OK</x:v>
      </x:c>
    </x:row>
    <x:row r="102">
      <x:c r="A102" s="50" t="str">
        <x:v>WELL</x:v>
      </x:c>
      <x:c r="B102" s="50" t="n">
        <x:v>45</x:v>
      </x:c>
      <x:c r="C102" s="70" t="n">
        <x:v>46241.17433259259</x:v>
      </x:c>
      <x:c r="D102" s="50" t="str">
        <x:v>SWING_SETUP</x:v>
      </x:c>
      <x:c r="E102" s="71" t="n">
        <x:v>236</x:v>
      </x:c>
      <x:c r="F102" s="70"/>
      <x:c r="G102" s="50"/>
      <x:c r="H102" s="50"/>
      <x:c r="I102" s="71"/>
      <x:c r="J102" s="50" t="str">
        <x:v>REGISTRO_CONFIRMADO</x:v>
      </x:c>
      <x:c r="K102" s="70" t="n">
        <x:v>46241.17433259259</x:v>
      </x:c>
      <x:c r="L102" s="50" t="str">
        <x:v>SWING_SETUP</x:v>
      </x:c>
      <x:c r="M102" s="50" t="str">
        <x:v>LONG</x:v>
      </x:c>
      <x:c r="N102" s="72" t="n">
        <x:v>236</x:v>
      </x:c>
      <x:c r="O102" s="72" t="n">
        <x:v>236.92</x:v>
      </x:c>
      <x:c r="P102" s="73" t="n">
        <x:f>IF(OR(N102="",O102=""),"",O102-N102)</x:f>
        <x:v>0.9199999999999875</x:v>
      </x:c>
      <x:c r="Q102" s="74" t="n">
        <x:f>IF(OR(N102="",O102="",N102=0),"",O102/N102-1)</x:f>
        <x:v>0.0038983050847456457</x:v>
      </x:c>
      <x:c r="R102" s="74" t="n">
        <x:f>IF(M102="SHORT",-Q102,IF(M102="LONG",Q102,""))</x:f>
        <x:v>0.0038983050847456457</x:v>
      </x:c>
      <x:c r="S102" s="75" t="str">
        <x:f>IF(R102="","N/A",IF(R102&gt;0,"GAIN",IF(R102&lt;0,"LOSS","FLAT")))</x:f>
        <x:v>GAIN</x:v>
      </x:c>
      <x:c r="T102" s="76" t="str">
        <x:v>SIP</x:v>
      </x:c>
      <x:c r="U102" s="76" t="str">
        <x:v>FINAL</x:v>
      </x:c>
      <x:c r="V102" s="70" t="n">
        <x:v>46242.04587739583</x:v>
      </x:c>
      <x:c r="W102" s="50" t="str">
        <x:v>SWING_SETUP</x:v>
      </x:c>
      <x:c r="X102" s="50" t="str">
        <x:v>SWING_SETUP:45</x:v>
      </x:c>
      <x:c r="Y102" s="50" t="str">
        <x:f>IF(N102="","NO ALERT PRICE",IF(O102="","NO FRIDAY CLOSE","OK"))</x:f>
        <x:v>OK</x:v>
      </x:c>
    </x:row>
    <x:row r="103">
      <x:c r="A103" s="50" t="str">
        <x:v>WFC</x:v>
      </x:c>
      <x:c r="B103" s="50" t="n">
        <x:v>34</x:v>
      </x:c>
      <x:c r="C103" s="70" t="n">
        <x:v>46241.174332662034</x:v>
      </x:c>
      <x:c r="D103" s="50" t="str">
        <x:v>SWING_SETUP</x:v>
      </x:c>
      <x:c r="E103" s="71" t="n">
        <x:v>87.7246</x:v>
      </x:c>
      <x:c r="F103" s="70"/>
      <x:c r="G103" s="50"/>
      <x:c r="H103" s="50"/>
      <x:c r="I103" s="71"/>
      <x:c r="J103" s="50" t="str">
        <x:v>REGISTRO_CONFIRMADO</x:v>
      </x:c>
      <x:c r="K103" s="70" t="n">
        <x:v>46241.174332662034</x:v>
      </x:c>
      <x:c r="L103" s="50" t="str">
        <x:v>SWING_SETUP</x:v>
      </x:c>
      <x:c r="M103" s="50" t="str">
        <x:v>LONG</x:v>
      </x:c>
      <x:c r="N103" s="72" t="n">
        <x:v>87.7246</x:v>
      </x:c>
      <x:c r="O103" s="72" t="n">
        <x:v>87.25</x:v>
      </x:c>
      <x:c r="P103" s="73" t="n">
        <x:f>IF(OR(N103="",O103=""),"",O103-N103)</x:f>
        <x:v>-0.47459999999999525</x:v>
      </x:c>
      <x:c r="Q103" s="74" t="n">
        <x:f>IF(OR(N103="",O103="",N103=0),"",O103/N103-1)</x:f>
        <x:v>-0.005410113012769502</x:v>
      </x:c>
      <x:c r="R103" s="74" t="n">
        <x:f>IF(M103="SHORT",-Q103,IF(M103="LONG",Q103,""))</x:f>
        <x:v>-0.005410113012769502</x:v>
      </x:c>
      <x:c r="S103" s="75" t="str">
        <x:f>IF(R103="","N/A",IF(R103&gt;0,"GAIN",IF(R103&lt;0,"LOSS","FLAT")))</x:f>
        <x:v>LOSS</x:v>
      </x:c>
      <x:c r="T103" s="76" t="str">
        <x:v>SIP</x:v>
      </x:c>
      <x:c r="U103" s="76" t="str">
        <x:v>FINAL</x:v>
      </x:c>
      <x:c r="V103" s="70" t="n">
        <x:v>46242.03962917824</x:v>
      </x:c>
      <x:c r="W103" s="50" t="str">
        <x:v>SWING_SETUP</x:v>
      </x:c>
      <x:c r="X103" s="50" t="str">
        <x:v>SWING_SETUP:34</x:v>
      </x:c>
      <x:c r="Y103" s="50" t="str">
        <x:f>IF(N103="","NO ALERT PRICE",IF(O103="","NO FRIDAY CLOSE","OK"))</x:f>
        <x:v>OK</x:v>
      </x:c>
    </x:row>
    <x:row r="104">
      <x:c r="A104" s="50" t="str">
        <x:v>XOM</x:v>
      </x:c>
      <x:c r="B104" s="50" t="n">
        <x:v>48</x:v>
      </x:c>
      <x:c r="C104" s="70" t="n">
        <x:v>46241.17433289352</x:v>
      </x:c>
      <x:c r="D104" s="50" t="str">
        <x:v>SWING_SETUP</x:v>
      </x:c>
      <x:c r="E104" s="71" t="n">
        <x:v>154.7945</x:v>
      </x:c>
      <x:c r="F104" s="70"/>
      <x:c r="G104" s="50"/>
      <x:c r="H104" s="50"/>
      <x:c r="I104" s="71"/>
      <x:c r="J104" s="50" t="str">
        <x:v>REGISTRO_CONFIRMADO</x:v>
      </x:c>
      <x:c r="K104" s="70" t="n">
        <x:v>46241.17433289352</x:v>
      </x:c>
      <x:c r="L104" s="50" t="str">
        <x:v>SWING_SETUP</x:v>
      </x:c>
      <x:c r="M104" s="50" t="str">
        <x:v>LONG</x:v>
      </x:c>
      <x:c r="N104" s="72" t="n">
        <x:v>154.7945</x:v>
      </x:c>
      <x:c r="O104" s="72" t="n">
        <x:v>153.04</x:v>
      </x:c>
      <x:c r="P104" s="73" t="n">
        <x:f>IF(OR(N104="",O104=""),"",O104-N104)</x:f>
        <x:v>-1.7545000000000073</x:v>
      </x:c>
      <x:c r="Q104" s="74" t="n">
        <x:f>IF(OR(N104="",O104="",N104=0),"",O104/N104-1)</x:f>
        <x:v>-0.011334382035537494</x:v>
      </x:c>
      <x:c r="R104" s="74" t="n">
        <x:f>IF(M104="SHORT",-Q104,IF(M104="LONG",Q104,""))</x:f>
        <x:v>-0.011334382035537494</x:v>
      </x:c>
      <x:c r="S104" s="75" t="str">
        <x:f>IF(R104="","N/A",IF(R104&gt;0,"GAIN",IF(R104&lt;0,"LOSS","FLAT")))</x:f>
        <x:v>LOSS</x:v>
      </x:c>
      <x:c r="T104" s="76" t="str">
        <x:v>SIP</x:v>
      </x:c>
      <x:c r="U104" s="76" t="str">
        <x:v>FINAL</x:v>
      </x:c>
      <x:c r="V104" s="70" t="n">
        <x:v>46242.0472737963</x:v>
      </x:c>
      <x:c r="W104" s="50" t="str">
        <x:v>SWING_SETUP</x:v>
      </x:c>
      <x:c r="X104" s="50" t="str">
        <x:v>ENTRY_OPPORTUNITY_PROGRESS:1, ENTRY_WATCH:18, LONG_BUY_ZONE:9, SWING_SETUP:20</x:v>
      </x:c>
      <x:c r="Y104" s="50" t="str">
        <x:f>IF(N104="","NO ALERT PRICE",IF(O104="","NO FRIDAY CLOSE","OK"))</x:f>
        <x:v>OK</x:v>
      </x:c>
    </x:row>
  </x:sheetData>
  <x:conditionalFormatting sqref="R2:R10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S2:S104">
    <x:cfRule type="containsText" dxfId="2" priority="3" operator="containsText" text="GAIN"/>
    <x:cfRule type="containsText" dxfId="3" priority="4" operator="containsText" text="LOSS"/>
  </x:conditionalFormatting>
  <x:pageMargins left="0.7" right="0.7" top="0.75" bottom="0.75" header="0.3" footer="0.3"/>
  <x:tableParts count="1">
    <x:tablePart xmlns:r="http://schemas.openxmlformats.org/officeDocument/2006/relationships" r:id="Rb0ad6fb8bef7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630000114440918" hidden="0" customWidth="1"/>
    <x:col min="3" max="3" width="20" hidden="0" customWidth="1"/>
    <x:col min="4" max="4" width="25.8799991607666" hidden="0" customWidth="1"/>
    <x:col min="5" max="5" width="38" hidden="0" customWidth="1"/>
    <x:col min="6" max="6" width="10.630000114440918" hidden="0" customWidth="1"/>
    <x:col min="7" max="7" width="18.6299991607666" hidden="0" customWidth="1"/>
    <x:col min="8" max="8" width="10.130000114440918" hidden="0" customWidth="1"/>
    <x:col min="9" max="9" width="9.380000114440918" hidden="0" customWidth="1"/>
    <x:col min="10" max="10" width="25" hidden="0" customWidth="1"/>
  </x:cols>
  <x:sheetData>
    <x:row r="1">
      <x:c r="A1" s="77" t="str">
        <x:v>Registro ID</x:v>
      </x:c>
      <x:c r="B1" s="77" t="str">
        <x:v>Ticker</x:v>
      </x:c>
      <x:c r="C1" s="77" t="str">
        <x:v>Fecha BA</x:v>
      </x:c>
      <x:c r="D1" s="77" t="str">
        <x:v>Tipo</x:v>
      </x:c>
      <x:c r="E1" s="77" t="str">
        <x:v>Título</x:v>
      </x:c>
      <x:c r="F1" s="77" t="str">
        <x:v>Severidad</x:v>
      </x:c>
      <x:c r="G1" s="77" t="str">
        <x:v>Madurez</x:v>
      </x:c>
      <x:c r="H1" s="77" t="str">
        <x:v>Dirección</x:v>
      </x:c>
      <x:c r="I1" s="77" t="str">
        <x:v>Precio</x:v>
      </x:c>
      <x:c r="J1" s="77" t="str">
        <x:v>Mercado</x:v>
      </x:c>
    </x:row>
    <x:row r="2">
      <x:c r="A2" s="50" t="str">
        <x:v>019fda6a-3d87-793c-9d23-723924731121</x:v>
      </x:c>
      <x:c r="B2" s="50" t="str">
        <x:v>ADBE</x:v>
      </x:c>
      <x:c r="C2" s="70" t="n">
        <x:v>46241.17388304398</x:v>
      </x:c>
      <x:c r="D2" s="50" t="str">
        <x:v>SWING_SETUP</x:v>
      </x:c>
      <x:c r="E2" s="50" t="str">
        <x:v>ADBE SWING SETUP</x:v>
      </x:c>
      <x:c r="F2" s="50" t="str">
        <x:v>WATCH</x:v>
      </x:c>
      <x:c r="G2" s="50"/>
      <x:c r="H2" s="50" t="str">
        <x:v>LONG</x:v>
      </x:c>
      <x:c r="I2" s="71" t="n">
        <x:v>261.8</x:v>
      </x:c>
      <x:c r="J2" s="76" t="str">
        <x:v>SIP</x:v>
      </x:c>
    </x:row>
    <x:row r="3">
      <x:c r="A3" s="50" t="str">
        <x:v>019fda6a-d1fd-78b0-b38f-de16ab4c1728</x:v>
      </x:c>
      <x:c r="B3" s="50" t="str">
        <x:v>APA</x:v>
      </x:c>
      <x:c r="C3" s="70" t="n">
        <x:v>46241.174322928244</x:v>
      </x:c>
      <x:c r="D3" s="50" t="str">
        <x:v>SWING_SETUP</x:v>
      </x:c>
      <x:c r="E3" s="50" t="str">
        <x:v>APA SWING SETUP</x:v>
      </x:c>
      <x:c r="F3" s="50" t="str">
        <x:v>WATCH</x:v>
      </x:c>
      <x:c r="G3" s="50"/>
      <x:c r="H3" s="50" t="str">
        <x:v>LONG</x:v>
      </x:c>
      <x:c r="I3" s="71" t="n">
        <x:v>36.6</x:v>
      </x:c>
      <x:c r="J3" s="76" t="str">
        <x:v>SIP</x:v>
      </x:c>
    </x:row>
    <x:row r="4">
      <x:c r="A4" s="50" t="str">
        <x:v>019fda6a-d210-7473-82c6-111bd604ec27</x:v>
      </x:c>
      <x:c r="B4" s="50" t="str">
        <x:v>CEG</x:v>
      </x:c>
      <x:c r="C4" s="70" t="n">
        <x:v>46241.174323148145</x:v>
      </x:c>
      <x:c r="D4" s="50" t="str">
        <x:v>SWING_SETUP</x:v>
      </x:c>
      <x:c r="E4" s="50" t="str">
        <x:v>CEG SWING SETUP</x:v>
      </x:c>
      <x:c r="F4" s="50" t="str">
        <x:v>WATCH</x:v>
      </x:c>
      <x:c r="G4" s="50"/>
      <x:c r="H4" s="50" t="str">
        <x:v>LONG</x:v>
      </x:c>
      <x:c r="I4" s="71" t="n">
        <x:v>262.4404</x:v>
      </x:c>
      <x:c r="J4" s="76" t="str">
        <x:v>SIP</x:v>
      </x:c>
    </x:row>
    <x:row r="5">
      <x:c r="A5" s="50" t="str">
        <x:v>019fda6a-d254-77bb-896b-75304245f9c7</x:v>
      </x:c>
      <x:c r="B5" s="50" t="str">
        <x:v>INTU</x:v>
      </x:c>
      <x:c r="C5" s="70" t="n">
        <x:v>46241.174323935185</x:v>
      </x:c>
      <x:c r="D5" s="50" t="str">
        <x:v>SWING_SETUP</x:v>
      </x:c>
      <x:c r="E5" s="50" t="str">
        <x:v>INTU SWING SETUP</x:v>
      </x:c>
      <x:c r="F5" s="50" t="str">
        <x:v>WATCH</x:v>
      </x:c>
      <x:c r="G5" s="50"/>
      <x:c r="H5" s="50" t="str">
        <x:v>LONG</x:v>
      </x:c>
      <x:c r="I5" s="71" t="n">
        <x:v>324.45</x:v>
      </x:c>
      <x:c r="J5" s="76" t="str">
        <x:v>SIP</x:v>
      </x:c>
    </x:row>
    <x:row r="6">
      <x:c r="A6" s="50" t="str">
        <x:v>019fda6a-d263-7f00-84da-03cd3276961e</x:v>
      </x:c>
      <x:c r="B6" s="50" t="str">
        <x:v>NOC</x:v>
      </x:c>
      <x:c r="C6" s="70" t="n">
        <x:v>46241.1743241088</x:v>
      </x:c>
      <x:c r="D6" s="50" t="str">
        <x:v>SWING_SETUP</x:v>
      </x:c>
      <x:c r="E6" s="50" t="str">
        <x:v>NOC SWING SETUP</x:v>
      </x:c>
      <x:c r="F6" s="50" t="str">
        <x:v>WATCH</x:v>
      </x:c>
      <x:c r="G6" s="50"/>
      <x:c r="H6" s="50" t="str">
        <x:v>LONG</x:v>
      </x:c>
      <x:c r="I6" s="71" t="n">
        <x:v>567.88</x:v>
      </x:c>
      <x:c r="J6" s="76" t="str">
        <x:v>SIP</x:v>
      </x:c>
    </x:row>
    <x:row r="7">
      <x:c r="A7" s="50" t="str">
        <x:v>019fda6a-d26e-7328-a7f1-9747adb054aa</x:v>
      </x:c>
      <x:c r="B7" s="50" t="str">
        <x:v>OXY</x:v>
      </x:c>
      <x:c r="C7" s="70" t="n">
        <x:v>46241.174324224536</x:v>
      </x:c>
      <x:c r="D7" s="50" t="str">
        <x:v>SWING_SETUP</x:v>
      </x:c>
      <x:c r="E7" s="50" t="str">
        <x:v>OXY SWING SETUP</x:v>
      </x:c>
      <x:c r="F7" s="50" t="str">
        <x:v>WATCH</x:v>
      </x:c>
      <x:c r="G7" s="50"/>
      <x:c r="H7" s="50" t="str">
        <x:v>LONG</x:v>
      </x:c>
      <x:c r="I7" s="71" t="n">
        <x:v>56.0386</x:v>
      </x:c>
      <x:c r="J7" s="76" t="str">
        <x:v>SIP</x:v>
      </x:c>
    </x:row>
    <x:row r="8">
      <x:c r="A8" s="50" t="str">
        <x:v>019fda6a-d278-782d-b8b4-a6695db2e494</x:v>
      </x:c>
      <x:c r="B8" s="50" t="str">
        <x:v>RCL</x:v>
      </x:c>
      <x:c r="C8" s="70" t="n">
        <x:v>46241.17432435185</x:v>
      </x:c>
      <x:c r="D8" s="50" t="str">
        <x:v>SWING_SETUP</x:v>
      </x:c>
      <x:c r="E8" s="50" t="str">
        <x:v>RCL SWING SETUP</x:v>
      </x:c>
      <x:c r="F8" s="50" t="str">
        <x:v>WATCH</x:v>
      </x:c>
      <x:c r="G8" s="50"/>
      <x:c r="H8" s="50" t="str">
        <x:v>LONG</x:v>
      </x:c>
      <x:c r="I8" s="71" t="n">
        <x:v>320.6</x:v>
      </x:c>
      <x:c r="J8" s="76" t="str">
        <x:v>SIP</x:v>
      </x:c>
    </x:row>
    <x:row r="9">
      <x:c r="A9" s="50" t="str">
        <x:v>019fda6a-d299-7466-994d-3b1cd4f951ad</x:v>
      </x:c>
      <x:c r="B9" s="50" t="str">
        <x:v>ABT</x:v>
      </x:c>
      <x:c r="C9" s="70" t="n">
        <x:v>46241.174324733794</x:v>
      </x:c>
      <x:c r="D9" s="50" t="str">
        <x:v>SWING_SETUP</x:v>
      </x:c>
      <x:c r="E9" s="50" t="str">
        <x:v>ABT SWING SETUP</x:v>
      </x:c>
      <x:c r="F9" s="50" t="str">
        <x:v>WATCH</x:v>
      </x:c>
      <x:c r="G9" s="50"/>
      <x:c r="H9" s="50" t="str">
        <x:v>LONG</x:v>
      </x:c>
      <x:c r="I9" s="71" t="n">
        <x:v>107.1</x:v>
      </x:c>
      <x:c r="J9" s="76" t="str">
        <x:v>SIP</x:v>
      </x:c>
    </x:row>
    <x:row r="10">
      <x:c r="A10" s="50" t="str">
        <x:v>019fda6a-d2ce-7a54-ba69-78afe85db88b</x:v>
      </x:c>
      <x:c r="B10" s="50" t="str">
        <x:v>ANET</x:v>
      </x:c>
      <x:c r="C10" s="70" t="n">
        <x:v>46241.17432534722</x:v>
      </x:c>
      <x:c r="D10" s="50" t="str">
        <x:v>SWING_SETUP</x:v>
      </x:c>
      <x:c r="E10" s="50" t="str">
        <x:v>ANET SWING SETUP</x:v>
      </x:c>
      <x:c r="F10" s="50" t="str">
        <x:v>WATCH</x:v>
      </x:c>
      <x:c r="G10" s="50"/>
      <x:c r="H10" s="50" t="str">
        <x:v>LONG</x:v>
      </x:c>
      <x:c r="I10" s="71" t="n">
        <x:v>193</x:v>
      </x:c>
      <x:c r="J10" s="76" t="str">
        <x:v>SIP</x:v>
      </x:c>
    </x:row>
    <x:row r="11">
      <x:c r="A11" s="50" t="str">
        <x:v>019fda6a-d30d-7a65-9f46-e998465bb3d5</x:v>
      </x:c>
      <x:c r="B11" s="50" t="str">
        <x:v>BAC</x:v>
      </x:c>
      <x:c r="C11" s="70" t="n">
        <x:v>46241.17432607639</x:v>
      </x:c>
      <x:c r="D11" s="50" t="str">
        <x:v>SWING_SETUP</x:v>
      </x:c>
      <x:c r="E11" s="50" t="str">
        <x:v>BAC SWING SETUP</x:v>
      </x:c>
      <x:c r="F11" s="50" t="str">
        <x:v>WATCH</x:v>
      </x:c>
      <x:c r="G11" s="50"/>
      <x:c r="H11" s="50" t="str">
        <x:v>LONG</x:v>
      </x:c>
      <x:c r="I11" s="71" t="n">
        <x:v>63.02</x:v>
      </x:c>
      <x:c r="J11" s="76" t="str">
        <x:v>SIP</x:v>
      </x:c>
    </x:row>
    <x:row r="12">
      <x:c r="A12" s="50" t="str">
        <x:v>019fda6a-d31c-7a61-b17e-80f0345ed0d7</x:v>
      </x:c>
      <x:c r="B12" s="50" t="str">
        <x:v>BLK</x:v>
      </x:c>
      <x:c r="C12" s="70" t="n">
        <x:v>46241.17432625</x:v>
      </x:c>
      <x:c r="D12" s="50" t="str">
        <x:v>SWING_SETUP</x:v>
      </x:c>
      <x:c r="E12" s="50" t="str">
        <x:v>BLK SWING SETUP</x:v>
      </x:c>
      <x:c r="F12" s="50" t="str">
        <x:v>WATCH</x:v>
      </x:c>
      <x:c r="G12" s="50"/>
      <x:c r="H12" s="50" t="str">
        <x:v>LONG</x:v>
      </x:c>
      <x:c r="I12" s="71" t="n">
        <x:v>1128</x:v>
      </x:c>
      <x:c r="J12" s="76" t="str">
        <x:v>SIP</x:v>
      </x:c>
    </x:row>
    <x:row r="13">
      <x:c r="A13" s="50" t="str">
        <x:v>019fda6a-d321-7585-9d0a-e8ba0acec271</x:v>
      </x:c>
      <x:c r="B13" s="50" t="str">
        <x:v>BMY</x:v>
      </x:c>
      <x:c r="C13" s="70" t="n">
        <x:v>46241.17432630787</x:v>
      </x:c>
      <x:c r="D13" s="50" t="str">
        <x:v>SWING_SETUP</x:v>
      </x:c>
      <x:c r="E13" s="50" t="str">
        <x:v>BMY SWING SETUP</x:v>
      </x:c>
      <x:c r="F13" s="50" t="str">
        <x:v>WATCH</x:v>
      </x:c>
      <x:c r="G13" s="50"/>
      <x:c r="H13" s="50" t="str">
        <x:v>LONG</x:v>
      </x:c>
      <x:c r="I13" s="71" t="n">
        <x:v>64.01</x:v>
      </x:c>
      <x:c r="J13" s="76" t="str">
        <x:v>SIP</x:v>
      </x:c>
    </x:row>
    <x:row r="14">
      <x:c r="A14" s="50" t="str">
        <x:v>019fda6a-d365-7b17-b256-887040e7c5b7</x:v>
      </x:c>
      <x:c r="B14" s="50" t="str">
        <x:v>DASH</x:v>
      </x:c>
      <x:c r="C14" s="70" t="n">
        <x:v>46241.17432709491</x:v>
      </x:c>
      <x:c r="D14" s="50" t="str">
        <x:v>SWING_SETUP</x:v>
      </x:c>
      <x:c r="E14" s="50" t="str">
        <x:v>DASH SWING SETUP</x:v>
      </x:c>
      <x:c r="F14" s="50" t="str">
        <x:v>WATCH</x:v>
      </x:c>
      <x:c r="G14" s="50"/>
      <x:c r="H14" s="50" t="str">
        <x:v>LONG</x:v>
      </x:c>
      <x:c r="I14" s="71" t="n">
        <x:v>213.028</x:v>
      </x:c>
      <x:c r="J14" s="76" t="str">
        <x:v>SIP</x:v>
      </x:c>
    </x:row>
    <x:row r="15">
      <x:c r="A15" s="50" t="str">
        <x:v>019fda6a-d37e-7f71-857f-7e040e643638</x:v>
      </x:c>
      <x:c r="B15" s="50" t="str">
        <x:v>ECL</x:v>
      </x:c>
      <x:c r="C15" s="70" t="n">
        <x:v>46241.17432738426</x:v>
      </x:c>
      <x:c r="D15" s="50" t="str">
        <x:v>SWING_SETUP</x:v>
      </x:c>
      <x:c r="E15" s="50" t="str">
        <x:v>ECL SWING SETUP</x:v>
      </x:c>
      <x:c r="F15" s="50" t="str">
        <x:v>WATCH</x:v>
      </x:c>
      <x:c r="G15" s="50"/>
      <x:c r="H15" s="50" t="str">
        <x:v>LONG</x:v>
      </x:c>
      <x:c r="I15" s="71" t="n">
        <x:v>282</x:v>
      </x:c>
      <x:c r="J15" s="76" t="str">
        <x:v>SIP</x:v>
      </x:c>
    </x:row>
    <x:row r="16">
      <x:c r="A16" s="50" t="str">
        <x:v>019fda6a-d392-7ae6-80b6-37c536f25b47</x:v>
      </x:c>
      <x:c r="B16" s="50" t="str">
        <x:v>ETHA</x:v>
      </x:c>
      <x:c r="C16" s="70" t="n">
        <x:v>46241.17432761574</x:v>
      </x:c>
      <x:c r="D16" s="50" t="str">
        <x:v>SWING_SETUP</x:v>
      </x:c>
      <x:c r="E16" s="50" t="str">
        <x:v>ETHA SWING SETUP</x:v>
      </x:c>
      <x:c r="F16" s="50" t="str">
        <x:v>WATCH</x:v>
      </x:c>
      <x:c r="G16" s="50"/>
      <x:c r="H16" s="50" t="str">
        <x:v>LONG</x:v>
      </x:c>
      <x:c r="I16" s="71" t="n">
        <x:v>14.34</x:v>
      </x:c>
      <x:c r="J16" s="76" t="str">
        <x:v>SIP</x:v>
      </x:c>
    </x:row>
    <x:row r="17">
      <x:c r="A17" s="50" t="str">
        <x:v>019fda6a-d3d9-7473-9193-5c81bc1f4558</x:v>
      </x:c>
      <x:c r="B17" s="50" t="str">
        <x:v>HWM</x:v>
      </x:c>
      <x:c r="C17" s="70" t="n">
        <x:v>46241.1743284375</x:v>
      </x:c>
      <x:c r="D17" s="50" t="str">
        <x:v>SWING_SETUP</x:v>
      </x:c>
      <x:c r="E17" s="50" t="str">
        <x:v>HWM SWING SETUP</x:v>
      </x:c>
      <x:c r="F17" s="50" t="str">
        <x:v>WATCH</x:v>
      </x:c>
      <x:c r="G17" s="50"/>
      <x:c r="H17" s="50" t="str">
        <x:v>LONG</x:v>
      </x:c>
      <x:c r="I17" s="71" t="n">
        <x:v>291.9381</x:v>
      </x:c>
      <x:c r="J17" s="76" t="str">
        <x:v>SIP</x:v>
      </x:c>
    </x:row>
    <x:row r="18">
      <x:c r="A18" s="50" t="str">
        <x:v>019fda6a-d3ec-7de7-8eee-37b6bc03be4d</x:v>
      </x:c>
      <x:c r="B18" s="50" t="str">
        <x:v>JPM</x:v>
      </x:c>
      <x:c r="C18" s="70" t="n">
        <x:v>46241.174328657406</x:v>
      </x:c>
      <x:c r="D18" s="50" t="str">
        <x:v>SWING_SETUP</x:v>
      </x:c>
      <x:c r="E18" s="50" t="str">
        <x:v>JPM SWING SETUP</x:v>
      </x:c>
      <x:c r="F18" s="50" t="str">
        <x:v>WATCH</x:v>
      </x:c>
      <x:c r="G18" s="50"/>
      <x:c r="H18" s="50" t="str">
        <x:v>LONG</x:v>
      </x:c>
      <x:c r="I18" s="71" t="n">
        <x:v>356.51</x:v>
      </x:c>
      <x:c r="J18" s="76" t="str">
        <x:v>SIP</x:v>
      </x:c>
    </x:row>
    <x:row r="19">
      <x:c r="A19" s="50" t="str">
        <x:v>019fda6a-d3fc-788a-9b28-437becdc192f</x:v>
      </x:c>
      <x:c r="B19" s="50" t="str">
        <x:v>KO</x:v>
      </x:c>
      <x:c r="C19" s="70" t="n">
        <x:v>46241.17432884259</x:v>
      </x:c>
      <x:c r="D19" s="50" t="str">
        <x:v>SWING_SETUP</x:v>
      </x:c>
      <x:c r="E19" s="50" t="str">
        <x:v>KO SWING SETUP</x:v>
      </x:c>
      <x:c r="F19" s="50" t="str">
        <x:v>WATCH</x:v>
      </x:c>
      <x:c r="G19" s="50"/>
      <x:c r="H19" s="50" t="str">
        <x:v>LONG</x:v>
      </x:c>
      <x:c r="I19" s="71" t="n">
        <x:v>86.95</x:v>
      </x:c>
      <x:c r="J19" s="76" t="str">
        <x:v>SIP</x:v>
      </x:c>
    </x:row>
    <x:row r="20">
      <x:c r="A20" s="50" t="str">
        <x:v>019fda6a-d414-71e7-8407-32178d880b49</x:v>
      </x:c>
      <x:c r="B20" s="50" t="str">
        <x:v>LMT</x:v>
      </x:c>
      <x:c r="C20" s="70" t="n">
        <x:v>46241.17432912037</x:v>
      </x:c>
      <x:c r="D20" s="50" t="str">
        <x:v>SWING_SETUP</x:v>
      </x:c>
      <x:c r="E20" s="50" t="str">
        <x:v>LMT SWING SETUP</x:v>
      </x:c>
      <x:c r="F20" s="50" t="str">
        <x:v>WATCH</x:v>
      </x:c>
      <x:c r="G20" s="50"/>
      <x:c r="H20" s="50" t="str">
        <x:v>LONG</x:v>
      </x:c>
      <x:c r="I20" s="71" t="n">
        <x:v>585</x:v>
      </x:c>
      <x:c r="J20" s="76" t="str">
        <x:v>SIP</x:v>
      </x:c>
    </x:row>
    <x:row r="21">
      <x:c r="A21" s="50" t="str">
        <x:v>019fda6a-d42d-7d47-803b-0829d4325c71</x:v>
      </x:c>
      <x:c r="B21" s="50" t="str">
        <x:v>MDLZ</x:v>
      </x:c>
      <x:c r="C21" s="70" t="n">
        <x:v>46241.174329409725</x:v>
      </x:c>
      <x:c r="D21" s="50" t="str">
        <x:v>SWING_SETUP</x:v>
      </x:c>
      <x:c r="E21" s="50" t="str">
        <x:v>MDLZ SWING SETUP</x:v>
      </x:c>
      <x:c r="F21" s="50" t="str">
        <x:v>WATCH</x:v>
      </x:c>
      <x:c r="G21" s="50"/>
      <x:c r="H21" s="50" t="str">
        <x:v>LONG</x:v>
      </x:c>
      <x:c r="I21" s="71" t="n">
        <x:v>62.73</x:v>
      </x:c>
      <x:c r="J21" s="76" t="str">
        <x:v>SIP</x:v>
      </x:c>
    </x:row>
    <x:row r="22">
      <x:c r="A22" s="50" t="str">
        <x:v>019fda6a-d44c-78a7-8bbf-1a94efaf43b7</x:v>
      </x:c>
      <x:c r="B22" s="50" t="str">
        <x:v>MRK</x:v>
      </x:c>
      <x:c r="C22" s="70" t="n">
        <x:v>46241.17432976852</x:v>
      </x:c>
      <x:c r="D22" s="50" t="str">
        <x:v>SWING_SETUP</x:v>
      </x:c>
      <x:c r="E22" s="50" t="str">
        <x:v>MRK SWING SETUP</x:v>
      </x:c>
      <x:c r="F22" s="50" t="str">
        <x:v>WATCH</x:v>
      </x:c>
      <x:c r="G22" s="50"/>
      <x:c r="H22" s="50" t="str">
        <x:v>LONG</x:v>
      </x:c>
      <x:c r="I22" s="71" t="n">
        <x:v>128.2</x:v>
      </x:c>
      <x:c r="J22" s="76" t="str">
        <x:v>SIP</x:v>
      </x:c>
    </x:row>
    <x:row r="23">
      <x:c r="A23" s="50" t="str">
        <x:v>019fda6a-d46f-7621-b6cd-32f72f506a26</x:v>
      </x:c>
      <x:c r="B23" s="50" t="str">
        <x:v>NTR</x:v>
      </x:c>
      <x:c r="C23" s="70" t="n">
        <x:v>46241.17433016204</x:v>
      </x:c>
      <x:c r="D23" s="50" t="str">
        <x:v>SWING_SETUP</x:v>
      </x:c>
      <x:c r="E23" s="50" t="str">
        <x:v>NTR SWING SETUP</x:v>
      </x:c>
      <x:c r="F23" s="50" t="str">
        <x:v>WATCH</x:v>
      </x:c>
      <x:c r="G23" s="50"/>
      <x:c r="H23" s="50" t="str">
        <x:v>LONG</x:v>
      </x:c>
      <x:c r="I23" s="71" t="n">
        <x:v>67.8375</x:v>
      </x:c>
      <x:c r="J23" s="76" t="str">
        <x:v>SIP</x:v>
      </x:c>
    </x:row>
    <x:row r="24">
      <x:c r="A24" s="50" t="str">
        <x:v>019fda6a-d479-7b54-adc5-196a08bf7d38</x:v>
      </x:c>
      <x:c r="B24" s="50" t="str">
        <x:v>NUE</x:v>
      </x:c>
      <x:c r="C24" s="70" t="n">
        <x:v>46241.17433028935</x:v>
      </x:c>
      <x:c r="D24" s="50" t="str">
        <x:v>SWING_SETUP</x:v>
      </x:c>
      <x:c r="E24" s="50" t="str">
        <x:v>NUE SWING SETUP</x:v>
      </x:c>
      <x:c r="F24" s="50" t="str">
        <x:v>WATCH</x:v>
      </x:c>
      <x:c r="G24" s="50"/>
      <x:c r="H24" s="50" t="str">
        <x:v>LONG</x:v>
      </x:c>
      <x:c r="I24" s="71" t="n">
        <x:v>271.03</x:v>
      </x:c>
      <x:c r="J24" s="76" t="str">
        <x:v>SIP</x:v>
      </x:c>
    </x:row>
    <x:row r="25">
      <x:c r="A25" s="50" t="str">
        <x:v>019fda6a-d497-70e1-9d44-fc1a06f8e2ce</x:v>
      </x:c>
      <x:c r="B25" s="50" t="str">
        <x:v>PM</x:v>
      </x:c>
      <x:c r="C25" s="70" t="n">
        <x:v>46241.174330636575</x:v>
      </x:c>
      <x:c r="D25" s="50" t="str">
        <x:v>SWING_SETUP</x:v>
      </x:c>
      <x:c r="E25" s="50" t="str">
        <x:v>PM SWING SETUP</x:v>
      </x:c>
      <x:c r="F25" s="50" t="str">
        <x:v>WATCH</x:v>
      </x:c>
      <x:c r="G25" s="50"/>
      <x:c r="H25" s="50" t="str">
        <x:v>LONG</x:v>
      </x:c>
      <x:c r="I25" s="71" t="n">
        <x:v>187.5</x:v>
      </x:c>
      <x:c r="J25" s="76" t="str">
        <x:v>SIP</x:v>
      </x:c>
    </x:row>
    <x:row r="26">
      <x:c r="A26" s="50" t="str">
        <x:v>019fda6a-d4c5-77a6-81c2-cde4e3a55ffa</x:v>
      </x:c>
      <x:c r="B26" s="50" t="str">
        <x:v>RTX</x:v>
      </x:c>
      <x:c r="C26" s="70" t="n">
        <x:v>46241.17433116898</x:v>
      </x:c>
      <x:c r="D26" s="50" t="str">
        <x:v>SWING_SETUP</x:v>
      </x:c>
      <x:c r="E26" s="50" t="str">
        <x:v>RTX SWING SETUP</x:v>
      </x:c>
      <x:c r="F26" s="50" t="str">
        <x:v>WATCH</x:v>
      </x:c>
      <x:c r="G26" s="50"/>
      <x:c r="H26" s="50" t="str">
        <x:v>LONG</x:v>
      </x:c>
      <x:c r="I26" s="71" t="n">
        <x:v>223.84</x:v>
      </x:c>
      <x:c r="J26" s="76" t="str">
        <x:v>SIP</x:v>
      </x:c>
    </x:row>
    <x:row r="27">
      <x:c r="A27" s="50" t="str">
        <x:v>019fda6a-d4fa-7127-bd79-3ec113c919d3</x:v>
      </x:c>
      <x:c r="B27" s="50" t="str">
        <x:v>TMDX</x:v>
      </x:c>
      <x:c r="C27" s="70" t="n">
        <x:v>46241.17433178241</x:v>
      </x:c>
      <x:c r="D27" s="50" t="str">
        <x:v>SWING_SETUP</x:v>
      </x:c>
      <x:c r="E27" s="50" t="str">
        <x:v>TMDX SWING SETUP</x:v>
      </x:c>
      <x:c r="F27" s="50" t="str">
        <x:v>WATCH</x:v>
      </x:c>
      <x:c r="G27" s="50"/>
      <x:c r="H27" s="50" t="str">
        <x:v>LONG</x:v>
      </x:c>
      <x:c r="I27" s="71" t="n">
        <x:v>79</x:v>
      </x:c>
      <x:c r="J27" s="76" t="str">
        <x:v>SIP</x:v>
      </x:c>
    </x:row>
    <x:row r="28">
      <x:c r="A28" s="50" t="str">
        <x:v>019fda6a-d541-78d1-8fd4-2324aee5ea8e</x:v>
      </x:c>
      <x:c r="B28" s="50" t="str">
        <x:v>WELL</x:v>
      </x:c>
      <x:c r="C28" s="70" t="n">
        <x:v>46241.17433259259</x:v>
      </x:c>
      <x:c r="D28" s="50" t="str">
        <x:v>SWING_SETUP</x:v>
      </x:c>
      <x:c r="E28" s="50" t="str">
        <x:v>WELL SWING SETUP</x:v>
      </x:c>
      <x:c r="F28" s="50" t="str">
        <x:v>WATCH</x:v>
      </x:c>
      <x:c r="G28" s="50"/>
      <x:c r="H28" s="50" t="str">
        <x:v>LONG</x:v>
      </x:c>
      <x:c r="I28" s="71" t="n">
        <x:v>236</x:v>
      </x:c>
      <x:c r="J28" s="76" t="str">
        <x:v>SIP</x:v>
      </x:c>
    </x:row>
    <x:row r="29">
      <x:c r="A29" s="50" t="str">
        <x:v>019fda6a-d546-72a2-b5db-17ab8d791c6a</x:v>
      </x:c>
      <x:c r="B29" s="50" t="str">
        <x:v>WFC</x:v>
      </x:c>
      <x:c r="C29" s="70" t="n">
        <x:v>46241.174332662034</x:v>
      </x:c>
      <x:c r="D29" s="50" t="str">
        <x:v>SWING_SETUP</x:v>
      </x:c>
      <x:c r="E29" s="50" t="str">
        <x:v>WFC SWING SETUP</x:v>
      </x:c>
      <x:c r="F29" s="50" t="str">
        <x:v>WATCH</x:v>
      </x:c>
      <x:c r="G29" s="50"/>
      <x:c r="H29" s="50" t="str">
        <x:v>LONG</x:v>
      </x:c>
      <x:c r="I29" s="71" t="n">
        <x:v>87.7246</x:v>
      </x:c>
      <x:c r="J29" s="76" t="str">
        <x:v>SIP</x:v>
      </x:c>
    </x:row>
    <x:row r="30">
      <x:c r="A30" s="50" t="str">
        <x:v>019fda6a-d55a-73a5-b81f-72e7eec55d33</x:v>
      </x:c>
      <x:c r="B30" s="50" t="str">
        <x:v>XOM</x:v>
      </x:c>
      <x:c r="C30" s="70" t="n">
        <x:v>46241.17433289352</x:v>
      </x:c>
      <x:c r="D30" s="50" t="str">
        <x:v>SWING_SETUP</x:v>
      </x:c>
      <x:c r="E30" s="50" t="str">
        <x:v>XOM SWING SETUP</x:v>
      </x:c>
      <x:c r="F30" s="50" t="str">
        <x:v>WATCH</x:v>
      </x:c>
      <x:c r="G30" s="50"/>
      <x:c r="H30" s="50" t="str">
        <x:v>LONG</x:v>
      </x:c>
      <x:c r="I30" s="71" t="n">
        <x:v>154.7945</x:v>
      </x:c>
      <x:c r="J30" s="76" t="str">
        <x:v>SIP</x:v>
      </x:c>
    </x:row>
    <x:row r="31">
      <x:c r="A31" s="50" t="str">
        <x:v>019fda6a-d591-72bf-bbca-6d18975ec4f5</x:v>
      </x:c>
      <x:c r="B31" s="50" t="str">
        <x:v>PYPL</x:v>
      </x:c>
      <x:c r="C31" s="70" t="n">
        <x:v>46241.17433353009</x:v>
      </x:c>
      <x:c r="D31" s="50" t="str">
        <x:v>SWING_SETUP</x:v>
      </x:c>
      <x:c r="E31" s="50" t="str">
        <x:v>PYPL SWING SETUP</x:v>
      </x:c>
      <x:c r="F31" s="50" t="str">
        <x:v>WATCH</x:v>
      </x:c>
      <x:c r="G31" s="50"/>
      <x:c r="H31" s="50" t="str">
        <x:v>LONG</x:v>
      </x:c>
      <x:c r="I31" s="71" t="n">
        <x:v>59.65</x:v>
      </x:c>
      <x:c r="J31" s="76" t="str">
        <x:v>SIP</x:v>
      </x:c>
    </x:row>
    <x:row r="32">
      <x:c r="A32" s="50" t="str">
        <x:v>019fda6a-d59b-7c42-a204-106998d91b9c</x:v>
      </x:c>
      <x:c r="B32" s="50" t="str">
        <x:v>PFE</x:v>
      </x:c>
      <x:c r="C32" s="70" t="n">
        <x:v>46241.17433364583</x:v>
      </x:c>
      <x:c r="D32" s="50" t="str">
        <x:v>SWING_SETUP</x:v>
      </x:c>
      <x:c r="E32" s="50" t="str">
        <x:v>PFE SWING SETUP</x:v>
      </x:c>
      <x:c r="F32" s="50" t="str">
        <x:v>WATCH</x:v>
      </x:c>
      <x:c r="G32" s="50"/>
      <x:c r="H32" s="50" t="str">
        <x:v>LONG</x:v>
      </x:c>
      <x:c r="I32" s="71" t="n">
        <x:v>26.12</x:v>
      </x:c>
      <x:c r="J32" s="76" t="str">
        <x:v>SIP</x:v>
      </x:c>
    </x:row>
    <x:row r="33">
      <x:c r="A33" s="50" t="str">
        <x:v>019fda6a-d5ab-74e8-b7d0-15d1887e8aba</x:v>
      </x:c>
      <x:c r="B33" s="50" t="str">
        <x:v>ABNB</x:v>
      </x:c>
      <x:c r="C33" s="70" t="n">
        <x:v>46241.17433383102</x:v>
      </x:c>
      <x:c r="D33" s="50" t="str">
        <x:v>SWING_SETUP</x:v>
      </x:c>
      <x:c r="E33" s="50" t="str">
        <x:v>ABNB SWING SETUP</x:v>
      </x:c>
      <x:c r="F33" s="50" t="str">
        <x:v>WATCH</x:v>
      </x:c>
      <x:c r="G33" s="50"/>
      <x:c r="H33" s="50" t="str">
        <x:v>LONG</x:v>
      </x:c>
      <x:c r="I33" s="71" t="n">
        <x:v>163.5278</x:v>
      </x:c>
      <x:c r="J33" s="76" t="str">
        <x:v>SIP</x:v>
      </x:c>
    </x:row>
    <x:row r="34">
      <x:c r="A34" s="50" t="str">
        <x:v>019fda6a-dedb-7c54-b9f9-58d1b4b1f98c</x:v>
      </x:c>
      <x:c r="B34" s="50" t="str">
        <x:v>APA</x:v>
      </x:c>
      <x:c r="C34" s="70" t="n">
        <x:v>46241.17436105324</x:v>
      </x:c>
      <x:c r="D34" s="50" t="str">
        <x:v>LONG_BUY_ZONE</x:v>
      </x:c>
      <x:c r="E34" s="50" t="str">
        <x:v>APA LONG BUY ZONE</x:v>
      </x:c>
      <x:c r="F34" s="50" t="str">
        <x:v>WATCH</x:v>
      </x:c>
      <x:c r="G34" s="50"/>
      <x:c r="H34" s="50" t="str">
        <x:v>LONG</x:v>
      </x:c>
      <x:c r="I34" s="71" t="n">
        <x:v>36.53</x:v>
      </x:c>
      <x:c r="J34" s="76" t="str">
        <x:v>SIP</x:v>
      </x:c>
    </x:row>
    <x:row r="35">
      <x:c r="A35" s="50" t="str">
        <x:v>019fda6a-df1e-7956-8892-87b5314cac24</x:v>
      </x:c>
      <x:c r="B35" s="50" t="str">
        <x:v>CVX</x:v>
      </x:c>
      <x:c r="C35" s="70" t="n">
        <x:v>46241.17436182871</x:v>
      </x:c>
      <x:c r="D35" s="50" t="str">
        <x:v>LONG_BUY_ZONE</x:v>
      </x:c>
      <x:c r="E35" s="50" t="str">
        <x:v>CVX LONG BUY ZONE</x:v>
      </x:c>
      <x:c r="F35" s="50" t="str">
        <x:v>WATCH</x:v>
      </x:c>
      <x:c r="G35" s="50"/>
      <x:c r="H35" s="50" t="str">
        <x:v>LONG</x:v>
      </x:c>
      <x:c r="I35" s="71" t="n">
        <x:v>189.23</x:v>
      </x:c>
      <x:c r="J35" s="76" t="str">
        <x:v>SIP</x:v>
      </x:c>
    </x:row>
    <x:row r="36">
      <x:c r="A36" s="50" t="str">
        <x:v>019fda6a-df90-740a-82ce-93fcbc50f2f9</x:v>
      </x:c>
      <x:c r="B36" s="50" t="str">
        <x:v>OXY</x:v>
      </x:c>
      <x:c r="C36" s="70" t="n">
        <x:v>46241.174363136575</x:v>
      </x:c>
      <x:c r="D36" s="50" t="str">
        <x:v>LONG_BUY_ZONE</x:v>
      </x:c>
      <x:c r="E36" s="50" t="str">
        <x:v>OXY LONG BUY ZONE</x:v>
      </x:c>
      <x:c r="F36" s="50" t="str">
        <x:v>WATCH</x:v>
      </x:c>
      <x:c r="G36" s="50"/>
      <x:c r="H36" s="50" t="str">
        <x:v>LONG</x:v>
      </x:c>
      <x:c r="I36" s="71" t="n">
        <x:v>56.04</x:v>
      </x:c>
      <x:c r="J36" s="76" t="str">
        <x:v>SIP</x:v>
      </x:c>
    </x:row>
    <x:row r="37">
      <x:c r="A37" s="50" t="str">
        <x:v>019fda6a-dfa2-7a37-8524-9314014a1c0b</x:v>
      </x:c>
      <x:c r="B37" s="50" t="str">
        <x:v>RCL</x:v>
      </x:c>
      <x:c r="C37" s="70" t="n">
        <x:v>46241.174363356484</x:v>
      </x:c>
      <x:c r="D37" s="50" t="str">
        <x:v>LONG_BUY_ZONE</x:v>
      </x:c>
      <x:c r="E37" s="50" t="str">
        <x:v>RCL LONG BUY ZONE</x:v>
      </x:c>
      <x:c r="F37" s="50" t="str">
        <x:v>WATCH</x:v>
      </x:c>
      <x:c r="G37" s="50"/>
      <x:c r="H37" s="50" t="str">
        <x:v>LONG</x:v>
      </x:c>
      <x:c r="I37" s="71" t="n">
        <x:v>320.55</x:v>
      </x:c>
      <x:c r="J37" s="76" t="str">
        <x:v>SIP</x:v>
      </x:c>
    </x:row>
    <x:row r="38">
      <x:c r="A38" s="50" t="str">
        <x:v>019fda6a-dfab-7fc9-85fd-757b10233854</x:v>
      </x:c>
      <x:c r="B38" s="50" t="str">
        <x:v>SBUX</x:v>
      </x:c>
      <x:c r="C38" s="70" t="n">
        <x:v>46241.17436346065</x:v>
      </x:c>
      <x:c r="D38" s="50" t="str">
        <x:v>LONG_BUY_ZONE</x:v>
      </x:c>
      <x:c r="E38" s="50" t="str">
        <x:v>SBUX LONG BUY ZONE</x:v>
      </x:c>
      <x:c r="F38" s="50" t="str">
        <x:v>WATCH</x:v>
      </x:c>
      <x:c r="G38" s="50"/>
      <x:c r="H38" s="50" t="str">
        <x:v>LONG</x:v>
      </x:c>
      <x:c r="I38" s="71" t="n">
        <x:v>105.16</x:v>
      </x:c>
      <x:c r="J38" s="76" t="str">
        <x:v>SIP</x:v>
      </x:c>
    </x:row>
    <x:row r="39">
      <x:c r="A39" s="50" t="str">
        <x:v>019fda6a-dfc2-7a2b-9608-07f756c01229</x:v>
      </x:c>
      <x:c r="B39" s="50" t="str">
        <x:v>ABBV</x:v>
      </x:c>
      <x:c r="C39" s="70" t="n">
        <x:v>46241.17436372685</x:v>
      </x:c>
      <x:c r="D39" s="50" t="str">
        <x:v>LONG_BUY_ZONE</x:v>
      </x:c>
      <x:c r="E39" s="50" t="str">
        <x:v>ABBV LONG BUY ZONE</x:v>
      </x:c>
      <x:c r="F39" s="50" t="str">
        <x:v>WATCH</x:v>
      </x:c>
      <x:c r="G39" s="50"/>
      <x:c r="H39" s="50" t="str">
        <x:v>LONG</x:v>
      </x:c>
      <x:c r="I39" s="71" t="n">
        <x:v>243.87</x:v>
      </x:c>
      <x:c r="J39" s="76" t="str">
        <x:v>SIP</x:v>
      </x:c>
    </x:row>
    <x:row r="40">
      <x:c r="A40" s="50" t="str">
        <x:v>019fda6a-e03e-774c-a64b-f688436e6442</x:v>
      </x:c>
      <x:c r="B40" s="50" t="str">
        <x:v>APD</x:v>
      </x:c>
      <x:c r="C40" s="70" t="n">
        <x:v>46241.174365150466</x:v>
      </x:c>
      <x:c r="D40" s="50" t="str">
        <x:v>LONG_BUY_ZONE</x:v>
      </x:c>
      <x:c r="E40" s="50" t="str">
        <x:v>APD LONG BUY ZONE</x:v>
      </x:c>
      <x:c r="F40" s="50" t="str">
        <x:v>WATCH</x:v>
      </x:c>
      <x:c r="G40" s="50"/>
      <x:c r="H40" s="50" t="str">
        <x:v>LONG</x:v>
      </x:c>
      <x:c r="I40" s="71" t="n">
        <x:v>299.92</x:v>
      </x:c>
      <x:c r="J40" s="76" t="str">
        <x:v>SIP</x:v>
      </x:c>
    </x:row>
    <x:row r="41">
      <x:c r="A41" s="50" t="str">
        <x:v>019fda6a-e152-7ae8-9ea7-8db6b02e188c</x:v>
      </x:c>
      <x:c r="B41" s="50" t="str">
        <x:v>DE</x:v>
      </x:c>
      <x:c r="C41" s="70" t="n">
        <x:v>46241.17436835648</x:v>
      </x:c>
      <x:c r="D41" s="50" t="str">
        <x:v>LONG_BUY_ZONE</x:v>
      </x:c>
      <x:c r="E41" s="50" t="str">
        <x:v>DE LONG BUY ZONE</x:v>
      </x:c>
      <x:c r="F41" s="50" t="str">
        <x:v>WATCH</x:v>
      </x:c>
      <x:c r="G41" s="50"/>
      <x:c r="H41" s="50" t="str">
        <x:v>LONG</x:v>
      </x:c>
      <x:c r="I41" s="71" t="n">
        <x:v>614.84</x:v>
      </x:c>
      <x:c r="J41" s="76" t="str">
        <x:v>SIP</x:v>
      </x:c>
    </x:row>
    <x:row r="42">
      <x:c r="A42" s="50" t="str">
        <x:v>019fda6a-e172-7b14-97e4-0b50ab023ba2</x:v>
      </x:c>
      <x:c r="B42" s="50" t="str">
        <x:v>ECL</x:v>
      </x:c>
      <x:c r="C42" s="70" t="n">
        <x:v>46241.17436872685</x:v>
      </x:c>
      <x:c r="D42" s="50" t="str">
        <x:v>LONG_BUY_ZONE</x:v>
      </x:c>
      <x:c r="E42" s="50" t="str">
        <x:v>ECL LONG BUY ZONE</x:v>
      </x:c>
      <x:c r="F42" s="50" t="str">
        <x:v>WATCH</x:v>
      </x:c>
      <x:c r="G42" s="50"/>
      <x:c r="H42" s="50" t="str">
        <x:v>LONG</x:v>
      </x:c>
      <x:c r="I42" s="71" t="n">
        <x:v>283.46</x:v>
      </x:c>
      <x:c r="J42" s="76" t="str">
        <x:v>SIP</x:v>
      </x:c>
    </x:row>
    <x:row r="43">
      <x:c r="A43" s="50" t="str">
        <x:v>019fda6a-e1ea-7654-ac5e-1d023dd4cd99</x:v>
      </x:c>
      <x:c r="B43" s="50" t="str">
        <x:v>GS</x:v>
      </x:c>
      <x:c r="C43" s="70" t="n">
        <x:v>46241.17437011574</x:v>
      </x:c>
      <x:c r="D43" s="50" t="str">
        <x:v>LONG_BUY_ZONE</x:v>
      </x:c>
      <x:c r="E43" s="50" t="str">
        <x:v>GS LONG BUY ZONE</x:v>
      </x:c>
      <x:c r="F43" s="50" t="str">
        <x:v>WATCH</x:v>
      </x:c>
      <x:c r="G43" s="50"/>
      <x:c r="H43" s="50" t="str">
        <x:v>LONG</x:v>
      </x:c>
      <x:c r="I43" s="71" t="n">
        <x:v>1032.58</x:v>
      </x:c>
      <x:c r="J43" s="76" t="str">
        <x:v>SIP</x:v>
      </x:c>
    </x:row>
    <x:row r="44">
      <x:c r="A44" s="50" t="str">
        <x:v>019fda6a-e20a-79cd-a03c-d9b32698dd0e</x:v>
      </x:c>
      <x:c r="B44" s="50" t="str">
        <x:v>HRL</x:v>
      </x:c>
      <x:c r="C44" s="70" t="n">
        <x:v>46241.174370486115</x:v>
      </x:c>
      <x:c r="D44" s="50" t="str">
        <x:v>LONG_BUY_ZONE</x:v>
      </x:c>
      <x:c r="E44" s="50" t="str">
        <x:v>HRL LONG BUY ZONE</x:v>
      </x:c>
      <x:c r="F44" s="50" t="str">
        <x:v>WATCH</x:v>
      </x:c>
      <x:c r="G44" s="50"/>
      <x:c r="H44" s="50" t="str">
        <x:v>LONG</x:v>
      </x:c>
      <x:c r="I44" s="71" t="n">
        <x:v>25.09</x:v>
      </x:c>
      <x:c r="J44" s="76" t="str">
        <x:v>SIP</x:v>
      </x:c>
    </x:row>
    <x:row r="45">
      <x:c r="A45" s="50" t="str">
        <x:v>019fda6a-e242-740f-a3ab-e80aef1c5747</x:v>
      </x:c>
      <x:c r="B45" s="50" t="str">
        <x:v>KDP</x:v>
      </x:c>
      <x:c r="C45" s="70" t="n">
        <x:v>46241.17437113426</x:v>
      </x:c>
      <x:c r="D45" s="50" t="str">
        <x:v>LONG_BUY_ZONE</x:v>
      </x:c>
      <x:c r="E45" s="50" t="str">
        <x:v>KDP LONG BUY ZONE</x:v>
      </x:c>
      <x:c r="F45" s="50" t="str">
        <x:v>WATCH</x:v>
      </x:c>
      <x:c r="G45" s="50"/>
      <x:c r="H45" s="50" t="str">
        <x:v>LONG</x:v>
      </x:c>
      <x:c r="I45" s="71" t="n">
        <x:v>30.37</x:v>
      </x:c>
      <x:c r="J45" s="76" t="str">
        <x:v>SIP</x:v>
      </x:c>
    </x:row>
    <x:row r="46">
      <x:c r="A46" s="50" t="str">
        <x:v>019fda6a-e2f2-7491-b59b-1f8b4e366096</x:v>
      </x:c>
      <x:c r="B46" s="50" t="str">
        <x:v>MRK</x:v>
      </x:c>
      <x:c r="C46" s="70" t="n">
        <x:v>46241.17437315972</x:v>
      </x:c>
      <x:c r="D46" s="50" t="str">
        <x:v>LONG_BUY_ZONE</x:v>
      </x:c>
      <x:c r="E46" s="50" t="str">
        <x:v>MRK LONG BUY ZONE</x:v>
      </x:c>
      <x:c r="F46" s="50" t="str">
        <x:v>WATCH</x:v>
      </x:c>
      <x:c r="G46" s="50"/>
      <x:c r="H46" s="50" t="str">
        <x:v>LONG</x:v>
      </x:c>
      <x:c r="I46" s="71" t="n">
        <x:v>128.37</x:v>
      </x:c>
      <x:c r="J46" s="76" t="str">
        <x:v>SIP</x:v>
      </x:c>
    </x:row>
    <x:row r="47">
      <x:c r="A47" s="50" t="str">
        <x:v>019fda6a-e383-77e8-81a2-ff1fc009dfd7</x:v>
      </x:c>
      <x:c r="B47" s="50" t="str">
        <x:v>PM</x:v>
      </x:c>
      <x:c r="C47" s="70" t="n">
        <x:v>46241.174374849536</x:v>
      </x:c>
      <x:c r="D47" s="50" t="str">
        <x:v>LONG_BUY_ZONE</x:v>
      </x:c>
      <x:c r="E47" s="50" t="str">
        <x:v>PM LONG BUY ZONE</x:v>
      </x:c>
      <x:c r="F47" s="50" t="str">
        <x:v>WATCH</x:v>
      </x:c>
      <x:c r="G47" s="50"/>
      <x:c r="H47" s="50" t="str">
        <x:v>LONG</x:v>
      </x:c>
      <x:c r="I47" s="71" t="n">
        <x:v>188.05</x:v>
      </x:c>
      <x:c r="J47" s="76" t="str">
        <x:v>SIP</x:v>
      </x:c>
    </x:row>
    <x:row r="48">
      <x:c r="A48" s="50" t="str">
        <x:v>019fda6a-e499-791a-bea8-8d444eb69c04</x:v>
      </x:c>
      <x:c r="B48" s="50" t="str">
        <x:v>VRTX</x:v>
      </x:c>
      <x:c r="C48" s="70" t="n">
        <x:v>46241.17437806713</x:v>
      </x:c>
      <x:c r="D48" s="50" t="str">
        <x:v>LONG_BUY_ZONE</x:v>
      </x:c>
      <x:c r="E48" s="50" t="str">
        <x:v>VRTX LONG BUY ZONE</x:v>
      </x:c>
      <x:c r="F48" s="50" t="str">
        <x:v>WATCH</x:v>
      </x:c>
      <x:c r="G48" s="50"/>
      <x:c r="H48" s="50" t="str">
        <x:v>LONG</x:v>
      </x:c>
      <x:c r="I48" s="71" t="n">
        <x:v>484.03</x:v>
      </x:c>
      <x:c r="J48" s="76" t="str">
        <x:v>SIP</x:v>
      </x:c>
    </x:row>
    <x:row r="49">
      <x:c r="A49" s="50" t="str">
        <x:v>019fda6a-e4a4-7969-8741-4f509d502671</x:v>
      </x:c>
      <x:c r="B49" s="50" t="str">
        <x:v>VZ</x:v>
      </x:c>
      <x:c r="C49" s="70" t="n">
        <x:v>46241.174378194446</x:v>
      </x:c>
      <x:c r="D49" s="50" t="str">
        <x:v>LONG_BUY_ZONE</x:v>
      </x:c>
      <x:c r="E49" s="50" t="str">
        <x:v>VZ LONG BUY ZONE</x:v>
      </x:c>
      <x:c r="F49" s="50" t="str">
        <x:v>WATCH</x:v>
      </x:c>
      <x:c r="G49" s="50"/>
      <x:c r="H49" s="50" t="str">
        <x:v>LONG</x:v>
      </x:c>
      <x:c r="I49" s="71" t="n">
        <x:v>46.99</x:v>
      </x:c>
      <x:c r="J49" s="76" t="str">
        <x:v>SIP</x:v>
      </x:c>
    </x:row>
    <x:row r="50">
      <x:c r="A50" s="50" t="str">
        <x:v>019fda6a-e5c1-7b12-9262-275e4ac93f79</x:v>
      </x:c>
      <x:c r="B50" s="50" t="str">
        <x:v>ABNB</x:v>
      </x:c>
      <x:c r="C50" s="70" t="n">
        <x:v>46241.17438149305</x:v>
      </x:c>
      <x:c r="D50" s="50" t="str">
        <x:v>LONG_BUY_ZONE</x:v>
      </x:c>
      <x:c r="E50" s="50" t="str">
        <x:v>ABNB LONG BUY ZONE</x:v>
      </x:c>
      <x:c r="F50" s="50" t="str">
        <x:v>WATCH</x:v>
      </x:c>
      <x:c r="G50" s="50"/>
      <x:c r="H50" s="50" t="str">
        <x:v>LONG</x:v>
      </x:c>
      <x:c r="I50" s="71" t="n">
        <x:v>151.64</x:v>
      </x:c>
      <x:c r="J50" s="76" t="str">
        <x:v>SIP</x:v>
      </x:c>
    </x:row>
    <x:row r="51">
      <x:c r="A51" s="50" t="str">
        <x:v>019fdc16-1332-7265-a6b2-77a37012ec3f</x:v>
      </x:c>
      <x:c r="B51" s="50" t="str">
        <x:v>ADBE</x:v>
      </x:c>
      <x:c r="C51" s="70" t="n">
        <x:v>46241.498403541664</x:v>
      </x:c>
      <x:c r="D51" s="50" t="str">
        <x:v>SWING_SETUP</x:v>
      </x:c>
      <x:c r="E51" s="50" t="str">
        <x:v>ADBE SWING SETUP</x:v>
      </x:c>
      <x:c r="F51" s="50" t="str">
        <x:v>WATCH</x:v>
      </x:c>
      <x:c r="G51" s="50"/>
      <x:c r="H51" s="50" t="str">
        <x:v>LONG</x:v>
      </x:c>
      <x:c r="I51" s="71" t="n">
        <x:v>262.01</x:v>
      </x:c>
      <x:c r="J51" s="76" t="str">
        <x:v>SIP</x:v>
      </x:c>
    </x:row>
    <x:row r="52">
      <x:c r="A52" s="50" t="str">
        <x:v>019fdc16-1350-737d-aa20-5c3c1af14365</x:v>
      </x:c>
      <x:c r="B52" s="50" t="str">
        <x:v>APA</x:v>
      </x:c>
      <x:c r="C52" s="70" t="n">
        <x:v>46241.49840388889</x:v>
      </x:c>
      <x:c r="D52" s="50" t="str">
        <x:v>SWING_SETUP</x:v>
      </x:c>
      <x:c r="E52" s="50" t="str">
        <x:v>APA SWING SETUP</x:v>
      </x:c>
      <x:c r="F52" s="50" t="str">
        <x:v>WATCH</x:v>
      </x:c>
      <x:c r="G52" s="50"/>
      <x:c r="H52" s="50" t="str">
        <x:v>LONG</x:v>
      </x:c>
      <x:c r="I52" s="71" t="n">
        <x:v>36.32</x:v>
      </x:c>
      <x:c r="J52" s="76" t="str">
        <x:v>SIP</x:v>
      </x:c>
    </x:row>
    <x:row r="53">
      <x:c r="A53" s="50" t="str">
        <x:v>019fdc16-1365-7123-9aef-6ca04e0a1920</x:v>
      </x:c>
      <x:c r="B53" s="50" t="str">
        <x:v>CEG</x:v>
      </x:c>
      <x:c r="C53" s="70" t="n">
        <x:v>46241.49840412037</x:v>
      </x:c>
      <x:c r="D53" s="50" t="str">
        <x:v>SWING_SETUP</x:v>
      </x:c>
      <x:c r="E53" s="50" t="str">
        <x:v>CEG SWING SETUP</x:v>
      </x:c>
      <x:c r="F53" s="50" t="str">
        <x:v>WATCH</x:v>
      </x:c>
      <x:c r="G53" s="50"/>
      <x:c r="H53" s="50" t="str">
        <x:v>LONG</x:v>
      </x:c>
      <x:c r="I53" s="71" t="n">
        <x:v>263.77</x:v>
      </x:c>
      <x:c r="J53" s="76" t="str">
        <x:v>SIP</x:v>
      </x:c>
    </x:row>
    <x:row r="54">
      <x:c r="A54" s="50" t="str">
        <x:v>019fdc16-13c1-7c0e-a4b6-4c302f185462</x:v>
      </x:c>
      <x:c r="B54" s="50" t="str">
        <x:v>INTU</x:v>
      </x:c>
      <x:c r="C54" s="70" t="n">
        <x:v>46241.49840519676</x:v>
      </x:c>
      <x:c r="D54" s="50" t="str">
        <x:v>SWING_SETUP</x:v>
      </x:c>
      <x:c r="E54" s="50" t="str">
        <x:v>INTU SWING SETUP</x:v>
      </x:c>
      <x:c r="F54" s="50" t="str">
        <x:v>WATCH</x:v>
      </x:c>
      <x:c r="G54" s="50"/>
      <x:c r="H54" s="50" t="str">
        <x:v>LONG</x:v>
      </x:c>
      <x:c r="I54" s="71" t="n">
        <x:v>326.18</x:v>
      </x:c>
      <x:c r="J54" s="76" t="str">
        <x:v>SIP</x:v>
      </x:c>
    </x:row>
    <x:row r="55">
      <x:c r="A55" s="50" t="str">
        <x:v>019fdc16-13d9-7801-a603-8ed6e8492fe1</x:v>
      </x:c>
      <x:c r="B55" s="50" t="str">
        <x:v>NOC</x:v>
      </x:c>
      <x:c r="C55" s="70" t="n">
        <x:v>46241.49840547454</x:v>
      </x:c>
      <x:c r="D55" s="50" t="str">
        <x:v>SWING_SETUP</x:v>
      </x:c>
      <x:c r="E55" s="50" t="str">
        <x:v>NOC SWING SETUP</x:v>
      </x:c>
      <x:c r="F55" s="50" t="str">
        <x:v>WATCH</x:v>
      </x:c>
      <x:c r="G55" s="50"/>
      <x:c r="H55" s="50" t="str">
        <x:v>LONG</x:v>
      </x:c>
      <x:c r="I55" s="71" t="n">
        <x:v>568.06</x:v>
      </x:c>
      <x:c r="J55" s="76" t="str">
        <x:v>SIP</x:v>
      </x:c>
    </x:row>
    <x:row r="56">
      <x:c r="A56" s="50" t="str">
        <x:v>019fdc16-13e6-76cb-9a8a-1dbae5ece463</x:v>
      </x:c>
      <x:c r="B56" s="50" t="str">
        <x:v>OXY</x:v>
      </x:c>
      <x:c r="C56" s="70" t="n">
        <x:v>46241.498405625</x:v>
      </x:c>
      <x:c r="D56" s="50" t="str">
        <x:v>SWING_SETUP</x:v>
      </x:c>
      <x:c r="E56" s="50" t="str">
        <x:v>OXY SWING SETUP</x:v>
      </x:c>
      <x:c r="F56" s="50" t="str">
        <x:v>WATCH</x:v>
      </x:c>
      <x:c r="G56" s="50"/>
      <x:c r="H56" s="50" t="str">
        <x:v>LONG</x:v>
      </x:c>
      <x:c r="I56" s="71" t="n">
        <x:v>55.63</x:v>
      </x:c>
      <x:c r="J56" s="76" t="str">
        <x:v>SIP</x:v>
      </x:c>
    </x:row>
    <x:row r="57">
      <x:c r="A57" s="50" t="str">
        <x:v>019fdc16-13f6-7355-8833-d2d100f280b6</x:v>
      </x:c>
      <x:c r="B57" s="50" t="str">
        <x:v>RCL</x:v>
      </x:c>
      <x:c r="C57" s="70" t="n">
        <x:v>46241.49840581018</x:v>
      </x:c>
      <x:c r="D57" s="50" t="str">
        <x:v>SWING_SETUP</x:v>
      </x:c>
      <x:c r="E57" s="50" t="str">
        <x:v>RCL SWING SETUP</x:v>
      </x:c>
      <x:c r="F57" s="50" t="str">
        <x:v>WATCH</x:v>
      </x:c>
      <x:c r="G57" s="50"/>
      <x:c r="H57" s="50" t="str">
        <x:v>LONG</x:v>
      </x:c>
      <x:c r="I57" s="71" t="n">
        <x:v>322.5</x:v>
      </x:c>
      <x:c r="J57" s="76" t="str">
        <x:v>SIP</x:v>
      </x:c>
    </x:row>
    <x:row r="58">
      <x:c r="A58" s="50" t="str">
        <x:v>019fdc16-141f-78d2-a89d-c9ac78bfe257</x:v>
      </x:c>
      <x:c r="B58" s="50" t="str">
        <x:v>ABT</x:v>
      </x:c>
      <x:c r="C58" s="70" t="n">
        <x:v>46241.49840628472</x:v>
      </x:c>
      <x:c r="D58" s="50" t="str">
        <x:v>SWING_SETUP</x:v>
      </x:c>
      <x:c r="E58" s="50" t="str">
        <x:v>ABT SWING SETUP</x:v>
      </x:c>
      <x:c r="F58" s="50" t="str">
        <x:v>WATCH</x:v>
      </x:c>
      <x:c r="G58" s="50"/>
      <x:c r="H58" s="50" t="str">
        <x:v>LONG</x:v>
      </x:c>
      <x:c r="I58" s="71" t="n">
        <x:v>107.38</x:v>
      </x:c>
      <x:c r="J58" s="76" t="str">
        <x:v>SIP</x:v>
      </x:c>
    </x:row>
    <x:row r="59">
      <x:c r="A59" s="50" t="str">
        <x:v>019fdc16-1425-7a4d-8f4a-46483ac47081</x:v>
      </x:c>
      <x:c r="B59" s="50" t="str">
        <x:v>ACHV</x:v>
      </x:c>
      <x:c r="C59" s="70" t="n">
        <x:v>46241.49840635416</x:v>
      </x:c>
      <x:c r="D59" s="50" t="str">
        <x:v>SWING_SETUP</x:v>
      </x:c>
      <x:c r="E59" s="50" t="str">
        <x:v>ACHV SWING SETUP</x:v>
      </x:c>
      <x:c r="F59" s="50" t="str">
        <x:v>WATCH</x:v>
      </x:c>
      <x:c r="G59" s="50"/>
      <x:c r="H59" s="50" t="str">
        <x:v>LONG</x:v>
      </x:c>
      <x:c r="I59" s="71" t="n">
        <x:v>6.88</x:v>
      </x:c>
      <x:c r="J59" s="76" t="str">
        <x:v>SIP</x:v>
      </x:c>
    </x:row>
    <x:row r="60">
      <x:c r="A60" s="50" t="str">
        <x:v>019fdc16-1465-7e4f-a9fe-def6c416f501</x:v>
      </x:c>
      <x:c r="B60" s="50" t="str">
        <x:v>APH</x:v>
      </x:c>
      <x:c r="C60" s="70" t="n">
        <x:v>46241.49840709491</x:v>
      </x:c>
      <x:c r="D60" s="50" t="str">
        <x:v>SWING_SETUP</x:v>
      </x:c>
      <x:c r="E60" s="50" t="str">
        <x:v>APH SWING SETUP</x:v>
      </x:c>
      <x:c r="F60" s="50" t="str">
        <x:v>WATCH</x:v>
      </x:c>
      <x:c r="G60" s="50"/>
      <x:c r="H60" s="50" t="str">
        <x:v>LONG</x:v>
      </x:c>
      <x:c r="I60" s="71" t="n">
        <x:v>172.31</x:v>
      </x:c>
      <x:c r="J60" s="76" t="str">
        <x:v>SIP</x:v>
      </x:c>
    </x:row>
    <x:row r="61">
      <x:c r="A61" s="50" t="str">
        <x:v>019fdc16-14a4-7a93-810d-a9e6fddf79fa</x:v>
      </x:c>
      <x:c r="B61" s="50" t="str">
        <x:v>BAC</x:v>
      </x:c>
      <x:c r="C61" s="70" t="n">
        <x:v>46241.498407824074</x:v>
      </x:c>
      <x:c r="D61" s="50" t="str">
        <x:v>SWING_SETUP</x:v>
      </x:c>
      <x:c r="E61" s="50" t="str">
        <x:v>BAC SWING SETUP</x:v>
      </x:c>
      <x:c r="F61" s="50" t="str">
        <x:v>WATCH</x:v>
      </x:c>
      <x:c r="G61" s="50"/>
      <x:c r="H61" s="50" t="str">
        <x:v>LONG</x:v>
      </x:c>
      <x:c r="I61" s="71" t="n">
        <x:v>63.2</x:v>
      </x:c>
      <x:c r="J61" s="76" t="str">
        <x:v>SIP</x:v>
      </x:c>
    </x:row>
    <x:row r="62">
      <x:c r="A62" s="50" t="str">
        <x:v>019fdc16-14b9-7613-a563-adbeb8e69753</x:v>
      </x:c>
      <x:c r="B62" s="50" t="str">
        <x:v>BLK</x:v>
      </x:c>
      <x:c r="C62" s="70" t="n">
        <x:v>46241.49840806713</x:v>
      </x:c>
      <x:c r="D62" s="50" t="str">
        <x:v>SWING_SETUP</x:v>
      </x:c>
      <x:c r="E62" s="50" t="str">
        <x:v>BLK SWING SETUP</x:v>
      </x:c>
      <x:c r="F62" s="50" t="str">
        <x:v>WATCH</x:v>
      </x:c>
      <x:c r="G62" s="50"/>
      <x:c r="H62" s="50" t="str">
        <x:v>LONG</x:v>
      </x:c>
      <x:c r="I62" s="71" t="n">
        <x:v>1139.6406</x:v>
      </x:c>
      <x:c r="J62" s="76" t="str">
        <x:v>SIP</x:v>
      </x:c>
    </x:row>
    <x:row r="63">
      <x:c r="A63" s="50" t="str">
        <x:v>019fdc16-14bf-7ead-ba1b-4e0ecf79477f</x:v>
      </x:c>
      <x:c r="B63" s="50" t="str">
        <x:v>BMY</x:v>
      </x:c>
      <x:c r="C63" s="70" t="n">
        <x:v>46241.49840813658</x:v>
      </x:c>
      <x:c r="D63" s="50" t="str">
        <x:v>SWING_SETUP</x:v>
      </x:c>
      <x:c r="E63" s="50" t="str">
        <x:v>BMY SWING SETUP</x:v>
      </x:c>
      <x:c r="F63" s="50" t="str">
        <x:v>WATCH</x:v>
      </x:c>
      <x:c r="G63" s="50"/>
      <x:c r="H63" s="50" t="str">
        <x:v>LONG</x:v>
      </x:c>
      <x:c r="I63" s="71" t="n">
        <x:v>64.09</x:v>
      </x:c>
      <x:c r="J63" s="76" t="str">
        <x:v>SIP</x:v>
      </x:c>
    </x:row>
    <x:row r="64">
      <x:c r="A64" s="50" t="str">
        <x:v>019fdc16-14f5-77d3-94eb-f726b0b252c0</x:v>
      </x:c>
      <x:c r="B64" s="50" t="str">
        <x:v>CROX</x:v>
      </x:c>
      <x:c r="C64" s="70" t="n">
        <x:v>46241.498408761574</x:v>
      </x:c>
      <x:c r="D64" s="50" t="str">
        <x:v>SWING_SETUP</x:v>
      </x:c>
      <x:c r="E64" s="50" t="str">
        <x:v>CROX SWING SETUP</x:v>
      </x:c>
      <x:c r="F64" s="50" t="str">
        <x:v>WATCH</x:v>
      </x:c>
      <x:c r="G64" s="50"/>
      <x:c r="H64" s="50" t="str">
        <x:v>LONG</x:v>
      </x:c>
      <x:c r="I64" s="71" t="n">
        <x:v>134.45</x:v>
      </x:c>
      <x:c r="J64" s="76" t="str">
        <x:v>SIP</x:v>
      </x:c>
    </x:row>
    <x:row r="65">
      <x:c r="A65" s="50" t="str">
        <x:v>019fdc16-1518-7843-bf4c-7f6ba14f8f49</x:v>
      </x:c>
      <x:c r="B65" s="50" t="str">
        <x:v>DASH</x:v>
      </x:c>
      <x:c r="C65" s="70" t="n">
        <x:v>46241.49840916667</x:v>
      </x:c>
      <x:c r="D65" s="50" t="str">
        <x:v>SWING_SETUP</x:v>
      </x:c>
      <x:c r="E65" s="50" t="str">
        <x:v>DASH SWING SETUP</x:v>
      </x:c>
      <x:c r="F65" s="50" t="str">
        <x:v>WATCH</x:v>
      </x:c>
      <x:c r="G65" s="50"/>
      <x:c r="H65" s="50" t="str">
        <x:v>LONG</x:v>
      </x:c>
      <x:c r="I65" s="71" t="n">
        <x:v>212.55</x:v>
      </x:c>
      <x:c r="J65" s="76" t="str">
        <x:v>SIP</x:v>
      </x:c>
    </x:row>
    <x:row r="66">
      <x:c r="A66" s="50" t="str">
        <x:v>019fdc16-1556-78c0-8479-fcc02004536a</x:v>
      </x:c>
      <x:c r="B66" s="50" t="str">
        <x:v>ETHA</x:v>
      </x:c>
      <x:c r="C66" s="70" t="n">
        <x:v>46241.49840988426</x:v>
      </x:c>
      <x:c r="D66" s="50" t="str">
        <x:v>SWING_SETUP</x:v>
      </x:c>
      <x:c r="E66" s="50" t="str">
        <x:v>ETHA SWING SETUP</x:v>
      </x:c>
      <x:c r="F66" s="50" t="str">
        <x:v>WATCH</x:v>
      </x:c>
      <x:c r="G66" s="50"/>
      <x:c r="H66" s="50" t="str">
        <x:v>LONG</x:v>
      </x:c>
      <x:c r="I66" s="71" t="n">
        <x:v>14.45</x:v>
      </x:c>
      <x:c r="J66" s="76" t="str">
        <x:v>SIP</x:v>
      </x:c>
    </x:row>
    <x:row r="67">
      <x:c r="A67" s="50" t="str">
        <x:v>019fdc16-155c-77dc-b623-d6c7433b30e0</x:v>
      </x:c>
      <x:c r="B67" s="50" t="str">
        <x:v>APA</x:v>
      </x:c>
      <x:c r="C67" s="70" t="n">
        <x:v>46241.49840994213</x:v>
      </x:c>
      <x:c r="D67" s="50" t="str">
        <x:v>LONG_BUY_ZONE</x:v>
      </x:c>
      <x:c r="E67" s="50" t="str">
        <x:v>APA LONG BUY ZONE</x:v>
      </x:c>
      <x:c r="F67" s="50" t="str">
        <x:v>WATCH</x:v>
      </x:c>
      <x:c r="G67" s="50"/>
      <x:c r="H67" s="50" t="str">
        <x:v>LONG</x:v>
      </x:c>
      <x:c r="I67" s="71" t="n">
        <x:v>36.53</x:v>
      </x:c>
      <x:c r="J67" s="76" t="str">
        <x:v>SIP</x:v>
      </x:c>
    </x:row>
    <x:row r="68">
      <x:c r="A68" s="50" t="str">
        <x:v>019fdc16-1571-7f9a-9312-244e624fa2c6</x:v>
      </x:c>
      <x:c r="B68" s="50" t="str">
        <x:v>GD</x:v>
      </x:c>
      <x:c r="C68" s="70" t="n">
        <x:v>46241.49841019676</x:v>
      </x:c>
      <x:c r="D68" s="50" t="str">
        <x:v>SWING_SETUP</x:v>
      </x:c>
      <x:c r="E68" s="50" t="str">
        <x:v>GD SWING SETUP</x:v>
      </x:c>
      <x:c r="F68" s="50" t="str">
        <x:v>WATCH</x:v>
      </x:c>
      <x:c r="G68" s="50"/>
      <x:c r="H68" s="50" t="str">
        <x:v>LONG</x:v>
      </x:c>
      <x:c r="I68" s="71" t="n">
        <x:v>386.5</x:v>
      </x:c>
      <x:c r="J68" s="76" t="str">
        <x:v>SIP</x:v>
      </x:c>
    </x:row>
    <x:row r="69">
      <x:c r="A69" s="50" t="str">
        <x:v>019fdc16-15a8-789e-985d-b6c55cead1e3</x:v>
      </x:c>
      <x:c r="B69" s="50" t="str">
        <x:v>CVX</x:v>
      </x:c>
      <x:c r="C69" s="70" t="n">
        <x:v>46241.49841083333</x:v>
      </x:c>
      <x:c r="D69" s="50" t="str">
        <x:v>LONG_BUY_ZONE</x:v>
      </x:c>
      <x:c r="E69" s="50" t="str">
        <x:v>CVX LONG BUY ZONE</x:v>
      </x:c>
      <x:c r="F69" s="50" t="str">
        <x:v>WATCH</x:v>
      </x:c>
      <x:c r="G69" s="50"/>
      <x:c r="H69" s="50" t="str">
        <x:v>LONG</x:v>
      </x:c>
      <x:c r="I69" s="71" t="n">
        <x:v>189.23</x:v>
      </x:c>
      <x:c r="J69" s="76" t="str">
        <x:v>SIP</x:v>
      </x:c>
    </x:row>
    <x:row r="70">
      <x:c r="A70" s="50" t="str">
        <x:v>019fdc16-15ad-7ab0-a122-a354a9c5c616</x:v>
      </x:c>
      <x:c r="B70" s="50" t="str">
        <x:v>HWM</x:v>
      </x:c>
      <x:c r="C70" s="70" t="n">
        <x:v>46241.4984108912</x:v>
      </x:c>
      <x:c r="D70" s="50" t="str">
        <x:v>SWING_SETUP</x:v>
      </x:c>
      <x:c r="E70" s="50" t="str">
        <x:v>HWM SWING SETUP</x:v>
      </x:c>
      <x:c r="F70" s="50" t="str">
        <x:v>WATCH</x:v>
      </x:c>
      <x:c r="G70" s="50"/>
      <x:c r="H70" s="50" t="str">
        <x:v>LONG</x:v>
      </x:c>
      <x:c r="I70" s="71" t="n">
        <x:v>292</x:v>
      </x:c>
      <x:c r="J70" s="76" t="str">
        <x:v>SIP</x:v>
      </x:c>
    </x:row>
    <x:row r="71">
      <x:c r="A71" s="50" t="str">
        <x:v>019fdc16-15c4-72e3-a0f6-ac429f069775</x:v>
      </x:c>
      <x:c r="B71" s="50" t="str">
        <x:v>JPM</x:v>
      </x:c>
      <x:c r="C71" s="70" t="n">
        <x:v>46241.49841115741</x:v>
      </x:c>
      <x:c r="D71" s="50" t="str">
        <x:v>SWING_SETUP</x:v>
      </x:c>
      <x:c r="E71" s="50" t="str">
        <x:v>JPM SWING SETUP</x:v>
      </x:c>
      <x:c r="F71" s="50" t="str">
        <x:v>WATCH</x:v>
      </x:c>
      <x:c r="G71" s="50"/>
      <x:c r="H71" s="50" t="str">
        <x:v>LONG</x:v>
      </x:c>
      <x:c r="I71" s="71" t="n">
        <x:v>356.43</x:v>
      </x:c>
      <x:c r="J71" s="76" t="str">
        <x:v>SIP</x:v>
      </x:c>
    </x:row>
    <x:row r="72">
      <x:c r="A72" s="50" t="str">
        <x:v>019fdc16-15da-7d4c-bf9a-20d4467a521d</x:v>
      </x:c>
      <x:c r="B72" s="50" t="str">
        <x:v>KO</x:v>
      </x:c>
      <x:c r="C72" s="70" t="n">
        <x:v>46241.49841141204</x:v>
      </x:c>
      <x:c r="D72" s="50" t="str">
        <x:v>SWING_SETUP</x:v>
      </x:c>
      <x:c r="E72" s="50" t="str">
        <x:v>KO SWING SETUP</x:v>
      </x:c>
      <x:c r="F72" s="50" t="str">
        <x:v>WATCH</x:v>
      </x:c>
      <x:c r="G72" s="50"/>
      <x:c r="H72" s="50" t="str">
        <x:v>LONG</x:v>
      </x:c>
      <x:c r="I72" s="71" t="n">
        <x:v>86.78</x:v>
      </x:c>
      <x:c r="J72" s="76" t="str">
        <x:v>SIP</x:v>
      </x:c>
    </x:row>
    <x:row r="73">
      <x:c r="A73" s="50" t="str">
        <x:v>019fdc16-15f2-71be-889f-cc119bc57f57</x:v>
      </x:c>
      <x:c r="B73" s="50" t="str">
        <x:v>LMT</x:v>
      </x:c>
      <x:c r="C73" s="70" t="n">
        <x:v>46241.49841168981</x:v>
      </x:c>
      <x:c r="D73" s="50" t="str">
        <x:v>SWING_SETUP</x:v>
      </x:c>
      <x:c r="E73" s="50" t="str">
        <x:v>LMT SWING SETUP</x:v>
      </x:c>
      <x:c r="F73" s="50" t="str">
        <x:v>WATCH</x:v>
      </x:c>
      <x:c r="G73" s="50"/>
      <x:c r="H73" s="50" t="str">
        <x:v>LONG</x:v>
      </x:c>
      <x:c r="I73" s="71" t="n">
        <x:v>583.46</x:v>
      </x:c>
      <x:c r="J73" s="76" t="str">
        <x:v>SIP</x:v>
      </x:c>
    </x:row>
    <x:row r="74">
      <x:c r="A74" s="50" t="str">
        <x:v>019fdc16-15fd-7534-b2ca-53ffa17d8224</x:v>
      </x:c>
      <x:c r="B74" s="50" t="str">
        <x:v>MA</x:v>
      </x:c>
      <x:c r="C74" s="70" t="n">
        <x:v>46241.49841181713</x:v>
      </x:c>
      <x:c r="D74" s="50" t="str">
        <x:v>SWING_SETUP</x:v>
      </x:c>
      <x:c r="E74" s="50" t="str">
        <x:v>MA SWING SETUP</x:v>
      </x:c>
      <x:c r="F74" s="50" t="str">
        <x:v>WATCH</x:v>
      </x:c>
      <x:c r="G74" s="50"/>
      <x:c r="H74" s="50" t="str">
        <x:v>LONG</x:v>
      </x:c>
      <x:c r="I74" s="71" t="n">
        <x:v>573.86</x:v>
      </x:c>
      <x:c r="J74" s="76" t="str">
        <x:v>SIP</x:v>
      </x:c>
    </x:row>
    <x:row r="75">
      <x:c r="A75" s="50" t="str">
        <x:v>019fdc16-163a-7655-adf8-9dbc39fde59c</x:v>
      </x:c>
      <x:c r="B75" s="50" t="str">
        <x:v>MRK</x:v>
      </x:c>
      <x:c r="C75" s="70" t="n">
        <x:v>46241.49841252315</x:v>
      </x:c>
      <x:c r="D75" s="50" t="str">
        <x:v>SWING_SETUP</x:v>
      </x:c>
      <x:c r="E75" s="50" t="str">
        <x:v>MRK SWING SETUP</x:v>
      </x:c>
      <x:c r="F75" s="50" t="str">
        <x:v>WATCH</x:v>
      </x:c>
      <x:c r="G75" s="50"/>
      <x:c r="H75" s="50" t="str">
        <x:v>LONG</x:v>
      </x:c>
      <x:c r="I75" s="71" t="n">
        <x:v>128.83</x:v>
      </x:c>
      <x:c r="J75" s="76" t="str">
        <x:v>SIP</x:v>
      </x:c>
    </x:row>
    <x:row r="76">
      <x:c r="A76" s="50" t="str">
        <x:v>019fdc16-1658-71ab-b67e-124c3d76b64d</x:v>
      </x:c>
      <x:c r="B76" s="50" t="str">
        <x:v>OXY</x:v>
      </x:c>
      <x:c r="C76" s="70" t="n">
        <x:v>46241.49841287037</x:v>
      </x:c>
      <x:c r="D76" s="50" t="str">
        <x:v>LONG_BUY_ZONE</x:v>
      </x:c>
      <x:c r="E76" s="50" t="str">
        <x:v>OXY LONG BUY ZONE</x:v>
      </x:c>
      <x:c r="F76" s="50" t="str">
        <x:v>WATCH</x:v>
      </x:c>
      <x:c r="G76" s="50"/>
      <x:c r="H76" s="50" t="str">
        <x:v>LONG</x:v>
      </x:c>
      <x:c r="I76" s="71" t="n">
        <x:v>56.04</x:v>
      </x:c>
      <x:c r="J76" s="76" t="str">
        <x:v>SIP</x:v>
      </x:c>
    </x:row>
    <x:row r="77">
      <x:c r="A77" s="50" t="str">
        <x:v>019fdc16-166f-72c5-b1b5-4e554dec1b4d</x:v>
      </x:c>
      <x:c r="B77" s="50" t="str">
        <x:v>RCL</x:v>
      </x:c>
      <x:c r="C77" s="70" t="n">
        <x:v>46241.49841313657</x:v>
      </x:c>
      <x:c r="D77" s="50" t="str">
        <x:v>LONG_BUY_ZONE</x:v>
      </x:c>
      <x:c r="E77" s="50" t="str">
        <x:v>RCL LONG BUY ZONE</x:v>
      </x:c>
      <x:c r="F77" s="50" t="str">
        <x:v>WATCH</x:v>
      </x:c>
      <x:c r="G77" s="50"/>
      <x:c r="H77" s="50" t="str">
        <x:v>LONG</x:v>
      </x:c>
      <x:c r="I77" s="71" t="n">
        <x:v>320.55</x:v>
      </x:c>
      <x:c r="J77" s="76" t="str">
        <x:v>SIP</x:v>
      </x:c>
    </x:row>
    <x:row r="78">
      <x:c r="A78" s="50" t="str">
        <x:v>019fdc16-167a-7641-99c3-08d22b1d814e</x:v>
      </x:c>
      <x:c r="B78" s="50" t="str">
        <x:v>SBUX</x:v>
      </x:c>
      <x:c r="C78" s="70" t="n">
        <x:v>46241.498413263886</x:v>
      </x:c>
      <x:c r="D78" s="50" t="str">
        <x:v>LONG_BUY_ZONE</x:v>
      </x:c>
      <x:c r="E78" s="50" t="str">
        <x:v>SBUX LONG BUY ZONE</x:v>
      </x:c>
      <x:c r="F78" s="50" t="str">
        <x:v>WATCH</x:v>
      </x:c>
      <x:c r="G78" s="50"/>
      <x:c r="H78" s="50" t="str">
        <x:v>LONG</x:v>
      </x:c>
      <x:c r="I78" s="71" t="n">
        <x:v>105.16</x:v>
      </x:c>
      <x:c r="J78" s="76" t="str">
        <x:v>SIP</x:v>
      </x:c>
    </x:row>
    <x:row r="79">
      <x:c r="A79" s="50" t="str">
        <x:v>019fdc16-169e-7ed2-ad3c-ac36de87cf58</x:v>
      </x:c>
      <x:c r="B79" s="50" t="str">
        <x:v>PM</x:v>
      </x:c>
      <x:c r="C79" s="70" t="n">
        <x:v>46241.49841368056</x:v>
      </x:c>
      <x:c r="D79" s="50" t="str">
        <x:v>SWING_SETUP</x:v>
      </x:c>
      <x:c r="E79" s="50" t="str">
        <x:v>PM SWING SETUP</x:v>
      </x:c>
      <x:c r="F79" s="50" t="str">
        <x:v>WATCH</x:v>
      </x:c>
      <x:c r="G79" s="50"/>
      <x:c r="H79" s="50" t="str">
        <x:v>LONG</x:v>
      </x:c>
      <x:c r="I79" s="71" t="n">
        <x:v>188.11</x:v>
      </x:c>
      <x:c r="J79" s="76" t="str">
        <x:v>SIP</x:v>
      </x:c>
    </x:row>
    <x:row r="80">
      <x:c r="A80" s="50" t="str">
        <x:v>019fdc16-16a3-704c-8496-e90e70240c23</x:v>
      </x:c>
      <x:c r="B80" s="50" t="str">
        <x:v>ABBV</x:v>
      </x:c>
      <x:c r="C80" s="70" t="n">
        <x:v>46241.49841373842</x:v>
      </x:c>
      <x:c r="D80" s="50" t="str">
        <x:v>LONG_BUY_ZONE</x:v>
      </x:c>
      <x:c r="E80" s="50" t="str">
        <x:v>ABBV LONG BUY ZONE</x:v>
      </x:c>
      <x:c r="F80" s="50" t="str">
        <x:v>WATCH</x:v>
      </x:c>
      <x:c r="G80" s="50"/>
      <x:c r="H80" s="50" t="str">
        <x:v>LONG</x:v>
      </x:c>
      <x:c r="I80" s="71" t="n">
        <x:v>243.87</x:v>
      </x:c>
      <x:c r="J80" s="76" t="str">
        <x:v>SIP</x:v>
      </x:c>
    </x:row>
    <x:row r="81">
      <x:c r="A81" s="50" t="str">
        <x:v>019fdc16-16d7-74e4-b1e9-e0433522a412</x:v>
      </x:c>
      <x:c r="B81" s="50" t="str">
        <x:v>RTX</x:v>
      </x:c>
      <x:c r="C81" s="70" t="n">
        <x:v>46241.498414340276</x:v>
      </x:c>
      <x:c r="D81" s="50" t="str">
        <x:v>SWING_SETUP</x:v>
      </x:c>
      <x:c r="E81" s="50" t="str">
        <x:v>RTX SWING SETUP</x:v>
      </x:c>
      <x:c r="F81" s="50" t="str">
        <x:v>WATCH</x:v>
      </x:c>
      <x:c r="G81" s="50"/>
      <x:c r="H81" s="50" t="str">
        <x:v>LONG</x:v>
      </x:c>
      <x:c r="I81" s="71" t="n">
        <x:v>223.25</x:v>
      </x:c>
      <x:c r="J81" s="76" t="str">
        <x:v>SIP</x:v>
      </x:c>
    </x:row>
    <x:row r="82">
      <x:c r="A82" s="50" t="str">
        <x:v>019fdc16-1713-72b1-b552-df59f7576265</x:v>
      </x:c>
      <x:c r="B82" s="50" t="str">
        <x:v>TMDX</x:v>
      </x:c>
      <x:c r="C82" s="70" t="n">
        <x:v>46241.49841503472</x:v>
      </x:c>
      <x:c r="D82" s="50" t="str">
        <x:v>SWING_SETUP</x:v>
      </x:c>
      <x:c r="E82" s="50" t="str">
        <x:v>TMDX SWING SETUP</x:v>
      </x:c>
      <x:c r="F82" s="50" t="str">
        <x:v>WATCH</x:v>
      </x:c>
      <x:c r="G82" s="50"/>
      <x:c r="H82" s="50" t="str">
        <x:v>LONG</x:v>
      </x:c>
      <x:c r="I82" s="71" t="n">
        <x:v>80</x:v>
      </x:c>
      <x:c r="J82" s="76" t="str">
        <x:v>SIP</x:v>
      </x:c>
    </x:row>
    <x:row r="83">
      <x:c r="A83" s="50" t="str">
        <x:v>019fdc16-1736-7d49-9b15-ffdd04afe1ef</x:v>
      </x:c>
      <x:c r="B83" s="50" t="str">
        <x:v>APD</x:v>
      </x:c>
      <x:c r="C83" s="70" t="n">
        <x:v>46241.49841543981</x:v>
      </x:c>
      <x:c r="D83" s="50" t="str">
        <x:v>LONG_BUY_ZONE</x:v>
      </x:c>
      <x:c r="E83" s="50" t="str">
        <x:v>APD LONG BUY ZONE</x:v>
      </x:c>
      <x:c r="F83" s="50" t="str">
        <x:v>WATCH</x:v>
      </x:c>
      <x:c r="G83" s="50"/>
      <x:c r="H83" s="50" t="str">
        <x:v>LONG</x:v>
      </x:c>
      <x:c r="I83" s="71" t="n">
        <x:v>299.92</x:v>
      </x:c>
      <x:c r="J83" s="76" t="str">
        <x:v>SIP</x:v>
      </x:c>
    </x:row>
    <x:row r="84">
      <x:c r="A84" s="50" t="str">
        <x:v>019fdc16-173d-7d84-9861-170f0a7d2429</x:v>
      </x:c>
      <x:c r="B84" s="50" t="str">
        <x:v>V</x:v>
      </x:c>
      <x:c r="C84" s="70" t="n">
        <x:v>46241.49841552084</x:v>
      </x:c>
      <x:c r="D84" s="50" t="str">
        <x:v>SWING_SETUP</x:v>
      </x:c>
      <x:c r="E84" s="50" t="str">
        <x:v>V SWING SETUP</x:v>
      </x:c>
      <x:c r="F84" s="50" t="str">
        <x:v>WATCH</x:v>
      </x:c>
      <x:c r="G84" s="50"/>
      <x:c r="H84" s="50" t="str">
        <x:v>LONG</x:v>
      </x:c>
      <x:c r="I84" s="71" t="n">
        <x:v>369.1</x:v>
      </x:c>
      <x:c r="J84" s="76" t="str">
        <x:v>SIP</x:v>
      </x:c>
    </x:row>
    <x:row r="85">
      <x:c r="A85" s="50" t="str">
        <x:v>019fdc16-176e-7e18-9d83-ad8df82e3d8f</x:v>
      </x:c>
      <x:c r="B85" s="50" t="str">
        <x:v>WFC</x:v>
      </x:c>
      <x:c r="C85" s="70" t="n">
        <x:v>46241.49841608796</x:v>
      </x:c>
      <x:c r="D85" s="50" t="str">
        <x:v>SWING_SETUP</x:v>
      </x:c>
      <x:c r="E85" s="50" t="str">
        <x:v>WFC SWING SETUP</x:v>
      </x:c>
      <x:c r="F85" s="50" t="str">
        <x:v>WATCH</x:v>
      </x:c>
      <x:c r="G85" s="50"/>
      <x:c r="H85" s="50" t="str">
        <x:v>LONG</x:v>
      </x:c>
      <x:c r="I85" s="71" t="n">
        <x:v>87.26</x:v>
      </x:c>
      <x:c r="J85" s="76" t="str">
        <x:v>SIP</x:v>
      </x:c>
    </x:row>
    <x:row r="86">
      <x:c r="A86" s="50" t="str">
        <x:v>019fdc16-1783-7cae-8dae-528116002d7b</x:v>
      </x:c>
      <x:c r="B86" s="50" t="str">
        <x:v>XOM</x:v>
      </x:c>
      <x:c r="C86" s="70" t="n">
        <x:v>46241.49841633102</x:v>
      </x:c>
      <x:c r="D86" s="50" t="str">
        <x:v>SWING_SETUP</x:v>
      </x:c>
      <x:c r="E86" s="50" t="str">
        <x:v>XOM SWING SETUP</x:v>
      </x:c>
      <x:c r="F86" s="50" t="str">
        <x:v>WATCH</x:v>
      </x:c>
      <x:c r="G86" s="50"/>
      <x:c r="H86" s="50" t="str">
        <x:v>LONG</x:v>
      </x:c>
      <x:c r="I86" s="71" t="n">
        <x:v>153.88</x:v>
      </x:c>
      <x:c r="J86" s="76" t="str">
        <x:v>SIP</x:v>
      </x:c>
    </x:row>
    <x:row r="87">
      <x:c r="A87" s="50" t="str">
        <x:v>019fdc16-17c8-7f32-944a-f0ab75c89c60</x:v>
      </x:c>
      <x:c r="B87" s="50" t="str">
        <x:v>PYPL</x:v>
      </x:c>
      <x:c r="C87" s="70" t="n">
        <x:v>46241.49841712963</x:v>
      </x:c>
      <x:c r="D87" s="50" t="str">
        <x:v>SWING_SETUP</x:v>
      </x:c>
      <x:c r="E87" s="50" t="str">
        <x:v>PYPL SWING SETUP</x:v>
      </x:c>
      <x:c r="F87" s="50" t="str">
        <x:v>WATCH</x:v>
      </x:c>
      <x:c r="G87" s="50"/>
      <x:c r="H87" s="50" t="str">
        <x:v>LONG</x:v>
      </x:c>
      <x:c r="I87" s="71" t="n">
        <x:v>59.7562</x:v>
      </x:c>
      <x:c r="J87" s="76" t="str">
        <x:v>SIP</x:v>
      </x:c>
    </x:row>
    <x:row r="88">
      <x:c r="A88" s="50" t="str">
        <x:v>019fdc16-17d7-76be-a5f8-834e6dccd17f</x:v>
      </x:c>
      <x:c r="B88" s="50" t="str">
        <x:v>PFE</x:v>
      </x:c>
      <x:c r="C88" s="70" t="n">
        <x:v>46241.49841730324</x:v>
      </x:c>
      <x:c r="D88" s="50" t="str">
        <x:v>SWING_SETUP</x:v>
      </x:c>
      <x:c r="E88" s="50" t="str">
        <x:v>PFE SWING SETUP</x:v>
      </x:c>
      <x:c r="F88" s="50" t="str">
        <x:v>WATCH</x:v>
      </x:c>
      <x:c r="G88" s="50"/>
      <x:c r="H88" s="50" t="str">
        <x:v>LONG</x:v>
      </x:c>
      <x:c r="I88" s="71" t="n">
        <x:v>26.2</x:v>
      </x:c>
      <x:c r="J88" s="76" t="str">
        <x:v>SIP</x:v>
      </x:c>
    </x:row>
    <x:row r="89">
      <x:c r="A89" s="50" t="str">
        <x:v>019fdc16-17eb-722f-afc5-3d7457fad3e8</x:v>
      </x:c>
      <x:c r="B89" s="50" t="str">
        <x:v>ABNB</x:v>
      </x:c>
      <x:c r="C89" s="70" t="n">
        <x:v>46241.49841752315</x:v>
      </x:c>
      <x:c r="D89" s="50" t="str">
        <x:v>SWING_SETUP</x:v>
      </x:c>
      <x:c r="E89" s="50" t="str">
        <x:v>ABNB SWING SETUP</x:v>
      </x:c>
      <x:c r="F89" s="50" t="str">
        <x:v>WATCH</x:v>
      </x:c>
      <x:c r="G89" s="50"/>
      <x:c r="H89" s="50" t="str">
        <x:v>LONG</x:v>
      </x:c>
      <x:c r="I89" s="71" t="n">
        <x:v>162.8594</x:v>
      </x:c>
      <x:c r="J89" s="76" t="str">
        <x:v>SIP</x:v>
      </x:c>
    </x:row>
    <x:row r="90">
      <x:c r="A90" s="50" t="str">
        <x:v>019fdc16-17f6-743f-895e-a8c38e702b05</x:v>
      </x:c>
      <x:c r="B90" s="50" t="str">
        <x:v>VRTX</x:v>
      </x:c>
      <x:c r="C90" s="70" t="n">
        <x:v>46241.498417662035</x:v>
      </x:c>
      <x:c r="D90" s="50" t="str">
        <x:v>ENTRY_WATCH</x:v>
      </x:c>
      <x:c r="E90" s="50" t="str">
        <x:v>VRTX ENTRY BREAKAWAY WATCH</x:v>
      </x:c>
      <x:c r="F90" s="50" t="str">
        <x:v>WATCH</x:v>
      </x:c>
      <x:c r="G90" s="50"/>
      <x:c r="H90" s="50" t="str">
        <x:v>LONG</x:v>
      </x:c>
      <x:c r="I90" s="71" t="n">
        <x:v>493.8279</x:v>
      </x:c>
      <x:c r="J90" s="76" t="str">
        <x:v>SIP</x:v>
      </x:c>
    </x:row>
    <x:row r="91">
      <x:c r="A91" s="50" t="str">
        <x:v>019fdc16-1822-7753-8c07-8d79bddc6af1</x:v>
      </x:c>
      <x:c r="B91" s="50" t="str">
        <x:v>VRTX</x:v>
      </x:c>
      <x:c r="C91" s="70" t="n">
        <x:v>46241.49841817129</x:v>
      </x:c>
      <x:c r="D91" s="50" t="str">
        <x:v>ENTRY_OPPORTUNITY_PROGRESS</x:v>
      </x:c>
      <x:c r="E91" s="50" t="str">
        <x:v>VRTX ENTRY ARMED [##--------]</x:v>
      </x:c>
      <x:c r="F91" s="50" t="str">
        <x:v>INFO</x:v>
      </x:c>
      <x:c r="G91" s="50"/>
      <x:c r="H91" s="50" t="str">
        <x:v>LONG</x:v>
      </x:c>
      <x:c r="I91" s="71" t="n">
        <x:v>493.8279</x:v>
      </x:c>
      <x:c r="J91" s="76" t="str">
        <x:v>SIP</x:v>
      </x:c>
    </x:row>
    <x:row r="92">
      <x:c r="A92" s="50" t="str">
        <x:v>019fdc16-1874-73cd-a626-5bea49055785</x:v>
      </x:c>
      <x:c r="B92" s="50" t="str">
        <x:v>DE</x:v>
      </x:c>
      <x:c r="C92" s="70" t="n">
        <x:v>46241.49841912037</x:v>
      </x:c>
      <x:c r="D92" s="50" t="str">
        <x:v>LONG_BUY_ZONE</x:v>
      </x:c>
      <x:c r="E92" s="50" t="str">
        <x:v>DE LONG BUY ZONE</x:v>
      </x:c>
      <x:c r="F92" s="50" t="str">
        <x:v>WATCH</x:v>
      </x:c>
      <x:c r="G92" s="50"/>
      <x:c r="H92" s="50" t="str">
        <x:v>LONG</x:v>
      </x:c>
      <x:c r="I92" s="71" t="n">
        <x:v>614.84</x:v>
      </x:c>
      <x:c r="J92" s="76" t="str">
        <x:v>SIP</x:v>
      </x:c>
    </x:row>
    <x:row r="93">
      <x:c r="A93" s="50" t="str">
        <x:v>019fdc16-1895-74f8-b60c-aacd36a0f003</x:v>
      </x:c>
      <x:c r="B93" s="50" t="str">
        <x:v>ECL</x:v>
      </x:c>
      <x:c r="C93" s="70" t="n">
        <x:v>46241.49841950231</x:v>
      </x:c>
      <x:c r="D93" s="50" t="str">
        <x:v>LONG_BUY_ZONE</x:v>
      </x:c>
      <x:c r="E93" s="50" t="str">
        <x:v>ECL LONG BUY ZONE</x:v>
      </x:c>
      <x:c r="F93" s="50" t="str">
        <x:v>WATCH</x:v>
      </x:c>
      <x:c r="G93" s="50"/>
      <x:c r="H93" s="50" t="str">
        <x:v>LONG</x:v>
      </x:c>
      <x:c r="I93" s="71" t="n">
        <x:v>283.46</x:v>
      </x:c>
      <x:c r="J93" s="76" t="str">
        <x:v>SIP</x:v>
      </x:c>
    </x:row>
    <x:row r="94">
      <x:c r="A94" s="50" t="str">
        <x:v>019fdc16-1911-734b-8f54-d895ac6e12a5</x:v>
      </x:c>
      <x:c r="B94" s="50" t="str">
        <x:v>GS</x:v>
      </x:c>
      <x:c r="C94" s="70" t="n">
        <x:v>46241.4984209375</x:v>
      </x:c>
      <x:c r="D94" s="50" t="str">
        <x:v>LONG_BUY_ZONE</x:v>
      </x:c>
      <x:c r="E94" s="50" t="str">
        <x:v>GS LONG BUY ZONE</x:v>
      </x:c>
      <x:c r="F94" s="50" t="str">
        <x:v>WATCH</x:v>
      </x:c>
      <x:c r="G94" s="50"/>
      <x:c r="H94" s="50" t="str">
        <x:v>LONG</x:v>
      </x:c>
      <x:c r="I94" s="71" t="n">
        <x:v>1032.58</x:v>
      </x:c>
      <x:c r="J94" s="76" t="str">
        <x:v>SIP</x:v>
      </x:c>
    </x:row>
    <x:row r="95">
      <x:c r="A95" s="50" t="str">
        <x:v>019fdc16-1931-7311-9cfd-ba44511adf2a</x:v>
      </x:c>
      <x:c r="B95" s="50" t="str">
        <x:v>HRL</x:v>
      </x:c>
      <x:c r="C95" s="70" t="n">
        <x:v>46241.49842130787</x:v>
      </x:c>
      <x:c r="D95" s="50" t="str">
        <x:v>LONG_BUY_ZONE</x:v>
      </x:c>
      <x:c r="E95" s="50" t="str">
        <x:v>HRL LONG BUY ZONE</x:v>
      </x:c>
      <x:c r="F95" s="50" t="str">
        <x:v>WATCH</x:v>
      </x:c>
      <x:c r="G95" s="50"/>
      <x:c r="H95" s="50" t="str">
        <x:v>LONG</x:v>
      </x:c>
      <x:c r="I95" s="71" t="n">
        <x:v>25.09</x:v>
      </x:c>
      <x:c r="J95" s="76" t="str">
        <x:v>SIP</x:v>
      </x:c>
    </x:row>
    <x:row r="96">
      <x:c r="A96" s="50" t="str">
        <x:v>019fdc16-196f-7505-8a52-3ca15672c106</x:v>
      </x:c>
      <x:c r="B96" s="50" t="str">
        <x:v>KDP</x:v>
      </x:c>
      <x:c r="C96" s="70" t="n">
        <x:v>46241.49842202546</x:v>
      </x:c>
      <x:c r="D96" s="50" t="str">
        <x:v>LONG_BUY_ZONE</x:v>
      </x:c>
      <x:c r="E96" s="50" t="str">
        <x:v>KDP LONG BUY ZONE</x:v>
      </x:c>
      <x:c r="F96" s="50" t="str">
        <x:v>WATCH</x:v>
      </x:c>
      <x:c r="G96" s="50"/>
      <x:c r="H96" s="50" t="str">
        <x:v>LONG</x:v>
      </x:c>
      <x:c r="I96" s="71" t="n">
        <x:v>30.37</x:v>
      </x:c>
      <x:c r="J96" s="76" t="str">
        <x:v>SIP</x:v>
      </x:c>
    </x:row>
    <x:row r="97">
      <x:c r="A97" s="50" t="str">
        <x:v>019fdc16-1a30-7fd9-a873-24179ebf49ff</x:v>
      </x:c>
      <x:c r="B97" s="50" t="str">
        <x:v>MRK</x:v>
      </x:c>
      <x:c r="C97" s="70" t="n">
        <x:v>46241.49842425926</x:v>
      </x:c>
      <x:c r="D97" s="50" t="str">
        <x:v>LONG_BUY_ZONE</x:v>
      </x:c>
      <x:c r="E97" s="50" t="str">
        <x:v>MRK LONG BUY ZONE</x:v>
      </x:c>
      <x:c r="F97" s="50" t="str">
        <x:v>WATCH</x:v>
      </x:c>
      <x:c r="G97" s="50"/>
      <x:c r="H97" s="50" t="str">
        <x:v>LONG</x:v>
      </x:c>
      <x:c r="I97" s="71" t="n">
        <x:v>128.37</x:v>
      </x:c>
      <x:c r="J97" s="76" t="str">
        <x:v>SIP</x:v>
      </x:c>
    </x:row>
    <x:row r="98">
      <x:c r="A98" s="50" t="str">
        <x:v>019fdc16-1ae9-7863-9ff6-303447625039</x:v>
      </x:c>
      <x:c r="B98" s="50" t="str">
        <x:v>PM</x:v>
      </x:c>
      <x:c r="C98" s="70" t="n">
        <x:v>46241.49842640046</x:v>
      </x:c>
      <x:c r="D98" s="50" t="str">
        <x:v>LONG_BUY_ZONE</x:v>
      </x:c>
      <x:c r="E98" s="50" t="str">
        <x:v>PM LONG BUY ZONE</x:v>
      </x:c>
      <x:c r="F98" s="50" t="str">
        <x:v>WATCH</x:v>
      </x:c>
      <x:c r="G98" s="50"/>
      <x:c r="H98" s="50" t="str">
        <x:v>LONG</x:v>
      </x:c>
      <x:c r="I98" s="71" t="n">
        <x:v>188.05</x:v>
      </x:c>
      <x:c r="J98" s="76" t="str">
        <x:v>SIP</x:v>
      </x:c>
    </x:row>
    <x:row r="99">
      <x:c r="A99" s="50" t="str">
        <x:v>019fdc16-1c0e-783c-91e5-2ec35c6cda65</x:v>
      </x:c>
      <x:c r="B99" s="50" t="str">
        <x:v>VRTX</x:v>
      </x:c>
      <x:c r="C99" s="70" t="n">
        <x:v>46241.49842979167</x:v>
      </x:c>
      <x:c r="D99" s="50" t="str">
        <x:v>LONG_BUY_ZONE</x:v>
      </x:c>
      <x:c r="E99" s="50" t="str">
        <x:v>VRTX LONG BUY ZONE</x:v>
      </x:c>
      <x:c r="F99" s="50" t="str">
        <x:v>WATCH</x:v>
      </x:c>
      <x:c r="G99" s="50"/>
      <x:c r="H99" s="50" t="str">
        <x:v>LONG</x:v>
      </x:c>
      <x:c r="I99" s="71" t="n">
        <x:v>484.03</x:v>
      </x:c>
      <x:c r="J99" s="76" t="str">
        <x:v>SIP</x:v>
      </x:c>
    </x:row>
    <x:row r="100">
      <x:c r="A100" s="50" t="str">
        <x:v>019fdc16-1c18-7cb2-8fc3-156e3c0f14e6</x:v>
      </x:c>
      <x:c r="B100" s="50" t="str">
        <x:v>VZ</x:v>
      </x:c>
      <x:c r="C100" s="70" t="n">
        <x:v>46241.498429907406</x:v>
      </x:c>
      <x:c r="D100" s="50" t="str">
        <x:v>LONG_BUY_ZONE</x:v>
      </x:c>
      <x:c r="E100" s="50" t="str">
        <x:v>VZ LONG BUY ZONE</x:v>
      </x:c>
      <x:c r="F100" s="50" t="str">
        <x:v>WATCH</x:v>
      </x:c>
      <x:c r="G100" s="50"/>
      <x:c r="H100" s="50" t="str">
        <x:v>LONG</x:v>
      </x:c>
      <x:c r="I100" s="71" t="n">
        <x:v>46.99</x:v>
      </x:c>
      <x:c r="J100" s="76" t="str">
        <x:v>SIP</x:v>
      </x:c>
    </x:row>
    <x:row r="101">
      <x:c r="A101" s="50" t="str">
        <x:v>019fdc16-1cd6-76f0-86e9-36c90c112f93</x:v>
      </x:c>
      <x:c r="B101" s="50" t="str">
        <x:v>ABNB</x:v>
      </x:c>
      <x:c r="C101" s="70" t="n">
        <x:v>46241.498432106484</x:v>
      </x:c>
      <x:c r="D101" s="50" t="str">
        <x:v>LONG_BUY_ZONE</x:v>
      </x:c>
      <x:c r="E101" s="50" t="str">
        <x:v>ABNB LONG BUY ZONE</x:v>
      </x:c>
      <x:c r="F101" s="50" t="str">
        <x:v>WATCH</x:v>
      </x:c>
      <x:c r="G101" s="50"/>
      <x:c r="H101" s="50" t="str">
        <x:v>LONG</x:v>
      </x:c>
      <x:c r="I101" s="71" t="n">
        <x:v>151.64</x:v>
      </x:c>
      <x:c r="J101" s="76" t="str">
        <x:v>SIP</x:v>
      </x:c>
    </x:row>
    <x:row r="102">
      <x:c r="A102" s="50" t="str">
        <x:v>019fdc18-3399-761f-8c44-edb4b550d16d</x:v>
      </x:c>
      <x:c r="B102" s="50" t="str">
        <x:v>NEM</x:v>
      </x:c>
      <x:c r="C102" s="70" t="n">
        <x:v>46241.50001657407</x:v>
      </x:c>
      <x:c r="D102" s="50" t="str">
        <x:v>ENTRY_WATCH</x:v>
      </x:c>
      <x:c r="E102" s="50" t="str">
        <x:v>NEM ENTRY ARMED</x:v>
      </x:c>
      <x:c r="F102" s="50" t="str">
        <x:v>INFO</x:v>
      </x:c>
      <x:c r="G102" s="50"/>
      <x:c r="H102" s="50" t="str">
        <x:v>LONG</x:v>
      </x:c>
      <x:c r="I102" s="71" t="n">
        <x:v>109.7</x:v>
      </x:c>
      <x:c r="J102" s="76" t="str">
        <x:v>SIP</x:v>
      </x:c>
    </x:row>
    <x:row r="103">
      <x:c r="A103" s="50" t="str">
        <x:v>019fdc18-33a7-7284-bfa6-ccc8fcfb60da</x:v>
      </x:c>
      <x:c r="B103" s="50" t="str">
        <x:v>NEM</x:v>
      </x:c>
      <x:c r="C103" s="70" t="n">
        <x:v>46241.50001674768</x:v>
      </x:c>
      <x:c r="D103" s="50" t="str">
        <x:v>ENTRY_OPPORTUNITY_PROGRESS</x:v>
      </x:c>
      <x:c r="E103" s="50" t="str">
        <x:v>NEM ENTRY ARMED [##--------]</x:v>
      </x:c>
      <x:c r="F103" s="50" t="str">
        <x:v>INFO</x:v>
      </x:c>
      <x:c r="G103" s="50"/>
      <x:c r="H103" s="50" t="str">
        <x:v>LONG</x:v>
      </x:c>
      <x:c r="I103" s="71" t="n">
        <x:v>109.7</x:v>
      </x:c>
      <x:c r="J103" s="76" t="str">
        <x:v>SIP</x:v>
      </x:c>
    </x:row>
    <x:row r="104">
      <x:c r="A104" s="50" t="str">
        <x:v>019fdc23-2f41-7c23-a83d-7f93c96617dc</x:v>
      </x:c>
      <x:c r="B104" s="50" t="str">
        <x:v>KO</x:v>
      </x:c>
      <x:c r="C104" s="70" t="n">
        <x:v>46241.50834741898</x:v>
      </x:c>
      <x:c r="D104" s="50" t="str">
        <x:v>LONG_BUY_ZONE</x:v>
      </x:c>
      <x:c r="E104" s="50" t="str">
        <x:v>KO LONG BUY ZONE</x:v>
      </x:c>
      <x:c r="F104" s="50" t="str">
        <x:v>WATCH</x:v>
      </x:c>
      <x:c r="G104" s="50"/>
      <x:c r="H104" s="50" t="str">
        <x:v>LONG</x:v>
      </x:c>
      <x:c r="I104" s="71" t="n">
        <x:v>86.84</x:v>
      </x:c>
      <x:c r="J104" s="76" t="str">
        <x:v>SIP</x:v>
      </x:c>
    </x:row>
    <x:row r="105">
      <x:c r="A105" s="50" t="str">
        <x:v>019fdc26-d90e-7332-9cdd-2d942def45a9</x:v>
      </x:c>
      <x:c r="B105" s="50" t="str">
        <x:v>OXY</x:v>
      </x:c>
      <x:c r="C105" s="70" t="n">
        <x:v>46241.511126087964</x:v>
      </x:c>
      <x:c r="D105" s="50" t="str">
        <x:v>LONG_BUY_ZONE</x:v>
      </x:c>
      <x:c r="E105" s="50" t="str">
        <x:v>OXY LONG BUY ZONE</x:v>
      </x:c>
      <x:c r="F105" s="50" t="str">
        <x:v>WATCH</x:v>
      </x:c>
      <x:c r="G105" s="50"/>
      <x:c r="H105" s="50" t="str">
        <x:v>LONG</x:v>
      </x:c>
      <x:c r="I105" s="71" t="n">
        <x:v>55.68</x:v>
      </x:c>
      <x:c r="J105" s="76" t="str">
        <x:v>SIP</x:v>
      </x:c>
    </x:row>
    <x:row r="106">
      <x:c r="A106" s="50" t="str">
        <x:v>019fdc26-da1e-7ba2-b432-52acd016a519</x:v>
      </x:c>
      <x:c r="B106" s="50" t="str">
        <x:v>APD</x:v>
      </x:c>
      <x:c r="C106" s="70" t="n">
        <x:v>46241.51112923611</x:v>
      </x:c>
      <x:c r="D106" s="50" t="str">
        <x:v>LONG_BUY_ZONE</x:v>
      </x:c>
      <x:c r="E106" s="50" t="str">
        <x:v>APD LONG BUY ZONE</x:v>
      </x:c>
      <x:c r="F106" s="50" t="str">
        <x:v>WATCH</x:v>
      </x:c>
      <x:c r="G106" s="50"/>
      <x:c r="H106" s="50" t="str">
        <x:v>LONG</x:v>
      </x:c>
      <x:c r="I106" s="71" t="n">
        <x:v>299.9</x:v>
      </x:c>
      <x:c r="J106" s="76" t="str">
        <x:v>SIP</x:v>
      </x:c>
    </x:row>
    <x:row r="107">
      <x:c r="A107" s="50" t="str">
        <x:v>019fdc27-c2ef-7858-8132-5fad77179e49</x:v>
      </x:c>
      <x:c r="B107" s="50" t="str">
        <x:v>ABNB</x:v>
      </x:c>
      <x:c r="C107" s="70" t="n">
        <x:v>46241.5118190625</x:v>
      </x:c>
      <x:c r="D107" s="50" t="str">
        <x:v>SWING_SETUP</x:v>
      </x:c>
      <x:c r="E107" s="50" t="str">
        <x:v>ABNB SWING SETUP</x:v>
      </x:c>
      <x:c r="F107" s="50" t="str">
        <x:v>WATCH</x:v>
      </x:c>
      <x:c r="G107" s="50"/>
      <x:c r="H107" s="50" t="str">
        <x:v>LONG</x:v>
      </x:c>
      <x:c r="I107" s="71" t="n">
        <x:v>162.5</x:v>
      </x:c>
      <x:c r="J107" s="76" t="str">
        <x:v>SIP</x:v>
      </x:c>
    </x:row>
    <x:row r="108">
      <x:c r="A108" s="50" t="str">
        <x:v>019fdc27-c428-76a6-bbf6-ec42c1508395</x:v>
      </x:c>
      <x:c r="B108" s="50" t="str">
        <x:v>RCL</x:v>
      </x:c>
      <x:c r="C108" s="70" t="n">
        <x:v>46241.511822685185</x:v>
      </x:c>
      <x:c r="D108" s="50" t="str">
        <x:v>LONG_BUY_ZONE</x:v>
      </x:c>
      <x:c r="E108" s="50" t="str">
        <x:v>RCL LONG BUY ZONE</x:v>
      </x:c>
      <x:c r="F108" s="50" t="str">
        <x:v>WATCH</x:v>
      </x:c>
      <x:c r="G108" s="50"/>
      <x:c r="H108" s="50" t="str">
        <x:v>LONG</x:v>
      </x:c>
      <x:c r="I108" s="71" t="n">
        <x:v>322.44</x:v>
      </x:c>
      <x:c r="J108" s="76" t="str">
        <x:v>SIP</x:v>
      </x:c>
    </x:row>
    <x:row r="109">
      <x:c r="A109" s="50" t="str">
        <x:v>019fdc2c-57fb-7e54-9bf5-55a707ba89af</x:v>
      </x:c>
      <x:c r="B109" s="50" t="str">
        <x:v>TTWO</x:v>
      </x:c>
      <x:c r="C109" s="70" t="n">
        <x:v>46241.515294756944</x:v>
      </x:c>
      <x:c r="D109" s="50" t="str">
        <x:v>ENTRY_WATCH</x:v>
      </x:c>
      <x:c r="E109" s="50" t="str">
        <x:v>TTWO ENTRY BREAKAWAY WATCH</x:v>
      </x:c>
      <x:c r="F109" s="50" t="str">
        <x:v>WATCH</x:v>
      </x:c>
      <x:c r="G109" s="50"/>
      <x:c r="H109" s="50" t="str">
        <x:v>LONG</x:v>
      </x:c>
      <x:c r="I109" s="71" t="n">
        <x:v>236.53</x:v>
      </x:c>
      <x:c r="J109" s="76" t="str">
        <x:v>SIP</x:v>
      </x:c>
    </x:row>
    <x:row r="110">
      <x:c r="A110" s="50" t="str">
        <x:v>019fdc2c-5851-7bcb-bd5c-830551376e7b</x:v>
      </x:c>
      <x:c r="B110" s="50" t="str">
        <x:v>TTWO</x:v>
      </x:c>
      <x:c r="C110" s="70" t="n">
        <x:v>46241.51529575232</x:v>
      </x:c>
      <x:c r="D110" s="50" t="str">
        <x:v>ENTRY_OPPORTUNITY_PROGRESS</x:v>
      </x:c>
      <x:c r="E110" s="50" t="str">
        <x:v>TTWO ENTRY ARMED [##--------]</x:v>
      </x:c>
      <x:c r="F110" s="50" t="str">
        <x:v>INFO</x:v>
      </x:c>
      <x:c r="G110" s="50"/>
      <x:c r="H110" s="50" t="str">
        <x:v>LONG</x:v>
      </x:c>
      <x:c r="I110" s="71" t="n">
        <x:v>236.53</x:v>
      </x:c>
      <x:c r="J110" s="76" t="str">
        <x:v>SIP</x:v>
      </x:c>
    </x:row>
    <x:row r="111">
      <x:c r="A111" s="50" t="str">
        <x:v>019fdc2f-1606-7c22-b4c6-30a9c18b6fb9</x:v>
      </x:c>
      <x:c r="B111" s="50" t="str">
        <x:v>APA</x:v>
      </x:c>
      <x:c r="C111" s="70" t="n">
        <x:v>46241.51737488426</x:v>
      </x:c>
      <x:c r="D111" s="50" t="str">
        <x:v>SWING_SETUP</x:v>
      </x:c>
      <x:c r="E111" s="50" t="str">
        <x:v>APA SWING SETUP</x:v>
      </x:c>
      <x:c r="F111" s="50" t="str">
        <x:v>WATCH</x:v>
      </x:c>
      <x:c r="G111" s="50"/>
      <x:c r="H111" s="50" t="str">
        <x:v>LONG</x:v>
      </x:c>
      <x:c r="I111" s="71" t="n">
        <x:v>36.3</x:v>
      </x:c>
      <x:c r="J111" s="76" t="str">
        <x:v>SIP</x:v>
      </x:c>
    </x:row>
    <x:row r="112">
      <x:c r="A112" s="50" t="str">
        <x:v>019fdc2f-1637-7707-9820-e4ac10eb54ba</x:v>
      </x:c>
      <x:c r="B112" s="50" t="str">
        <x:v>TTWO</x:v>
      </x:c>
      <x:c r="C112" s="70" t="n">
        <x:v>46241.51737543981</x:v>
      </x:c>
      <x:c r="D112" s="50" t="str">
        <x:v>ENTRY_WATCH</x:v>
      </x:c>
      <x:c r="E112" s="50" t="str">
        <x:v>TTWO ENTRY IN_ZONE EARLY WATCH</x:v>
      </x:c>
      <x:c r="F112" s="50" t="str">
        <x:v>WATCH</x:v>
      </x:c>
      <x:c r="G112" s="50"/>
      <x:c r="H112" s="50" t="str">
        <x:v>LONG</x:v>
      </x:c>
      <x:c r="I112" s="71" t="n">
        <x:v>236</x:v>
      </x:c>
      <x:c r="J112" s="76" t="str">
        <x:v>SIP</x:v>
      </x:c>
    </x:row>
    <x:row r="113">
      <x:c r="A113" s="50" t="str">
        <x:v>019fdc2f-1791-750d-991f-079829607d59</x:v>
      </x:c>
      <x:c r="B113" s="50" t="str">
        <x:v>APA</x:v>
      </x:c>
      <x:c r="C113" s="70" t="n">
        <x:v>46241.51737945602</x:v>
      </x:c>
      <x:c r="D113" s="50" t="str">
        <x:v>LONG_BUY_ZONE</x:v>
      </x:c>
      <x:c r="E113" s="50" t="str">
        <x:v>APA LONG BUY ZONE</x:v>
      </x:c>
      <x:c r="F113" s="50" t="str">
        <x:v>WATCH</x:v>
      </x:c>
      <x:c r="G113" s="50"/>
      <x:c r="H113" s="50" t="str">
        <x:v>LONG</x:v>
      </x:c>
      <x:c r="I113" s="71" t="n">
        <x:v>36.5</x:v>
      </x:c>
      <x:c r="J113" s="76" t="str">
        <x:v>SIP</x:v>
      </x:c>
    </x:row>
    <x:row r="114">
      <x:c r="A114" s="50" t="str">
        <x:v>019fdc31-d62a-73fe-a47a-0cd280641c66</x:v>
      </x:c>
      <x:c r="B114" s="50" t="str">
        <x:v>CVX</x:v>
      </x:c>
      <x:c r="C114" s="70" t="n">
        <x:v>46241.51946122685</x:v>
      </x:c>
      <x:c r="D114" s="50" t="str">
        <x:v>LONG_BUY_ZONE</x:v>
      </x:c>
      <x:c r="E114" s="50" t="str">
        <x:v>CVX LONG BUY ZONE</x:v>
      </x:c>
      <x:c r="F114" s="50" t="str">
        <x:v>WATCH</x:v>
      </x:c>
      <x:c r="G114" s="50"/>
      <x:c r="H114" s="50" t="str">
        <x:v>LONG</x:v>
      </x:c>
      <x:c r="I114" s="71" t="n">
        <x:v>188.48</x:v>
      </x:c>
      <x:c r="J114" s="76" t="str">
        <x:v>SIP</x:v>
      </x:c>
    </x:row>
    <x:row r="115">
      <x:c r="A115" s="50" t="str">
        <x:v>019fdc32-c078-7c8a-a50f-b0371eb64795</x:v>
      </x:c>
      <x:c r="B115" s="50" t="str">
        <x:v>VZ</x:v>
      </x:c>
      <x:c r="C115" s="70" t="n">
        <x:v>46241.52015546296</x:v>
      </x:c>
      <x:c r="D115" s="50" t="str">
        <x:v>LONG_BUY_ZONE</x:v>
      </x:c>
      <x:c r="E115" s="50" t="str">
        <x:v>VZ LONG BUY ZONE</x:v>
      </x:c>
      <x:c r="F115" s="50" t="str">
        <x:v>WATCH</x:v>
      </x:c>
      <x:c r="G115" s="50"/>
      <x:c r="H115" s="50" t="str">
        <x:v>LONG</x:v>
      </x:c>
      <x:c r="I115" s="71" t="n">
        <x:v>46.93</x:v>
      </x:c>
      <x:c r="J115" s="76" t="str">
        <x:v>SIP</x:v>
      </x:c>
    </x:row>
    <x:row r="116">
      <x:c r="A116" s="50" t="str">
        <x:v>019fdc33-abc4-763c-8a74-3bef226146df</x:v>
      </x:c>
      <x:c r="B116" s="50" t="str">
        <x:v>HRL</x:v>
      </x:c>
      <x:c r="C116" s="70" t="n">
        <x:v>46241.52085263889</x:v>
      </x:c>
      <x:c r="D116" s="50" t="str">
        <x:v>LONG_BUY_ZONE</x:v>
      </x:c>
      <x:c r="E116" s="50" t="str">
        <x:v>HRL LONG BUY ZONE</x:v>
      </x:c>
      <x:c r="F116" s="50" t="str">
        <x:v>WATCH</x:v>
      </x:c>
      <x:c r="G116" s="50"/>
      <x:c r="H116" s="50" t="str">
        <x:v>LONG</x:v>
      </x:c>
      <x:c r="I116" s="71" t="n">
        <x:v>25.1</x:v>
      </x:c>
      <x:c r="J116" s="76" t="str">
        <x:v>SIP</x:v>
      </x:c>
    </x:row>
    <x:row r="117">
      <x:c r="A117" s="50" t="str">
        <x:v>019fdc34-9505-7b71-ab3a-42d199ec7ba7</x:v>
      </x:c>
      <x:c r="B117" s="50" t="str">
        <x:v>ETHA</x:v>
      </x:c>
      <x:c r="C117" s="70" t="n">
        <x:v>46241.52154376158</x:v>
      </x:c>
      <x:c r="D117" s="50" t="str">
        <x:v>SWING_SETUP</x:v>
      </x:c>
      <x:c r="E117" s="50" t="str">
        <x:v>ETHA SWING SETUP</x:v>
      </x:c>
      <x:c r="F117" s="50" t="str">
        <x:v>WATCH</x:v>
      </x:c>
      <x:c r="G117" s="50"/>
      <x:c r="H117" s="50" t="str">
        <x:v>LONG</x:v>
      </x:c>
      <x:c r="I117" s="71" t="n">
        <x:v>14.54</x:v>
      </x:c>
      <x:c r="J117" s="76" t="str">
        <x:v>SIP</x:v>
      </x:c>
    </x:row>
    <x:row r="118">
      <x:c r="A118" s="50" t="str">
        <x:v>019fdc34-9542-7bed-a457-12dc6420e078</x:v>
      </x:c>
      <x:c r="B118" s="50" t="str">
        <x:v>V</x:v>
      </x:c>
      <x:c r="C118" s="70" t="n">
        <x:v>46241.52154446759</x:v>
      </x:c>
      <x:c r="D118" s="50" t="str">
        <x:v>SWING_SETUP</x:v>
      </x:c>
      <x:c r="E118" s="50" t="str">
        <x:v>V SWING SETUP</x:v>
      </x:c>
      <x:c r="F118" s="50" t="str">
        <x:v>WATCH</x:v>
      </x:c>
      <x:c r="G118" s="50"/>
      <x:c r="H118" s="50" t="str">
        <x:v>LONG</x:v>
      </x:c>
      <x:c r="I118" s="71" t="n">
        <x:v>368.98</x:v>
      </x:c>
      <x:c r="J118" s="76" t="str">
        <x:v>SIP</x:v>
      </x:c>
    </x:row>
    <x:row r="119">
      <x:c r="A119" s="50" t="str">
        <x:v>019fdc34-954b-7497-8d15-55a59da4e0a8</x:v>
      </x:c>
      <x:c r="B119" s="50" t="str">
        <x:v>CEG</x:v>
      </x:c>
      <x:c r="C119" s="70" t="n">
        <x:v>46241.52154457176</x:v>
      </x:c>
      <x:c r="D119" s="50" t="str">
        <x:v>SWING_SETUP</x:v>
      </x:c>
      <x:c r="E119" s="50" t="str">
        <x:v>CEG SWING SETUP</x:v>
      </x:c>
      <x:c r="F119" s="50" t="str">
        <x:v>WATCH</x:v>
      </x:c>
      <x:c r="G119" s="50"/>
      <x:c r="H119" s="50" t="str">
        <x:v>LONG</x:v>
      </x:c>
      <x:c r="I119" s="71" t="n">
        <x:v>264.49</x:v>
      </x:c>
      <x:c r="J119" s="76" t="str">
        <x:v>SIP</x:v>
      </x:c>
    </x:row>
    <x:row r="120">
      <x:c r="A120" s="50" t="str">
        <x:v>019fdc34-956f-7a16-8e68-90fe6ffaff13</x:v>
      </x:c>
      <x:c r="B120" s="50" t="str">
        <x:v>KO</x:v>
      </x:c>
      <x:c r="C120" s="70" t="n">
        <x:v>46241.52154498843</x:v>
      </x:c>
      <x:c r="D120" s="50" t="str">
        <x:v>SWING_SETUP</x:v>
      </x:c>
      <x:c r="E120" s="50" t="str">
        <x:v>KO SWING SETUP</x:v>
      </x:c>
      <x:c r="F120" s="50" t="str">
        <x:v>WATCH</x:v>
      </x:c>
      <x:c r="G120" s="50"/>
      <x:c r="H120" s="50" t="str">
        <x:v>LONG</x:v>
      </x:c>
      <x:c r="I120" s="71" t="n">
        <x:v>86.88</x:v>
      </x:c>
      <x:c r="J120" s="76" t="str">
        <x:v>SIP</x:v>
      </x:c>
    </x:row>
    <x:row r="121">
      <x:c r="A121" s="50" t="str">
        <x:v>019fdc34-960b-7583-b45c-9e8450e5ea18</x:v>
      </x:c>
      <x:c r="B121" s="50" t="str">
        <x:v>GS</x:v>
      </x:c>
      <x:c r="C121" s="70" t="n">
        <x:v>46241.52154679398</x:v>
      </x:c>
      <x:c r="D121" s="50" t="str">
        <x:v>LONG_BUY_ZONE</x:v>
      </x:c>
      <x:c r="E121" s="50" t="str">
        <x:v>GS LONG BUY ZONE</x:v>
      </x:c>
      <x:c r="F121" s="50" t="str">
        <x:v>WATCH</x:v>
      </x:c>
      <x:c r="G121" s="50"/>
      <x:c r="H121" s="50" t="str">
        <x:v>LONG</x:v>
      </x:c>
      <x:c r="I121" s="71" t="n">
        <x:v>1037</x:v>
      </x:c>
      <x:c r="J121" s="76" t="str">
        <x:v>SIP</x:v>
      </x:c>
    </x:row>
    <x:row r="122">
      <x:c r="A122" s="50" t="str">
        <x:v>019fdc34-96fb-75f4-bc1a-a0e43a60681c</x:v>
      </x:c>
      <x:c r="B122" s="50" t="str">
        <x:v>APD</x:v>
      </x:c>
      <x:c r="C122" s="70" t="n">
        <x:v>46241.52154957176</x:v>
      </x:c>
      <x:c r="D122" s="50" t="str">
        <x:v>LONG_BUY_ZONE</x:v>
      </x:c>
      <x:c r="E122" s="50" t="str">
        <x:v>APD LONG BUY ZONE</x:v>
      </x:c>
      <x:c r="F122" s="50" t="str">
        <x:v>WATCH</x:v>
      </x:c>
      <x:c r="G122" s="50"/>
      <x:c r="H122" s="50" t="str">
        <x:v>LONG</x:v>
      </x:c>
      <x:c r="I122" s="71" t="n">
        <x:v>300</x:v>
      </x:c>
      <x:c r="J122" s="76" t="str">
        <x:v>SIP</x:v>
      </x:c>
    </x:row>
    <x:row r="123">
      <x:c r="A123" s="50" t="str">
        <x:v>019fdc35-7f9a-720e-8d56-27ed8d48b1e5</x:v>
      </x:c>
      <x:c r="B123" s="50" t="str">
        <x:v>KO</x:v>
      </x:c>
      <x:c r="C123" s="70" t="n">
        <x:v>46241.522238819445</x:v>
      </x:c>
      <x:c r="D123" s="50" t="str">
        <x:v>LONG_BUY_ZONE</x:v>
      </x:c>
      <x:c r="E123" s="50" t="str">
        <x:v>KO LONG BUY ZONE</x:v>
      </x:c>
      <x:c r="F123" s="50" t="str">
        <x:v>WATCH</x:v>
      </x:c>
      <x:c r="G123" s="50"/>
      <x:c r="H123" s="50" t="str">
        <x:v>LONG</x:v>
      </x:c>
      <x:c r="I123" s="71" t="n">
        <x:v>86.8</x:v>
      </x:c>
      <x:c r="J123" s="76" t="str">
        <x:v>SIP</x:v>
      </x:c>
    </x:row>
    <x:row r="124">
      <x:c r="A124" s="50" t="str">
        <x:v>019fdc36-68e5-77cb-a183-a43fbd997d24</x:v>
      </x:c>
      <x:c r="B124" s="50" t="str">
        <x:v>OXY</x:v>
      </x:c>
      <x:c r="C124" s="70" t="n">
        <x:v>46241.52293005787</x:v>
      </x:c>
      <x:c r="D124" s="50" t="str">
        <x:v>SWING_SETUP</x:v>
      </x:c>
      <x:c r="E124" s="50" t="str">
        <x:v>OXY SWING SETUP</x:v>
      </x:c>
      <x:c r="F124" s="50" t="str">
        <x:v>WATCH</x:v>
      </x:c>
      <x:c r="G124" s="50"/>
      <x:c r="H124" s="50" t="str">
        <x:v>LONG</x:v>
      </x:c>
      <x:c r="I124" s="71" t="n">
        <x:v>55.72</x:v>
      </x:c>
      <x:c r="J124" s="76" t="str">
        <x:v>SIP</x:v>
      </x:c>
    </x:row>
    <x:row r="125">
      <x:c r="A125" s="50" t="str">
        <x:v>019fdc36-6913-7e31-8e3b-da1ccbc813ce</x:v>
      </x:c>
      <x:c r="B125" s="50" t="str">
        <x:v>OXY</x:v>
      </x:c>
      <x:c r="C125" s="70" t="n">
        <x:v>46241.522930590276</x:v>
      </x:c>
      <x:c r="D125" s="50" t="str">
        <x:v>LONG_BUY_ZONE</x:v>
      </x:c>
      <x:c r="E125" s="50" t="str">
        <x:v>OXY LONG BUY ZONE</x:v>
      </x:c>
      <x:c r="F125" s="50" t="str">
        <x:v>WATCH</x:v>
      </x:c>
      <x:c r="G125" s="50"/>
      <x:c r="H125" s="50" t="str">
        <x:v>LONG</x:v>
      </x:c>
      <x:c r="I125" s="71" t="n">
        <x:v>55.78</x:v>
      </x:c>
      <x:c r="J125" s="76" t="str">
        <x:v>SIP</x:v>
      </x:c>
    </x:row>
    <x:row r="126">
      <x:c r="A126" s="50" t="str">
        <x:v>019fdc3c-d309-7b03-9ef8-651c220c584b</x:v>
      </x:c>
      <x:c r="B126" s="50" t="str">
        <x:v>ECL</x:v>
      </x:c>
      <x:c r="C126" s="70" t="n">
        <x:v>46241.52779565972</x:v>
      </x:c>
      <x:c r="D126" s="50" t="str">
        <x:v>LONG_BUY_ZONE</x:v>
      </x:c>
      <x:c r="E126" s="50" t="str">
        <x:v>ECL LONG BUY ZONE</x:v>
      </x:c>
      <x:c r="F126" s="50" t="str">
        <x:v>WATCH</x:v>
      </x:c>
      <x:c r="G126" s="50"/>
      <x:c r="H126" s="50" t="str">
        <x:v>LONG</x:v>
      </x:c>
      <x:c r="I126" s="71" t="n">
        <x:v>283.82</x:v>
      </x:c>
      <x:c r="J126" s="76" t="str">
        <x:v>SIP</x:v>
      </x:c>
    </x:row>
    <x:row r="127">
      <x:c r="A127" s="50" t="str">
        <x:v>019fdc3d-bc3d-77f3-93aa-66b37a1eebda</x:v>
      </x:c>
      <x:c r="B127" s="50" t="str">
        <x:v>HWM</x:v>
      </x:c>
      <x:c r="C127" s="70" t="n">
        <x:v>46241.52848663194</x:v>
      </x:c>
      <x:c r="D127" s="50" t="str">
        <x:v>SWING_SETUP</x:v>
      </x:c>
      <x:c r="E127" s="50" t="str">
        <x:v>HWM SWING SETUP</x:v>
      </x:c>
      <x:c r="F127" s="50" t="str">
        <x:v>WATCH</x:v>
      </x:c>
      <x:c r="G127" s="50"/>
      <x:c r="H127" s="50" t="str">
        <x:v>LONG</x:v>
      </x:c>
      <x:c r="I127" s="71" t="n">
        <x:v>291.96</x:v>
      </x:c>
      <x:c r="J127" s="76" t="str">
        <x:v>SIP</x:v>
      </x:c>
    </x:row>
    <x:row r="128">
      <x:c r="A128" s="50" t="str">
        <x:v>019fdc3e-a8d8-7ad9-aa33-40b3175c2bdd</x:v>
      </x:c>
      <x:c r="B128" s="50" t="str">
        <x:v>APA</x:v>
      </x:c>
      <x:c r="C128" s="70" t="n">
        <x:v>46241.529187685184</x:v>
      </x:c>
      <x:c r="D128" s="50" t="str">
        <x:v>LONG_BUY_ZONE</x:v>
      </x:c>
      <x:c r="E128" s="50" t="str">
        <x:v>APA LONG BUY ZONE</x:v>
      </x:c>
      <x:c r="F128" s="50" t="str">
        <x:v>WATCH</x:v>
      </x:c>
      <x:c r="G128" s="50"/>
      <x:c r="H128" s="50" t="str">
        <x:v>LONG</x:v>
      </x:c>
      <x:c r="I128" s="71" t="n">
        <x:v>36.1</x:v>
      </x:c>
      <x:c r="J128" s="76" t="str">
        <x:v>SIP</x:v>
      </x:c>
    </x:row>
    <x:row r="129">
      <x:c r="A129" s="50" t="str">
        <x:v>019fdc40-7c21-7371-99bb-c2713002a47f</x:v>
      </x:c>
      <x:c r="B129" s="50" t="str">
        <x:v>VZ</x:v>
      </x:c>
      <x:c r="C129" s="70" t="n">
        <x:v>46241.530572233794</x:v>
      </x:c>
      <x:c r="D129" s="50" t="str">
        <x:v>LONG_BUY_ZONE</x:v>
      </x:c>
      <x:c r="E129" s="50" t="str">
        <x:v>VZ LONG BUY ZONE</x:v>
      </x:c>
      <x:c r="F129" s="50" t="str">
        <x:v>WATCH</x:v>
      </x:c>
      <x:c r="G129" s="50"/>
      <x:c r="H129" s="50" t="str">
        <x:v>LONG</x:v>
      </x:c>
      <x:c r="I129" s="71" t="n">
        <x:v>46.82</x:v>
      </x:c>
      <x:c r="J129" s="76" t="str">
        <x:v>SIP</x:v>
      </x:c>
    </x:row>
    <x:row r="130">
      <x:c r="A130" s="50" t="str">
        <x:v>019fdc40-7cac-7406-a537-ab9d5da140e3</x:v>
      </x:c>
      <x:c r="B130" s="50" t="str">
        <x:v>ABBV</x:v>
      </x:c>
      <x:c r="C130" s="70" t="n">
        <x:v>46241.53057383102</x:v>
      </x:c>
      <x:c r="D130" s="50" t="str">
        <x:v>LONG_BUY_ZONE</x:v>
      </x:c>
      <x:c r="E130" s="50" t="str">
        <x:v>ABBV LONG BUY ZONE</x:v>
      </x:c>
      <x:c r="F130" s="50" t="str">
        <x:v>WATCH</x:v>
      </x:c>
      <x:c r="G130" s="50"/>
      <x:c r="H130" s="50" t="str">
        <x:v>LONG</x:v>
      </x:c>
      <x:c r="I130" s="71" t="n">
        <x:v>244.07</x:v>
      </x:c>
      <x:c r="J130" s="76" t="str">
        <x:v>SIP</x:v>
      </x:c>
    </x:row>
    <x:row r="131">
      <x:c r="A131" s="50" t="str">
        <x:v>019fdc40-7dca-71f0-84ec-c672364d7b80</x:v>
      </x:c>
      <x:c r="B131" s="50" t="str">
        <x:v>PM</x:v>
      </x:c>
      <x:c r="C131" s="70" t="n">
        <x:v>46241.53057715278</x:v>
      </x:c>
      <x:c r="D131" s="50" t="str">
        <x:v>LONG_BUY_ZONE</x:v>
      </x:c>
      <x:c r="E131" s="50" t="str">
        <x:v>PM LONG BUY ZONE</x:v>
      </x:c>
      <x:c r="F131" s="50" t="str">
        <x:v>WATCH</x:v>
      </x:c>
      <x:c r="G131" s="50"/>
      <x:c r="H131" s="50" t="str">
        <x:v>LONG</x:v>
      </x:c>
      <x:c r="I131" s="71" t="n">
        <x:v>187.5</x:v>
      </x:c>
      <x:c r="J131" s="76" t="str">
        <x:v>SIP</x:v>
      </x:c>
    </x:row>
    <x:row r="132">
      <x:c r="A132" s="50" t="str">
        <x:v>019fdc41-6797-739f-a249-2d82b9f04723</x:v>
      </x:c>
      <x:c r="B132" s="50" t="str">
        <x:v>CVX</x:v>
      </x:c>
      <x:c r="C132" s="70" t="n">
        <x:v>46241.53126989584</x:v>
      </x:c>
      <x:c r="D132" s="50" t="str">
        <x:v>LONG_BUY_ZONE</x:v>
      </x:c>
      <x:c r="E132" s="50" t="str">
        <x:v>CVX LONG BUY ZONE</x:v>
      </x:c>
      <x:c r="F132" s="50" t="str">
        <x:v>WATCH</x:v>
      </x:c>
      <x:c r="G132" s="50"/>
      <x:c r="H132" s="50" t="str">
        <x:v>LONG</x:v>
      </x:c>
      <x:c r="I132" s="71" t="n">
        <x:v>187.5</x:v>
      </x:c>
      <x:c r="J132" s="76" t="str">
        <x:v>SIP</x:v>
      </x:c>
    </x:row>
    <x:row r="133">
      <x:c r="A133" s="50" t="str">
        <x:v>019fdc42-5024-7494-9eac-6706d1753e4b</x:v>
      </x:c>
      <x:c r="B133" s="50" t="str">
        <x:v>AMZN</x:v>
      </x:c>
      <x:c r="C133" s="70" t="n">
        <x:v>46241.531958935186</x:v>
      </x:c>
      <x:c r="D133" s="50" t="str">
        <x:v>SWING_SETUP</x:v>
      </x:c>
      <x:c r="E133" s="50" t="str">
        <x:v>AMZN SWING SETUP</x:v>
      </x:c>
      <x:c r="F133" s="50" t="str">
        <x:v>WATCH</x:v>
      </x:c>
      <x:c r="G133" s="50"/>
      <x:c r="H133" s="50" t="str">
        <x:v>LONG</x:v>
      </x:c>
      <x:c r="I133" s="71" t="n">
        <x:v>274.23</x:v>
      </x:c>
      <x:c r="J133" s="76" t="str">
        <x:v>SIP</x:v>
      </x:c>
    </x:row>
    <x:row r="134">
      <x:c r="A134" s="50" t="str">
        <x:v>019fdc42-50a2-71a7-b12b-a03a1d7f2950</x:v>
      </x:c>
      <x:c r="B134" s="50" t="str">
        <x:v>NVDA</x:v>
      </x:c>
      <x:c r="C134" s="70" t="n">
        <x:v>46241.53196039352</x:v>
      </x:c>
      <x:c r="D134" s="50" t="str">
        <x:v>SWING_SETUP</x:v>
      </x:c>
      <x:c r="E134" s="50" t="str">
        <x:v>NVDA SWING SETUP</x:v>
      </x:c>
      <x:c r="F134" s="50" t="str">
        <x:v>WATCH</x:v>
      </x:c>
      <x:c r="G134" s="50"/>
      <x:c r="H134" s="50" t="str">
        <x:v>LONG</x:v>
      </x:c>
      <x:c r="I134" s="71" t="n">
        <x:v>221.2999</x:v>
      </x:c>
      <x:c r="J134" s="76" t="str">
        <x:v>SIP</x:v>
      </x:c>
    </x:row>
    <x:row r="135">
      <x:c r="A135" s="50" t="str">
        <x:v>019fdc42-50f3-752e-b478-3436a30f7087</x:v>
      </x:c>
      <x:c r="B135" s="50" t="str">
        <x:v>ETHA</x:v>
      </x:c>
      <x:c r="C135" s="70" t="n">
        <x:v>46241.53196133102</x:v>
      </x:c>
      <x:c r="D135" s="50" t="str">
        <x:v>SWING_SETUP</x:v>
      </x:c>
      <x:c r="E135" s="50" t="str">
        <x:v>ETHA SWING SETUP</x:v>
      </x:c>
      <x:c r="F135" s="50" t="str">
        <x:v>WATCH</x:v>
      </x:c>
      <x:c r="G135" s="50"/>
      <x:c r="H135" s="50" t="str">
        <x:v>LONG</x:v>
      </x:c>
      <x:c r="I135" s="71" t="n">
        <x:v>14.5603</x:v>
      </x:c>
      <x:c r="J135" s="76" t="str">
        <x:v>SIP</x:v>
      </x:c>
    </x:row>
    <x:row r="136">
      <x:c r="A136" s="50" t="str">
        <x:v>019fdc42-5117-77c6-a5ad-6dfe0cf5923f</x:v>
      </x:c>
      <x:c r="B136" s="50" t="str">
        <x:v>INTU</x:v>
      </x:c>
      <x:c r="C136" s="70" t="n">
        <x:v>46241.531961747685</x:v>
      </x:c>
      <x:c r="D136" s="50" t="str">
        <x:v>SWING_SETUP</x:v>
      </x:c>
      <x:c r="E136" s="50" t="str">
        <x:v>INTU SWING SETUP</x:v>
      </x:c>
      <x:c r="F136" s="50" t="str">
        <x:v>WATCH</x:v>
      </x:c>
      <x:c r="G136" s="50"/>
      <x:c r="H136" s="50" t="str">
        <x:v>LONG</x:v>
      </x:c>
      <x:c r="I136" s="71" t="n">
        <x:v>328.06</x:v>
      </x:c>
      <x:c r="J136" s="76" t="str">
        <x:v>SIP</x:v>
      </x:c>
    </x:row>
    <x:row r="137">
      <x:c r="A137" s="50" t="str">
        <x:v>019fdc42-51d9-7875-87b6-2f66f46a5c7c</x:v>
      </x:c>
      <x:c r="B137" s="50" t="str">
        <x:v>CEG</x:v>
      </x:c>
      <x:c r="C137" s="70" t="n">
        <x:v>46241.53196399305</x:v>
      </x:c>
      <x:c r="D137" s="50" t="str">
        <x:v>SWING_SETUP</x:v>
      </x:c>
      <x:c r="E137" s="50" t="str">
        <x:v>CEG SWING SETUP</x:v>
      </x:c>
      <x:c r="F137" s="50" t="str">
        <x:v>WATCH</x:v>
      </x:c>
      <x:c r="G137" s="50"/>
      <x:c r="H137" s="50" t="str">
        <x:v>LONG</x:v>
      </x:c>
      <x:c r="I137" s="71" t="n">
        <x:v>264.94</x:v>
      </x:c>
      <x:c r="J137" s="76" t="str">
        <x:v>SIP</x:v>
      </x:c>
    </x:row>
    <x:row r="138">
      <x:c r="A138" s="50" t="str">
        <x:v>019fdc42-51e3-7a7f-9f5d-16873637db96</x:v>
      </x:c>
      <x:c r="B138" s="50" t="str">
        <x:v>BABA</x:v>
      </x:c>
      <x:c r="C138" s="70" t="n">
        <x:v>46241.5319641088</x:v>
      </x:c>
      <x:c r="D138" s="50" t="str">
        <x:v>SWING_SETUP</x:v>
      </x:c>
      <x:c r="E138" s="50" t="str">
        <x:v>BABA SWING SETUP</x:v>
      </x:c>
      <x:c r="F138" s="50" t="str">
        <x:v>WATCH</x:v>
      </x:c>
      <x:c r="G138" s="50"/>
      <x:c r="H138" s="50" t="str">
        <x:v>LONG</x:v>
      </x:c>
      <x:c r="I138" s="71" t="n">
        <x:v>127.77</x:v>
      </x:c>
      <x:c r="J138" s="76" t="str">
        <x:v>SIP</x:v>
      </x:c>
    </x:row>
    <x:row r="139">
      <x:c r="A139" s="50" t="str">
        <x:v>019fdc42-51ec-77b1-b776-ad2845d9b4b5</x:v>
      </x:c>
      <x:c r="B139" s="50" t="str">
        <x:v>GS</x:v>
      </x:c>
      <x:c r="C139" s="70" t="n">
        <x:v>46241.53196421296</x:v>
      </x:c>
      <x:c r="D139" s="50" t="str">
        <x:v>LONG_BUY_ZONE</x:v>
      </x:c>
      <x:c r="E139" s="50" t="str">
        <x:v>GS LONG BUY ZONE</x:v>
      </x:c>
      <x:c r="F139" s="50" t="str">
        <x:v>WATCH</x:v>
      </x:c>
      <x:c r="G139" s="50"/>
      <x:c r="H139" s="50" t="str">
        <x:v>LONG</x:v>
      </x:c>
      <x:c r="I139" s="71" t="n">
        <x:v>1042.27</x:v>
      </x:c>
      <x:c r="J139" s="76" t="str">
        <x:v>SIP</x:v>
      </x:c>
    </x:row>
    <x:row r="140">
      <x:c r="A140" s="50" t="str">
        <x:v>019fdc43-3a61-7656-909e-177b14f042d3</x:v>
      </x:c>
      <x:c r="B140" s="50" t="str">
        <x:v>JPM</x:v>
      </x:c>
      <x:c r="C140" s="70" t="n">
        <x:v>46241.532652974536</x:v>
      </x:c>
      <x:c r="D140" s="50" t="str">
        <x:v>SWING_SETUP</x:v>
      </x:c>
      <x:c r="E140" s="50" t="str">
        <x:v>JPM SWING SETUP</x:v>
      </x:c>
      <x:c r="F140" s="50" t="str">
        <x:v>WATCH</x:v>
      </x:c>
      <x:c r="G140" s="50"/>
      <x:c r="H140" s="50" t="str">
        <x:v>LONG</x:v>
      </x:c>
      <x:c r="I140" s="71" t="n">
        <x:v>356.34</x:v>
      </x:c>
      <x:c r="J140" s="76" t="str">
        <x:v>SIP</x:v>
      </x:c>
    </x:row>
    <x:row r="141">
      <x:c r="A141" s="50" t="str">
        <x:v>019fdc43-3a7c-7ef2-809f-98a13eadb201</x:v>
      </x:c>
      <x:c r="B141" s="50" t="str">
        <x:v>PYPL</x:v>
      </x:c>
      <x:c r="C141" s="70" t="n">
        <x:v>46241.53265327546</x:v>
      </x:c>
      <x:c r="D141" s="50" t="str">
        <x:v>SWING_SETUP</x:v>
      </x:c>
      <x:c r="E141" s="50" t="str">
        <x:v>PYPL SWING SETUP</x:v>
      </x:c>
      <x:c r="F141" s="50" t="str">
        <x:v>WATCH</x:v>
      </x:c>
      <x:c r="G141" s="50"/>
      <x:c r="H141" s="50" t="str">
        <x:v>LONG</x:v>
      </x:c>
      <x:c r="I141" s="71" t="n">
        <x:v>59.8</x:v>
      </x:c>
      <x:c r="J141" s="76" t="str">
        <x:v>SIP</x:v>
      </x:c>
    </x:row>
    <x:row r="142">
      <x:c r="A142" s="50" t="str">
        <x:v>019fdc43-3abe-7d79-91e1-479c2ecf752d</x:v>
      </x:c>
      <x:c r="B142" s="50" t="str">
        <x:v>LMT</x:v>
      </x:c>
      <x:c r="C142" s="70" t="n">
        <x:v>46241.53265405093</x:v>
      </x:c>
      <x:c r="D142" s="50" t="str">
        <x:v>SWING_SETUP</x:v>
      </x:c>
      <x:c r="E142" s="50" t="str">
        <x:v>LMT SWING SETUP</x:v>
      </x:c>
      <x:c r="F142" s="50" t="str">
        <x:v>WATCH</x:v>
      </x:c>
      <x:c r="G142" s="50"/>
      <x:c r="H142" s="50" t="str">
        <x:v>LONG</x:v>
      </x:c>
      <x:c r="I142" s="71" t="n">
        <x:v>583.5</x:v>
      </x:c>
      <x:c r="J142" s="76" t="str">
        <x:v>SIP</x:v>
      </x:c>
    </x:row>
    <x:row r="143">
      <x:c r="A143" s="50" t="str">
        <x:v>019fdc44-24dd-71bd-ac1a-def9f52c8558</x:v>
      </x:c>
      <x:c r="B143" s="50" t="str">
        <x:v>PFE</x:v>
      </x:c>
      <x:c r="C143" s="70" t="n">
        <x:v>46241.533347743054</x:v>
      </x:c>
      <x:c r="D143" s="50" t="str">
        <x:v>SWING_SETUP</x:v>
      </x:c>
      <x:c r="E143" s="50" t="str">
        <x:v>PFE SWING SETUP</x:v>
      </x:c>
      <x:c r="F143" s="50" t="str">
        <x:v>WATCH</x:v>
      </x:c>
      <x:c r="G143" s="50"/>
      <x:c r="H143" s="50" t="str">
        <x:v>LONG</x:v>
      </x:c>
      <x:c r="I143" s="71" t="n">
        <x:v>26.18</x:v>
      </x:c>
      <x:c r="J143" s="76" t="str">
        <x:v>SIP</x:v>
      </x:c>
    </x:row>
    <x:row r="144">
      <x:c r="A144" s="50" t="str">
        <x:v>019fdc45-0f60-7081-9159-628573316341</x:v>
      </x:c>
      <x:c r="B144" s="50" t="str">
        <x:v>ADBE</x:v>
      </x:c>
      <x:c r="C144" s="70" t="n">
        <x:v>46241.53404259259</x:v>
      </x:c>
      <x:c r="D144" s="50" t="str">
        <x:v>SWING_SETUP</x:v>
      </x:c>
      <x:c r="E144" s="50" t="str">
        <x:v>ADBE SWING SETUP</x:v>
      </x:c>
      <x:c r="F144" s="50" t="str">
        <x:v>WATCH</x:v>
      </x:c>
      <x:c r="G144" s="50"/>
      <x:c r="H144" s="50" t="str">
        <x:v>LONG</x:v>
      </x:c>
      <x:c r="I144" s="71" t="n">
        <x:v>261.6534</x:v>
      </x:c>
      <x:c r="J144" s="76" t="str">
        <x:v>SIP</x:v>
      </x:c>
    </x:row>
    <x:row r="145">
      <x:c r="A145" s="50" t="str">
        <x:v>019fdc45-0f70-7053-bc2f-ca51b8d02d37</x:v>
      </x:c>
      <x:c r="B145" s="50" t="str">
        <x:v>BMY</x:v>
      </x:c>
      <x:c r="C145" s="70" t="n">
        <x:v>46241.53404277778</x:v>
      </x:c>
      <x:c r="D145" s="50" t="str">
        <x:v>SWING_SETUP</x:v>
      </x:c>
      <x:c r="E145" s="50" t="str">
        <x:v>BMY SWING SETUP</x:v>
      </x:c>
      <x:c r="F145" s="50" t="str">
        <x:v>WATCH</x:v>
      </x:c>
      <x:c r="G145" s="50"/>
      <x:c r="H145" s="50" t="str">
        <x:v>LONG</x:v>
      </x:c>
      <x:c r="I145" s="71" t="n">
        <x:v>64.29</x:v>
      </x:c>
      <x:c r="J145" s="76" t="str">
        <x:v>SIP</x:v>
      </x:c>
    </x:row>
    <x:row r="146">
      <x:c r="A146" s="50" t="str">
        <x:v>019fdc45-10a1-7290-b39e-6ad67f6e7d08</x:v>
      </x:c>
      <x:c r="B146" s="50" t="str">
        <x:v>TTWO</x:v>
      </x:c>
      <x:c r="C146" s="70" t="n">
        <x:v>46241.53404630787</x:v>
      </x:c>
      <x:c r="D146" s="50" t="str">
        <x:v>ENTRY_WATCH</x:v>
      </x:c>
      <x:c r="E146" s="50" t="str">
        <x:v>TTWO ENTRY BREAKAWAY WATCH</x:v>
      </x:c>
      <x:c r="F146" s="50" t="str">
        <x:v>WATCH</x:v>
      </x:c>
      <x:c r="G146" s="50"/>
      <x:c r="H146" s="50" t="str">
        <x:v>LONG</x:v>
      </x:c>
      <x:c r="I146" s="71" t="n">
        <x:v>236.55</x:v>
      </x:c>
      <x:c r="J146" s="76" t="str">
        <x:v>SIP</x:v>
      </x:c>
    </x:row>
    <x:row r="147">
      <x:c r="A147" s="50" t="str">
        <x:v>019fdc45-10cd-7a9a-b438-c3de3acbb2bc</x:v>
      </x:c>
      <x:c r="B147" s="50" t="str">
        <x:v>OXY</x:v>
      </x:c>
      <x:c r="C147" s="70" t="n">
        <x:v>46241.53404680556</x:v>
      </x:c>
      <x:c r="D147" s="50" t="str">
        <x:v>LONG_BUY_ZONE</x:v>
      </x:c>
      <x:c r="E147" s="50" t="str">
        <x:v>OXY LONG BUY ZONE</x:v>
      </x:c>
      <x:c r="F147" s="50" t="str">
        <x:v>WATCH</x:v>
      </x:c>
      <x:c r="G147" s="50"/>
      <x:c r="H147" s="50" t="str">
        <x:v>LONG</x:v>
      </x:c>
      <x:c r="I147" s="71" t="n">
        <x:v>55.45</x:v>
      </x:c>
      <x:c r="J147" s="76" t="str">
        <x:v>SIP</x:v>
      </x:c>
    </x:row>
    <x:row r="148">
      <x:c r="A148" s="50" t="str">
        <x:v>019fdc45-fa58-7381-b8d4-562003d6b756</x:v>
      </x:c>
      <x:c r="B148" s="50" t="str">
        <x:v>MRK</x:v>
      </x:c>
      <x:c r="C148" s="70" t="n">
        <x:v>46241.5347387963</x:v>
      </x:c>
      <x:c r="D148" s="50" t="str">
        <x:v>LONG_BUY_ZONE</x:v>
      </x:c>
      <x:c r="E148" s="50" t="str">
        <x:v>MRK LONG BUY ZONE</x:v>
      </x:c>
      <x:c r="F148" s="50" t="str">
        <x:v>WATCH</x:v>
      </x:c>
      <x:c r="G148" s="50"/>
      <x:c r="H148" s="50" t="str">
        <x:v>LONG</x:v>
      </x:c>
      <x:c r="I148" s="71" t="n">
        <x:v>128.09</x:v>
      </x:c>
      <x:c r="J148" s="76" t="str">
        <x:v>SIP</x:v>
      </x:c>
    </x:row>
    <x:row r="149">
      <x:c r="A149" s="50" t="str">
        <x:v>019fdc45-fb42-75df-b756-07aa908c7b32</x:v>
      </x:c>
      <x:c r="B149" s="50" t="str">
        <x:v>KDP</x:v>
      </x:c>
      <x:c r="C149" s="70" t="n">
        <x:v>46241.53474150463</x:v>
      </x:c>
      <x:c r="D149" s="50" t="str">
        <x:v>LONG_BUY_ZONE</x:v>
      </x:c>
      <x:c r="E149" s="50" t="str">
        <x:v>KDP LONG BUY ZONE</x:v>
      </x:c>
      <x:c r="F149" s="50" t="str">
        <x:v>WATCH</x:v>
      </x:c>
      <x:c r="G149" s="50"/>
      <x:c r="H149" s="50" t="str">
        <x:v>LONG</x:v>
      </x:c>
      <x:c r="I149" s="71" t="n">
        <x:v>30.25</x:v>
      </x:c>
      <x:c r="J149" s="76" t="str">
        <x:v>SIP</x:v>
      </x:c>
    </x:row>
    <x:row r="150">
      <x:c r="A150" s="50" t="str">
        <x:v>019fdc45-fb71-79db-a3b4-3f709e88ca24</x:v>
      </x:c>
      <x:c r="B150" s="50" t="str">
        <x:v>KO</x:v>
      </x:c>
      <x:c r="C150" s="70" t="n">
        <x:v>46241.534742048614</x:v>
      </x:c>
      <x:c r="D150" s="50" t="str">
        <x:v>LONG_BUY_ZONE</x:v>
      </x:c>
      <x:c r="E150" s="50" t="str">
        <x:v>KO LONG BUY ZONE</x:v>
      </x:c>
      <x:c r="F150" s="50" t="str">
        <x:v>WATCH</x:v>
      </x:c>
      <x:c r="G150" s="50"/>
      <x:c r="H150" s="50" t="str">
        <x:v>LONG</x:v>
      </x:c>
      <x:c r="I150" s="71" t="n">
        <x:v>86.5</x:v>
      </x:c>
      <x:c r="J150" s="76" t="str">
        <x:v>SIP</x:v>
      </x:c>
    </x:row>
    <x:row r="151">
      <x:c r="A151" s="50" t="str">
        <x:v>019fdc45-fbcc-720f-b320-cd9f67f859dc</x:v>
      </x:c>
      <x:c r="B151" s="50" t="str">
        <x:v>KDP</x:v>
      </x:c>
      <x:c r="C151" s="70" t="n">
        <x:v>46241.53474310185</x:v>
      </x:c>
      <x:c r="D151" s="50" t="str">
        <x:v>ENTRY_WATCH</x:v>
      </x:c>
      <x:c r="E151" s="50" t="str">
        <x:v>KDP ENTRY IN_ZONE EARLY WATCH</x:v>
      </x:c>
      <x:c r="F151" s="50" t="str">
        <x:v>WATCH</x:v>
      </x:c>
      <x:c r="G151" s="50"/>
      <x:c r="H151" s="50" t="str">
        <x:v>LONG</x:v>
      </x:c>
      <x:c r="I151" s="71" t="n">
        <x:v>30.25</x:v>
      </x:c>
      <x:c r="J151" s="76" t="str">
        <x:v>SIP</x:v>
      </x:c>
    </x:row>
    <x:row r="152">
      <x:c r="A152" s="50" t="str">
        <x:v>019fdc45-fbe0-75d9-8cc8-847a39987683</x:v>
      </x:c>
      <x:c r="B152" s="50" t="str">
        <x:v>KDP</x:v>
      </x:c>
      <x:c r="C152" s="70" t="n">
        <x:v>46241.53474333333</x:v>
      </x:c>
      <x:c r="D152" s="50" t="str">
        <x:v>ENTRY_OPPORTUNITY_PROGRESS</x:v>
      </x:c>
      <x:c r="E152" s="50" t="str">
        <x:v>KDP ENTRY IN_ZONE [####------]</x:v>
      </x:c>
      <x:c r="F152" s="50" t="str">
        <x:v>WATCH</x:v>
      </x:c>
      <x:c r="G152" s="50"/>
      <x:c r="H152" s="50" t="str">
        <x:v>LONG</x:v>
      </x:c>
      <x:c r="I152" s="71" t="n">
        <x:v>30.25</x:v>
      </x:c>
      <x:c r="J152" s="76" t="str">
        <x:v>SIP</x:v>
      </x:c>
    </x:row>
    <x:row r="153">
      <x:c r="A153" s="50" t="str">
        <x:v>019fdc45-fc40-724d-8d5c-1eef59b722bc</x:v>
      </x:c>
      <x:c r="B153" s="50" t="str">
        <x:v>HRL</x:v>
      </x:c>
      <x:c r="C153" s="70" t="n">
        <x:v>46241.53474444444</x:v>
      </x:c>
      <x:c r="D153" s="50" t="str">
        <x:v>LONG_BUY_ZONE</x:v>
      </x:c>
      <x:c r="E153" s="50" t="str">
        <x:v>HRL LONG BUY ZONE</x:v>
      </x:c>
      <x:c r="F153" s="50" t="str">
        <x:v>WATCH</x:v>
      </x:c>
      <x:c r="G153" s="50"/>
      <x:c r="H153" s="50" t="str">
        <x:v>LONG</x:v>
      </x:c>
      <x:c r="I153" s="71" t="n">
        <x:v>25.03</x:v>
      </x:c>
      <x:c r="J153" s="76" t="str">
        <x:v>SIP</x:v>
      </x:c>
    </x:row>
    <x:row r="154">
      <x:c r="A154" s="50" t="str">
        <x:v>019fdc47-ce90-7bb1-bfce-95a690abe6bf</x:v>
      </x:c>
      <x:c r="B154" s="50" t="str">
        <x:v>DASH</x:v>
      </x:c>
      <x:c r="C154" s="70" t="n">
        <x:v>46241.53612611111</x:v>
      </x:c>
      <x:c r="D154" s="50" t="str">
        <x:v>SWING_SETUP</x:v>
      </x:c>
      <x:c r="E154" s="50" t="str">
        <x:v>DASH SWING SETUP</x:v>
      </x:c>
      <x:c r="F154" s="50" t="str">
        <x:v>WATCH</x:v>
      </x:c>
      <x:c r="G154" s="50"/>
      <x:c r="H154" s="50" t="str">
        <x:v>LONG</x:v>
      </x:c>
      <x:c r="I154" s="71" t="n">
        <x:v>213</x:v>
      </x:c>
      <x:c r="J154" s="76" t="str">
        <x:v>SIP</x:v>
      </x:c>
    </x:row>
    <x:row r="155">
      <x:c r="A155" s="50" t="str">
        <x:v>019fdc47-cfe6-7672-a042-f4a68b3d0940</x:v>
      </x:c>
      <x:c r="B155" s="50" t="str">
        <x:v>JNJ</x:v>
      </x:c>
      <x:c r="C155" s="70" t="n">
        <x:v>46241.53613006944</x:v>
      </x:c>
      <x:c r="D155" s="50" t="str">
        <x:v>LONG_BUY_ZONE</x:v>
      </x:c>
      <x:c r="E155" s="50" t="str">
        <x:v>JNJ LONG BUY ZONE</x:v>
      </x:c>
      <x:c r="F155" s="50" t="str">
        <x:v>WATCH</x:v>
      </x:c>
      <x:c r="G155" s="50"/>
      <x:c r="H155" s="50" t="str">
        <x:v>LONG</x:v>
      </x:c>
      <x:c r="I155" s="71" t="n">
        <x:v>256.23</x:v>
      </x:c>
      <x:c r="J155" s="76" t="str">
        <x:v>SIP</x:v>
      </x:c>
    </x:row>
    <x:row r="156">
      <x:c r="A156" s="50" t="str">
        <x:v>019fdc49-a4e6-7864-a7b2-28fb73f434d7</x:v>
      </x:c>
      <x:c r="B156" s="50" t="str">
        <x:v>TTWO</x:v>
      </x:c>
      <x:c r="C156" s="70" t="n">
        <x:v>46241.53751969907</x:v>
      </x:c>
      <x:c r="D156" s="50" t="str">
        <x:v>ENTRY_WATCH</x:v>
      </x:c>
      <x:c r="E156" s="50" t="str">
        <x:v>TTWO ENTRY IN_ZONE EARLY WATCH</x:v>
      </x:c>
      <x:c r="F156" s="50" t="str">
        <x:v>WATCH</x:v>
      </x:c>
      <x:c r="G156" s="50"/>
      <x:c r="H156" s="50" t="str">
        <x:v>LONG</x:v>
      </x:c>
      <x:c r="I156" s="71" t="n">
        <x:v>235.5813</x:v>
      </x:c>
      <x:c r="J156" s="76" t="str">
        <x:v>SIP</x:v>
      </x:c>
    </x:row>
    <x:row r="157">
      <x:c r="A157" s="50" t="str">
        <x:v>019fdc49-a540-79ec-b21e-810a14592e81</x:v>
      </x:c>
      <x:c r="B157" s="50" t="str">
        <x:v>TTWO</x:v>
      </x:c>
      <x:c r="C157" s="70" t="n">
        <x:v>46241.53752074074</x:v>
      </x:c>
      <x:c r="D157" s="50" t="str">
        <x:v>ENTRY_OPPORTUNITY_PROGRESS</x:v>
      </x:c>
      <x:c r="E157" s="50" t="str">
        <x:v>TTWO ENTRY IN_ZONE [####------]</x:v>
      </x:c>
      <x:c r="F157" s="50" t="str">
        <x:v>WATCH</x:v>
      </x:c>
      <x:c r="G157" s="50"/>
      <x:c r="H157" s="50" t="str">
        <x:v>LONG</x:v>
      </x:c>
      <x:c r="I157" s="71" t="n">
        <x:v>235.5813</x:v>
      </x:c>
      <x:c r="J157" s="76" t="str">
        <x:v>SIP</x:v>
      </x:c>
    </x:row>
    <x:row r="158">
      <x:c r="A158" s="50" t="str">
        <x:v>019fdc4a-8da0-7c4b-b11d-18a852234545</x:v>
      </x:c>
      <x:c r="B158" s="50" t="str">
        <x:v>AMGN</x:v>
      </x:c>
      <x:c r="C158" s="70" t="n">
        <x:v>46241.53820924769</x:v>
      </x:c>
      <x:c r="D158" s="50" t="str">
        <x:v>SWING_SETUP</x:v>
      </x:c>
      <x:c r="E158" s="50" t="str">
        <x:v>AMGN SWING SETUP</x:v>
      </x:c>
      <x:c r="F158" s="50" t="str">
        <x:v>WATCH</x:v>
      </x:c>
      <x:c r="G158" s="50"/>
      <x:c r="H158" s="50" t="str">
        <x:v>LONG</x:v>
      </x:c>
      <x:c r="I158" s="71" t="n">
        <x:v>407</x:v>
      </x:c>
      <x:c r="J158" s="76" t="str">
        <x:v>SIP</x:v>
      </x:c>
    </x:row>
    <x:row r="159">
      <x:c r="A159" s="50" t="str">
        <x:v>019fdc4a-8ef0-7e9d-b37c-4292a110b403</x:v>
      </x:c>
      <x:c r="B159" s="50" t="str">
        <x:v>SBUX</x:v>
      </x:c>
      <x:c r="C159" s="70" t="n">
        <x:v>46241.53821313658</x:v>
      </x:c>
      <x:c r="D159" s="50" t="str">
        <x:v>LONG_BUY_ZONE</x:v>
      </x:c>
      <x:c r="E159" s="50" t="str">
        <x:v>SBUX LONG BUY ZONE</x:v>
      </x:c>
      <x:c r="F159" s="50" t="str">
        <x:v>WATCH</x:v>
      </x:c>
      <x:c r="G159" s="50"/>
      <x:c r="H159" s="50" t="str">
        <x:v>LONG</x:v>
      </x:c>
      <x:c r="I159" s="71" t="n">
        <x:v>105</x:v>
      </x:c>
      <x:c r="J159" s="76" t="str">
        <x:v>SIP</x:v>
      </x:c>
    </x:row>
    <x:row r="160">
      <x:c r="A160" s="50" t="str">
        <x:v>019fdc4d-4c9e-79d5-adf2-51a11f7c5c3e</x:v>
      </x:c>
      <x:c r="B160" s="50" t="str">
        <x:v>BAC</x:v>
      </x:c>
      <x:c r="C160" s="70" t="n">
        <x:v>46241.5402921875</x:v>
      </x:c>
      <x:c r="D160" s="50" t="str">
        <x:v>SWING_SETUP</x:v>
      </x:c>
      <x:c r="E160" s="50" t="str">
        <x:v>BAC SWING SETUP</x:v>
      </x:c>
      <x:c r="F160" s="50" t="str">
        <x:v>WATCH</x:v>
      </x:c>
      <x:c r="G160" s="50"/>
      <x:c r="H160" s="50" t="str">
        <x:v>LONG</x:v>
      </x:c>
      <x:c r="I160" s="71" t="n">
        <x:v>63.1</x:v>
      </x:c>
      <x:c r="J160" s="76" t="str">
        <x:v>SIP</x:v>
      </x:c>
    </x:row>
    <x:row r="161">
      <x:c r="A161" s="50" t="str">
        <x:v>019fdc4e-3906-7db1-8800-364e50de7c70</x:v>
      </x:c>
      <x:c r="B161" s="50" t="str">
        <x:v>ABBV</x:v>
      </x:c>
      <x:c r="C161" s="70" t="n">
        <x:v>46241.540992662034</x:v>
      </x:c>
      <x:c r="D161" s="50" t="str">
        <x:v>LONG_BUY_ZONE</x:v>
      </x:c>
      <x:c r="E161" s="50" t="str">
        <x:v>ABBV LONG BUY ZONE</x:v>
      </x:c>
      <x:c r="F161" s="50" t="str">
        <x:v>WATCH</x:v>
      </x:c>
      <x:c r="G161" s="50"/>
      <x:c r="H161" s="50" t="str">
        <x:v>LONG</x:v>
      </x:c>
      <x:c r="I161" s="71" t="n">
        <x:v>243.2798</x:v>
      </x:c>
      <x:c r="J161" s="76" t="str">
        <x:v>SIP</x:v>
      </x:c>
    </x:row>
    <x:row r="162">
      <x:c r="A162" s="50" t="str">
        <x:v>019fdc4f-231c-7567-8190-e88a65cc1a0b</x:v>
      </x:c>
      <x:c r="B162" s="50" t="str">
        <x:v>VZ</x:v>
      </x:c>
      <x:c r="C162" s="70" t="n">
        <x:v>46241.54168625</x:v>
      </x:c>
      <x:c r="D162" s="50" t="str">
        <x:v>LONG_BUY_ZONE</x:v>
      </x:c>
      <x:c r="E162" s="50" t="str">
        <x:v>VZ LONG BUY ZONE</x:v>
      </x:c>
      <x:c r="F162" s="50" t="str">
        <x:v>WATCH</x:v>
      </x:c>
      <x:c r="G162" s="50"/>
      <x:c r="H162" s="50" t="str">
        <x:v>LONG</x:v>
      </x:c>
      <x:c r="I162" s="71" t="n">
        <x:v>46.65</x:v>
      </x:c>
      <x:c r="J162" s="76" t="str">
        <x:v>SIP</x:v>
      </x:c>
    </x:row>
    <x:row r="163">
      <x:c r="A163" s="50" t="str">
        <x:v>019fdc50-0c0a-7de5-953b-5fe752493b16</x:v>
      </x:c>
      <x:c r="B163" s="50" t="str">
        <x:v>AMZN</x:v>
      </x:c>
      <x:c r="C163" s="70" t="n">
        <x:v>46241.542376412035</x:v>
      </x:c>
      <x:c r="D163" s="50" t="str">
        <x:v>SWING_SETUP</x:v>
      </x:c>
      <x:c r="E163" s="50" t="str">
        <x:v>AMZN SWING SETUP</x:v>
      </x:c>
      <x:c r="F163" s="50" t="str">
        <x:v>WATCH</x:v>
      </x:c>
      <x:c r="G163" s="50"/>
      <x:c r="H163" s="50" t="str">
        <x:v>LONG</x:v>
      </x:c>
      <x:c r="I163" s="71" t="n">
        <x:v>274.45</x:v>
      </x:c>
      <x:c r="J163" s="76" t="str">
        <x:v>SIP</x:v>
      </x:c>
    </x:row>
    <x:row r="164">
      <x:c r="A164" s="50" t="str">
        <x:v>019fdc50-0c47-71f2-9aee-72074a21f805</x:v>
      </x:c>
      <x:c r="B164" s="50" t="str">
        <x:v>NVDA</x:v>
      </x:c>
      <x:c r="C164" s="70" t="n">
        <x:v>46241.54237711806</x:v>
      </x:c>
      <x:c r="D164" s="50" t="str">
        <x:v>SWING_SETUP</x:v>
      </x:c>
      <x:c r="E164" s="50" t="str">
        <x:v>NVDA SWING SETUP</x:v>
      </x:c>
      <x:c r="F164" s="50" t="str">
        <x:v>WATCH</x:v>
      </x:c>
      <x:c r="G164" s="50"/>
      <x:c r="H164" s="50" t="str">
        <x:v>LONG</x:v>
      </x:c>
      <x:c r="I164" s="71" t="n">
        <x:v>221.15</x:v>
      </x:c>
      <x:c r="J164" s="76" t="str">
        <x:v>SIP</x:v>
      </x:c>
    </x:row>
    <x:row r="165">
      <x:c r="A165" s="50" t="str">
        <x:v>019fdc50-0c57-775b-bf6b-92690c480618</x:v>
      </x:c>
      <x:c r="B165" s="50" t="str">
        <x:v>SNOW</x:v>
      </x:c>
      <x:c r="C165" s="70" t="n">
        <x:v>46241.54237730324</x:v>
      </x:c>
      <x:c r="D165" s="50" t="str">
        <x:v>SWING_SETUP</x:v>
      </x:c>
      <x:c r="E165" s="50" t="str">
        <x:v>SNOW SWING SETUP</x:v>
      </x:c>
      <x:c r="F165" s="50" t="str">
        <x:v>WATCH</x:v>
      </x:c>
      <x:c r="G165" s="50"/>
      <x:c r="H165" s="50" t="str">
        <x:v>LONG</x:v>
      </x:c>
      <x:c r="I165" s="71" t="n">
        <x:v>325.97</x:v>
      </x:c>
      <x:c r="J165" s="76" t="str">
        <x:v>SIP</x:v>
      </x:c>
    </x:row>
    <x:row r="166">
      <x:c r="A166" s="50" t="str">
        <x:v>019fdc50-0c76-7090-8438-d38f16912fb0</x:v>
      </x:c>
      <x:c r="B166" s="50" t="str">
        <x:v>GRAB</x:v>
      </x:c>
      <x:c r="C166" s="70" t="n">
        <x:v>46241.54237766204</x:v>
      </x:c>
      <x:c r="D166" s="50" t="str">
        <x:v>SWING_SETUP</x:v>
      </x:c>
      <x:c r="E166" s="50" t="str">
        <x:v>GRAB SWING SETUP</x:v>
      </x:c>
      <x:c r="F166" s="50" t="str">
        <x:v>WATCH</x:v>
      </x:c>
      <x:c r="G166" s="50"/>
      <x:c r="H166" s="50" t="str">
        <x:v>LONG</x:v>
      </x:c>
      <x:c r="I166" s="71" t="n">
        <x:v>3.69</x:v>
      </x:c>
      <x:c r="J166" s="76" t="str">
        <x:v>SIP</x:v>
      </x:c>
    </x:row>
    <x:row r="167">
      <x:c r="A167" s="50" t="str">
        <x:v>019fdc50-0cc0-7f87-a650-d14dd412e17b</x:v>
      </x:c>
      <x:c r="B167" s="50" t="str">
        <x:v>INTU</x:v>
      </x:c>
      <x:c r="C167" s="70" t="n">
        <x:v>46241.54237851852</x:v>
      </x:c>
      <x:c r="D167" s="50" t="str">
        <x:v>SWING_SETUP</x:v>
      </x:c>
      <x:c r="E167" s="50" t="str">
        <x:v>INTU SWING SETUP</x:v>
      </x:c>
      <x:c r="F167" s="50" t="str">
        <x:v>WATCH</x:v>
      </x:c>
      <x:c r="G167" s="50"/>
      <x:c r="H167" s="50" t="str">
        <x:v>LONG</x:v>
      </x:c>
      <x:c r="I167" s="71" t="n">
        <x:v>328.53</x:v>
      </x:c>
      <x:c r="J167" s="76" t="str">
        <x:v>SIP</x:v>
      </x:c>
    </x:row>
    <x:row r="168">
      <x:c r="A168" s="50" t="str">
        <x:v>019fdc50-0cff-7c43-b3c7-05da42a4da85</x:v>
      </x:c>
      <x:c r="B168" s="50" t="str">
        <x:v>ABNB</x:v>
      </x:c>
      <x:c r="C168" s="70" t="n">
        <x:v>46241.54237924769</x:v>
      </x:c>
      <x:c r="D168" s="50" t="str">
        <x:v>SWING_SETUP</x:v>
      </x:c>
      <x:c r="E168" s="50" t="str">
        <x:v>ABNB SWING SETUP</x:v>
      </x:c>
      <x:c r="F168" s="50" t="str">
        <x:v>WATCH</x:v>
      </x:c>
      <x:c r="G168" s="50"/>
      <x:c r="H168" s="50" t="str">
        <x:v>LONG</x:v>
      </x:c>
      <x:c r="I168" s="71" t="n">
        <x:v>163.86</x:v>
      </x:c>
      <x:c r="J168" s="76" t="str">
        <x:v>SIP</x:v>
      </x:c>
    </x:row>
    <x:row r="169">
      <x:c r="A169" s="50" t="str">
        <x:v>019fdc50-0d4e-7e20-b278-9d505dcfb956</x:v>
      </x:c>
      <x:c r="B169" s="50" t="str">
        <x:v>ETHA</x:v>
      </x:c>
      <x:c r="C169" s="70" t="n">
        <x:v>46241.542380162035</x:v>
      </x:c>
      <x:c r="D169" s="50" t="str">
        <x:v>SWING_SETUP</x:v>
      </x:c>
      <x:c r="E169" s="50" t="str">
        <x:v>ETHA SWING SETUP</x:v>
      </x:c>
      <x:c r="F169" s="50" t="str">
        <x:v>WATCH</x:v>
      </x:c>
      <x:c r="G169" s="50"/>
      <x:c r="H169" s="50" t="str">
        <x:v>LONG</x:v>
      </x:c>
      <x:c r="I169" s="71" t="n">
        <x:v>14.58</x:v>
      </x:c>
      <x:c r="J169" s="76" t="str">
        <x:v>SIP</x:v>
      </x:c>
    </x:row>
    <x:row r="170">
      <x:c r="A170" s="50" t="str">
        <x:v>019fdc50-f6c4-797a-87f1-3d09624aced7</x:v>
      </x:c>
      <x:c r="B170" s="50" t="str">
        <x:v>CEG</x:v>
      </x:c>
      <x:c r="C170" s="70" t="n">
        <x:v>46241.543071886575</x:v>
      </x:c>
      <x:c r="D170" s="50" t="str">
        <x:v>SWING_SETUP</x:v>
      </x:c>
      <x:c r="E170" s="50" t="str">
        <x:v>CEG SWING SETUP</x:v>
      </x:c>
      <x:c r="F170" s="50" t="str">
        <x:v>WATCH</x:v>
      </x:c>
      <x:c r="G170" s="50"/>
      <x:c r="H170" s="50" t="str">
        <x:v>LONG</x:v>
      </x:c>
      <x:c r="I170" s="71" t="n">
        <x:v>264.75</x:v>
      </x:c>
      <x:c r="J170" s="76" t="str">
        <x:v>SIP</x:v>
      </x:c>
    </x:row>
    <x:row r="171">
      <x:c r="A171" s="50" t="str">
        <x:v>019fdc51-e33d-7f5e-9050-a8c9913591e3</x:v>
      </x:c>
      <x:c r="B171" s="50" t="str">
        <x:v>CVX</x:v>
      </x:c>
      <x:c r="C171" s="70" t="n">
        <x:v>46241.54377255787</x:v>
      </x:c>
      <x:c r="D171" s="50" t="str">
        <x:v>LONG_BUY_ZONE</x:v>
      </x:c>
      <x:c r="E171" s="50" t="str">
        <x:v>CVX LONG BUY ZONE</x:v>
      </x:c>
      <x:c r="F171" s="50" t="str">
        <x:v>WATCH</x:v>
      </x:c>
      <x:c r="G171" s="50"/>
      <x:c r="H171" s="50" t="str">
        <x:v>LONG</x:v>
      </x:c>
      <x:c r="I171" s="71" t="n">
        <x:v>187.46</x:v>
      </x:c>
      <x:c r="J171" s="76" t="str">
        <x:v>SIP</x:v>
      </x:c>
    </x:row>
    <x:row r="172">
      <x:c r="A172" s="50" t="str">
        <x:v>019fdc52-cb5b-718e-817f-531a5922549d</x:v>
      </x:c>
      <x:c r="B172" s="50" t="str">
        <x:v>APA</x:v>
      </x:c>
      <x:c r="C172" s="70" t="n">
        <x:v>46241.5444603125</x:v>
      </x:c>
      <x:c r="D172" s="50" t="str">
        <x:v>LONG_BUY_ZONE</x:v>
      </x:c>
      <x:c r="E172" s="50" t="str">
        <x:v>APA LONG BUY ZONE</x:v>
      </x:c>
      <x:c r="F172" s="50" t="str">
        <x:v>WATCH</x:v>
      </x:c>
      <x:c r="G172" s="50"/>
      <x:c r="H172" s="50" t="str">
        <x:v>LONG</x:v>
      </x:c>
      <x:c r="I172" s="71" t="n">
        <x:v>36</x:v>
      </x:c>
      <x:c r="J172" s="76" t="str">
        <x:v>SIP</x:v>
      </x:c>
    </x:row>
    <x:row r="173">
      <x:c r="A173" s="50" t="str">
        <x:v>019fdc53-b578-7289-a378-88433c35a9c9</x:v>
      </x:c>
      <x:c r="B173" s="50" t="str">
        <x:v>RCL</x:v>
      </x:c>
      <x:c r="C173" s="70" t="n">
        <x:v>46241.54515398148</x:v>
      </x:c>
      <x:c r="D173" s="50" t="str">
        <x:v>SWING_SETUP</x:v>
      </x:c>
      <x:c r="E173" s="50" t="str">
        <x:v>RCL SWING SETUP</x:v>
      </x:c>
      <x:c r="F173" s="50" t="str">
        <x:v>WATCH</x:v>
      </x:c>
      <x:c r="G173" s="50"/>
      <x:c r="H173" s="50" t="str">
        <x:v>LONG</x:v>
      </x:c>
      <x:c r="I173" s="71" t="n">
        <x:v>323.4</x:v>
      </x:c>
      <x:c r="J173" s="76" t="str">
        <x:v>SIP</x:v>
      </x:c>
    </x:row>
    <x:row r="174">
      <x:c r="A174" s="50" t="str">
        <x:v>019fdc53-b689-7f49-9c7c-9c27b7b3a297</x:v>
      </x:c>
      <x:c r="B174" s="50" t="str">
        <x:v>VRTX</x:v>
      </x:c>
      <x:c r="C174" s="70" t="n">
        <x:v>46241.545157141205</x:v>
      </x:c>
      <x:c r="D174" s="50" t="str">
        <x:v>LONG_BUY_ZONE</x:v>
      </x:c>
      <x:c r="E174" s="50" t="str">
        <x:v>VRTX LONG BUY ZONE</x:v>
      </x:c>
      <x:c r="F174" s="50" t="str">
        <x:v>WATCH</x:v>
      </x:c>
      <x:c r="G174" s="50"/>
      <x:c r="H174" s="50" t="str">
        <x:v>LONG</x:v>
      </x:c>
      <x:c r="I174" s="71" t="n">
        <x:v>483.73</x:v>
      </x:c>
      <x:c r="J174" s="76" t="str">
        <x:v>SIP</x:v>
      </x:c>
    </x:row>
    <x:row r="175">
      <x:c r="A175" s="50" t="str">
        <x:v>019fdc53-b723-79b0-90ba-c1ae6bd9008a</x:v>
      </x:c>
      <x:c r="B175" s="50" t="str">
        <x:v>VRTX</x:v>
      </x:c>
      <x:c r="C175" s="70" t="n">
        <x:v>46241.54515892361</x:v>
      </x:c>
      <x:c r="D175" s="50" t="str">
        <x:v>ENTRY_WATCH</x:v>
      </x:c>
      <x:c r="E175" s="50" t="str">
        <x:v>VRTX ENTRY IN_ZONE EARLY WATCH</x:v>
      </x:c>
      <x:c r="F175" s="50" t="str">
        <x:v>WATCH</x:v>
      </x:c>
      <x:c r="G175" s="50"/>
      <x:c r="H175" s="50" t="str">
        <x:v>LONG</x:v>
      </x:c>
      <x:c r="I175" s="71" t="n">
        <x:v>483.73</x:v>
      </x:c>
      <x:c r="J175" s="76" t="str">
        <x:v>SIP</x:v>
      </x:c>
    </x:row>
    <x:row r="176">
      <x:c r="A176" s="50" t="str">
        <x:v>019fdc53-b772-7ce3-a51c-ce5799767cc9</x:v>
      </x:c>
      <x:c r="B176" s="50" t="str">
        <x:v>VRTX</x:v>
      </x:c>
      <x:c r="C176" s="70" t="n">
        <x:v>46241.545159837966</x:v>
      </x:c>
      <x:c r="D176" s="50" t="str">
        <x:v>ENTRY_OPPORTUNITY_PROGRESS</x:v>
      </x:c>
      <x:c r="E176" s="50" t="str">
        <x:v>VRTX ENTRY IN_ZONE [####------]</x:v>
      </x:c>
      <x:c r="F176" s="50" t="str">
        <x:v>WATCH</x:v>
      </x:c>
      <x:c r="G176" s="50"/>
      <x:c r="H176" s="50" t="str">
        <x:v>LONG</x:v>
      </x:c>
      <x:c r="I176" s="71" t="n">
        <x:v>483.73</x:v>
      </x:c>
      <x:c r="J176" s="76" t="str">
        <x:v>SIP</x:v>
      </x:c>
    </x:row>
    <x:row r="177">
      <x:c r="A177" s="50" t="str">
        <x:v>019fdc54-a03b-7e6d-8802-c36c1a9fc3f2</x:v>
      </x:c>
      <x:c r="B177" s="50" t="str">
        <x:v>OXY</x:v>
      </x:c>
      <x:c r="C177" s="70" t="n">
        <x:v>46241.54584957176</x:v>
      </x:c>
      <x:c r="D177" s="50" t="str">
        <x:v>LONG_BUY_ZONE</x:v>
      </x:c>
      <x:c r="E177" s="50" t="str">
        <x:v>OXY LONG BUY ZONE</x:v>
      </x:c>
      <x:c r="F177" s="50" t="str">
        <x:v>WATCH</x:v>
      </x:c>
      <x:c r="G177" s="50"/>
      <x:c r="H177" s="50" t="str">
        <x:v>LONG</x:v>
      </x:c>
      <x:c r="I177" s="71" t="n">
        <x:v>55.4894</x:v>
      </x:c>
      <x:c r="J177" s="76" t="str">
        <x:v>SIP</x:v>
      </x:c>
    </x:row>
    <x:row r="178">
      <x:c r="A178" s="50" t="str">
        <x:v>019fdc57-5eef-745b-9cdb-748a0b34d3a8</x:v>
      </x:c>
      <x:c r="B178" s="50" t="str">
        <x:v>MRK</x:v>
      </x:c>
      <x:c r="C178" s="70" t="n">
        <x:v>46241.54793165509</x:v>
      </x:c>
      <x:c r="D178" s="50" t="str">
        <x:v>LONG_BUY_ZONE</x:v>
      </x:c>
      <x:c r="E178" s="50" t="str">
        <x:v>MRK LONG BUY ZONE</x:v>
      </x:c>
      <x:c r="F178" s="50" t="str">
        <x:v>WATCH</x:v>
      </x:c>
      <x:c r="G178" s="50"/>
      <x:c r="H178" s="50" t="str">
        <x:v>LONG</x:v>
      </x:c>
      <x:c r="I178" s="71" t="n">
        <x:v>128.02</x:v>
      </x:c>
      <x:c r="J178" s="76" t="str">
        <x:v>SIP</x:v>
      </x:c>
    </x:row>
    <x:row r="179">
      <x:c r="A179" s="50" t="str">
        <x:v>019fdc57-5f6b-787d-9aa6-8b9e0a0e3391</x:v>
      </x:c>
      <x:c r="B179" s="50" t="str">
        <x:v>KO</x:v>
      </x:c>
      <x:c r="C179" s="70" t="n">
        <x:v>46241.547933078706</x:v>
      </x:c>
      <x:c r="D179" s="50" t="str">
        <x:v>LONG_BUY_ZONE</x:v>
      </x:c>
      <x:c r="E179" s="50" t="str">
        <x:v>KO LONG BUY ZONE</x:v>
      </x:c>
      <x:c r="F179" s="50" t="str">
        <x:v>WATCH</x:v>
      </x:c>
      <x:c r="G179" s="50"/>
      <x:c r="H179" s="50" t="str">
        <x:v>LONG</x:v>
      </x:c>
      <x:c r="I179" s="71" t="n">
        <x:v>86.3664</x:v>
      </x:c>
      <x:c r="J179" s="76" t="str">
        <x:v>SIP</x:v>
      </x:c>
    </x:row>
    <x:row r="180">
      <x:c r="A180" s="50" t="str">
        <x:v>019fdc59-34dd-7ece-b3ea-7e19237fc478</x:v>
      </x:c>
      <x:c r="B180" s="50" t="str">
        <x:v>SBUX</x:v>
      </x:c>
      <x:c r="C180" s="70" t="n">
        <x:v>46241.549324039355</x:v>
      </x:c>
      <x:c r="D180" s="50" t="str">
        <x:v>LONG_BUY_ZONE</x:v>
      </x:c>
      <x:c r="E180" s="50" t="str">
        <x:v>SBUX LONG BUY ZONE</x:v>
      </x:c>
      <x:c r="F180" s="50" t="str">
        <x:v>WATCH</x:v>
      </x:c>
      <x:c r="G180" s="50"/>
      <x:c r="H180" s="50" t="str">
        <x:v>LONG</x:v>
      </x:c>
      <x:c r="I180" s="71" t="n">
        <x:v>105</x:v>
      </x:c>
      <x:c r="J180" s="76" t="str">
        <x:v>SIP</x:v>
      </x:c>
    </x:row>
    <x:row r="181">
      <x:c r="A181" s="50" t="str">
        <x:v>019fdc5d-c7d7-7195-be49-c55fde95b54d</x:v>
      </x:c>
      <x:c r="B181" s="50" t="str">
        <x:v>AMZN</x:v>
      </x:c>
      <x:c r="C181" s="70" t="n">
        <x:v>46241.552793599534</x:v>
      </x:c>
      <x:c r="D181" s="50" t="str">
        <x:v>SWING_SETUP</x:v>
      </x:c>
      <x:c r="E181" s="50" t="str">
        <x:v>AMZN SWING SETUP</x:v>
      </x:c>
      <x:c r="F181" s="50" t="str">
        <x:v>WATCH</x:v>
      </x:c>
      <x:c r="G181" s="50"/>
      <x:c r="H181" s="50" t="str">
        <x:v>LONG</x:v>
      </x:c>
      <x:c r="I181" s="71" t="n">
        <x:v>274.5</x:v>
      </x:c>
      <x:c r="J181" s="76" t="str">
        <x:v>SIP</x:v>
      </x:c>
    </x:row>
    <x:row r="182">
      <x:c r="A182" s="50" t="str">
        <x:v>019fdc5d-c8fa-71a7-af21-4bd7a8039cd7</x:v>
      </x:c>
      <x:c r="B182" s="50" t="str">
        <x:v>SNOW</x:v>
      </x:c>
      <x:c r="C182" s="70" t="n">
        <x:v>46241.55279696759</x:v>
      </x:c>
      <x:c r="D182" s="50" t="str">
        <x:v>SWING_SETUP</x:v>
      </x:c>
      <x:c r="E182" s="50" t="str">
        <x:v>SNOW SWING SETUP</x:v>
      </x:c>
      <x:c r="F182" s="50" t="str">
        <x:v>WATCH</x:v>
      </x:c>
      <x:c r="G182" s="50"/>
      <x:c r="H182" s="50" t="str">
        <x:v>LONG</x:v>
      </x:c>
      <x:c r="I182" s="71" t="n">
        <x:v>325</x:v>
      </x:c>
      <x:c r="J182" s="76" t="str">
        <x:v>SIP</x:v>
      </x:c>
    </x:row>
    <x:row r="183">
      <x:c r="A183" s="50" t="str">
        <x:v>019fdc5d-c91c-755f-81eb-0c318a9d98c8</x:v>
      </x:c>
      <x:c r="B183" s="50" t="str">
        <x:v>ABNB</x:v>
      </x:c>
      <x:c r="C183" s="70" t="n">
        <x:v>46241.55279736111</x:v>
      </x:c>
      <x:c r="D183" s="50" t="str">
        <x:v>SWING_SETUP</x:v>
      </x:c>
      <x:c r="E183" s="50" t="str">
        <x:v>ABNB SWING SETUP</x:v>
      </x:c>
      <x:c r="F183" s="50" t="str">
        <x:v>WATCH</x:v>
      </x:c>
      <x:c r="G183" s="50"/>
      <x:c r="H183" s="50" t="str">
        <x:v>LONG</x:v>
      </x:c>
      <x:c r="I183" s="71" t="n">
        <x:v>162</x:v>
      </x:c>
      <x:c r="J183" s="76" t="str">
        <x:v>SIP</x:v>
      </x:c>
    </x:row>
    <x:row r="184">
      <x:c r="A184" s="50" t="str">
        <x:v>019fdc5d-c944-7af4-b2fd-e3398d5e1d74</x:v>
      </x:c>
      <x:c r="B184" s="50" t="str">
        <x:v>PFE</x:v>
      </x:c>
      <x:c r="C184" s="70" t="n">
        <x:v>46241.55279782407</x:v>
      </x:c>
      <x:c r="D184" s="50" t="str">
        <x:v>SWING_SETUP</x:v>
      </x:c>
      <x:c r="E184" s="50" t="str">
        <x:v>PFE SWING SETUP</x:v>
      </x:c>
      <x:c r="F184" s="50" t="str">
        <x:v>WATCH</x:v>
      </x:c>
      <x:c r="G184" s="50"/>
      <x:c r="H184" s="50" t="str">
        <x:v>LONG</x:v>
      </x:c>
      <x:c r="I184" s="71" t="n">
        <x:v>26.13</x:v>
      </x:c>
      <x:c r="J184" s="76" t="str">
        <x:v>SIP</x:v>
      </x:c>
    </x:row>
    <x:row r="185">
      <x:c r="A185" s="50" t="str">
        <x:v>019fdc5d-c99e-705c-9ad1-c007a26bc821</x:v>
      </x:c>
      <x:c r="B185" s="50" t="str">
        <x:v>BAC</x:v>
      </x:c>
      <x:c r="C185" s="70" t="n">
        <x:v>46241.55279886574</x:v>
      </x:c>
      <x:c r="D185" s="50" t="str">
        <x:v>SWING_SETUP</x:v>
      </x:c>
      <x:c r="E185" s="50" t="str">
        <x:v>BAC SWING SETUP</x:v>
      </x:c>
      <x:c r="F185" s="50" t="str">
        <x:v>WATCH</x:v>
      </x:c>
      <x:c r="G185" s="50"/>
      <x:c r="H185" s="50" t="str">
        <x:v>LONG</x:v>
      </x:c>
      <x:c r="I185" s="71" t="n">
        <x:v>62.87</x:v>
      </x:c>
      <x:c r="J185" s="76" t="str">
        <x:v>SIP</x:v>
      </x:c>
    </x:row>
    <x:row r="186">
      <x:c r="A186" s="50" t="str">
        <x:v>019fdc5f-9e1c-7012-a116-29c12e663f5e</x:v>
      </x:c>
      <x:c r="B186" s="50" t="str">
        <x:v>TTWO</x:v>
      </x:c>
      <x:c r="C186" s="70" t="n">
        <x:v>46241.55418699074</x:v>
      </x:c>
      <x:c r="D186" s="50" t="str">
        <x:v>ENTRY_WATCH</x:v>
      </x:c>
      <x:c r="E186" s="50" t="str">
        <x:v>TTWO ENTRY BREAKAWAY WATCH</x:v>
      </x:c>
      <x:c r="F186" s="50" t="str">
        <x:v>WATCH</x:v>
      </x:c>
      <x:c r="G186" s="50"/>
      <x:c r="H186" s="50" t="str">
        <x:v>LONG</x:v>
      </x:c>
      <x:c r="I186" s="71" t="n">
        <x:v>236.73</x:v>
      </x:c>
      <x:c r="J186" s="76" t="str">
        <x:v>SIP</x:v>
      </x:c>
    </x:row>
    <x:row r="187">
      <x:c r="A187" s="50" t="str">
        <x:v>019fdc5f-9e3e-730a-9795-f440d0d8e35d</x:v>
      </x:c>
      <x:c r="B187" s="50" t="str">
        <x:v>GS</x:v>
      </x:c>
      <x:c r="C187" s="70" t="n">
        <x:v>46241.55418738426</x:v>
      </x:c>
      <x:c r="D187" s="50" t="str">
        <x:v>LONG_BUY_ZONE</x:v>
      </x:c>
      <x:c r="E187" s="50" t="str">
        <x:v>GS LONG BUY ZONE</x:v>
      </x:c>
      <x:c r="F187" s="50" t="str">
        <x:v>WATCH</x:v>
      </x:c>
      <x:c r="G187" s="50"/>
      <x:c r="H187" s="50" t="str">
        <x:v>LONG</x:v>
      </x:c>
      <x:c r="I187" s="71" t="n">
        <x:v>1042.25</x:v>
      </x:c>
      <x:c r="J187" s="76" t="str">
        <x:v>SIP</x:v>
      </x:c>
    </x:row>
    <x:row r="188">
      <x:c r="A188" s="50" t="str">
        <x:v>019fdc60-86ed-7744-be79-8ff40e64128a</x:v>
      </x:c>
      <x:c r="B188" s="50" t="str">
        <x:v>INTU</x:v>
      </x:c>
      <x:c r="C188" s="70" t="n">
        <x:v>46241.55487681713</x:v>
      </x:c>
      <x:c r="D188" s="50" t="str">
        <x:v>SWING_SETUP</x:v>
      </x:c>
      <x:c r="E188" s="50" t="str">
        <x:v>INTU SWING SETUP</x:v>
      </x:c>
      <x:c r="F188" s="50" t="str">
        <x:v>WATCH</x:v>
      </x:c>
      <x:c r="G188" s="50"/>
      <x:c r="H188" s="50" t="str">
        <x:v>LONG</x:v>
      </x:c>
      <x:c r="I188" s="71" t="n">
        <x:v>328</x:v>
      </x:c>
      <x:c r="J188" s="76" t="str">
        <x:v>SIP</x:v>
      </x:c>
    </x:row>
    <x:row r="189">
      <x:c r="A189" s="50" t="str">
        <x:v>019fdc60-86f8-7995-b84a-ff4911e465f6</x:v>
      </x:c>
      <x:c r="B189" s="50" t="str">
        <x:v>ETN</x:v>
      </x:c>
      <x:c r="C189" s="70" t="n">
        <x:v>46241.55487694444</x:v>
      </x:c>
      <x:c r="D189" s="50" t="str">
        <x:v>SWING_SETUP</x:v>
      </x:c>
      <x:c r="E189" s="50" t="str">
        <x:v>ETN SWING SETUP</x:v>
      </x:c>
      <x:c r="F189" s="50" t="str">
        <x:v>WATCH</x:v>
      </x:c>
      <x:c r="G189" s="50"/>
      <x:c r="H189" s="50" t="str">
        <x:v>LONG</x:v>
      </x:c>
      <x:c r="I189" s="71" t="n">
        <x:v>455.85</x:v>
      </x:c>
      <x:c r="J189" s="76" t="str">
        <x:v>SIP</x:v>
      </x:c>
    </x:row>
    <x:row r="190">
      <x:c r="A190" s="50" t="str">
        <x:v>019fdc60-878f-7e4b-befb-e956bde944fe</x:v>
      </x:c>
      <x:c r="B190" s="50" t="str">
        <x:v>TTWO</x:v>
      </x:c>
      <x:c r="C190" s="70" t="n">
        <x:v>46241.55487868055</x:v>
      </x:c>
      <x:c r="D190" s="50" t="str">
        <x:v>ENTRY_WATCH</x:v>
      </x:c>
      <x:c r="E190" s="50" t="str">
        <x:v>TTWO ENTRY IN_ZONE EARLY WATCH</x:v>
      </x:c>
      <x:c r="F190" s="50" t="str">
        <x:v>WATCH</x:v>
      </x:c>
      <x:c r="G190" s="50"/>
      <x:c r="H190" s="50" t="str">
        <x:v>LONG</x:v>
      </x:c>
      <x:c r="I190" s="71" t="n">
        <x:v>236</x:v>
      </x:c>
      <x:c r="J190" s="76" t="str">
        <x:v>SIP</x:v>
      </x:c>
    </x:row>
    <x:row r="191">
      <x:c r="A191" s="50" t="str">
        <x:v>019fdc60-87e4-7d1e-8399-710e9931786f</x:v>
      </x:c>
      <x:c r="B191" s="50" t="str">
        <x:v>VZ</x:v>
      </x:c>
      <x:c r="C191" s="70" t="n">
        <x:v>46241.55487966435</x:v>
      </x:c>
      <x:c r="D191" s="50" t="str">
        <x:v>LONG_BUY_ZONE</x:v>
      </x:c>
      <x:c r="E191" s="50" t="str">
        <x:v>VZ LONG BUY ZONE</x:v>
      </x:c>
      <x:c r="F191" s="50" t="str">
        <x:v>WATCH</x:v>
      </x:c>
      <x:c r="G191" s="50"/>
      <x:c r="H191" s="50" t="str">
        <x:v>LONG</x:v>
      </x:c>
      <x:c r="I191" s="71" t="n">
        <x:v>46.68</x:v>
      </x:c>
      <x:c r="J191" s="76" t="str">
        <x:v>SIP</x:v>
      </x:c>
    </x:row>
    <x:row r="192">
      <x:c r="A192" s="50" t="str">
        <x:v>019fdc61-716d-7089-9c6a-a852f2965ea6</x:v>
      </x:c>
      <x:c r="B192" s="50" t="str">
        <x:v>PYPL</x:v>
      </x:c>
      <x:c r="C192" s="70" t="n">
        <x:v>46241.55557163194</x:v>
      </x:c>
      <x:c r="D192" s="50" t="str">
        <x:v>SWING_SETUP</x:v>
      </x:c>
      <x:c r="E192" s="50" t="str">
        <x:v>PYPL SWING SETUP</x:v>
      </x:c>
      <x:c r="F192" s="50" t="str">
        <x:v>WATCH</x:v>
      </x:c>
      <x:c r="G192" s="50"/>
      <x:c r="H192" s="50" t="str">
        <x:v>LONG</x:v>
      </x:c>
      <x:c r="I192" s="71" t="n">
        <x:v>59.79</x:v>
      </x:c>
      <x:c r="J192" s="76" t="str">
        <x:v>SIP</x:v>
      </x:c>
    </x:row>
    <x:row r="193">
      <x:c r="A193" s="50" t="str">
        <x:v>019fdc61-71a4-7bb9-b4ff-c12b30dfb68d</x:v>
      </x:c>
      <x:c r="B193" s="50" t="str">
        <x:v>CELH</x:v>
      </x:c>
      <x:c r="C193" s="70" t="n">
        <x:v>46241.55557226852</x:v>
      </x:c>
      <x:c r="D193" s="50" t="str">
        <x:v>BEARISH_CONSENSUS</x:v>
      </x:c>
      <x:c r="E193" s="50" t="str">
        <x:v>CELH BEARISH CONSENSUS</x:v>
      </x:c>
      <x:c r="F193" s="50" t="str">
        <x:v>ACTION</x:v>
      </x:c>
      <x:c r="G193" s="50"/>
      <x:c r="H193" s="50" t="str">
        <x:v>SHORT</x:v>
      </x:c>
      <x:c r="I193" s="71" t="n">
        <x:v>23.9997</x:v>
      </x:c>
      <x:c r="J193" s="76" t="str">
        <x:v>SIP</x:v>
      </x:c>
    </x:row>
    <x:row r="194">
      <x:c r="A194" s="50" t="str">
        <x:v>019fdc61-729a-7cd0-871e-2a01f9866999</x:v>
      </x:c>
      <x:c r="B194" s="50" t="str">
        <x:v>CVX</x:v>
      </x:c>
      <x:c r="C194" s="70" t="n">
        <x:v>46241.55557510417</x:v>
      </x:c>
      <x:c r="D194" s="50" t="str">
        <x:v>LONG_BUY_ZONE</x:v>
      </x:c>
      <x:c r="E194" s="50" t="str">
        <x:v>CVX LONG BUY ZONE</x:v>
      </x:c>
      <x:c r="F194" s="50" t="str">
        <x:v>WATCH</x:v>
      </x:c>
      <x:c r="G194" s="50"/>
      <x:c r="H194" s="50" t="str">
        <x:v>LONG</x:v>
      </x:c>
      <x:c r="I194" s="71" t="n">
        <x:v>187.28</x:v>
      </x:c>
      <x:c r="J194" s="76" t="str">
        <x:v>SIP</x:v>
      </x:c>
    </x:row>
    <x:row r="195">
      <x:c r="A195" s="50" t="str">
        <x:v>019fdc62-5baa-7ec8-a988-29ebab4ede65</x:v>
      </x:c>
      <x:c r="B195" s="50" t="str">
        <x:v>TTWO</x:v>
      </x:c>
      <x:c r="C195" s="70" t="n">
        <x:v>46241.556265671294</x:v>
      </x:c>
      <x:c r="D195" s="50" t="str">
        <x:v>ENTRY_WATCH</x:v>
      </x:c>
      <x:c r="E195" s="50" t="str">
        <x:v>TTWO ENTRY BREAKAWAY WATCH</x:v>
      </x:c>
      <x:c r="F195" s="50" t="str">
        <x:v>WATCH</x:v>
      </x:c>
      <x:c r="G195" s="50"/>
      <x:c r="H195" s="50" t="str">
        <x:v>LONG</x:v>
      </x:c>
      <x:c r="I195" s="71" t="n">
        <x:v>236.92</x:v>
      </x:c>
      <x:c r="J195" s="76" t="str">
        <x:v>SIP</x:v>
      </x:c>
    </x:row>
    <x:row r="196">
      <x:c r="A196" s="50" t="str">
        <x:v>019fdc63-46c9-73a8-b80d-5c1c7dbd4379</x:v>
      </x:c>
      <x:c r="B196" s="50" t="str">
        <x:v>OXY</x:v>
      </x:c>
      <x:c r="C196" s="70" t="n">
        <x:v>46241.55696232639</x:v>
      </x:c>
      <x:c r="D196" s="50" t="str">
        <x:v>LONG_BUY_ZONE</x:v>
      </x:c>
      <x:c r="E196" s="50" t="str">
        <x:v>OXY LONG BUY ZONE</x:v>
      </x:c>
      <x:c r="F196" s="50" t="str">
        <x:v>WATCH</x:v>
      </x:c>
      <x:c r="G196" s="50"/>
      <x:c r="H196" s="50" t="str">
        <x:v>LONG</x:v>
      </x:c>
      <x:c r="I196" s="71" t="n">
        <x:v>55.5</x:v>
      </x:c>
      <x:c r="J196" s="76" t="str">
        <x:v>SIP</x:v>
      </x:c>
    </x:row>
    <x:row r="197">
      <x:c r="A197" s="50" t="str">
        <x:v>019fdc64-3272-7f7d-9ff1-2fc842c70cc4</x:v>
      </x:c>
      <x:c r="B197" s="50" t="str">
        <x:v>TTWO</x:v>
      </x:c>
      <x:c r="C197" s="70" t="n">
        <x:v>46241.55766057871</x:v>
      </x:c>
      <x:c r="D197" s="50" t="str">
        <x:v>ENTRY_WATCH</x:v>
      </x:c>
      <x:c r="E197" s="50" t="str">
        <x:v>TTWO ENTRY IN_ZONE EARLY WATCH</x:v>
      </x:c>
      <x:c r="F197" s="50" t="str">
        <x:v>WATCH</x:v>
      </x:c>
      <x:c r="G197" s="50"/>
      <x:c r="H197" s="50" t="str">
        <x:v>LONG</x:v>
      </x:c>
      <x:c r="I197" s="71" t="n">
        <x:v>235.89</x:v>
      </x:c>
      <x:c r="J197" s="76" t="str">
        <x:v>SIP</x:v>
      </x:c>
    </x:row>
    <x:row r="198">
      <x:c r="A198" s="50" t="str">
        <x:v>019fdc65-1be1-7ce7-9208-acd87161de9d</x:v>
      </x:c>
      <x:c r="B198" s="50" t="str">
        <x:v>KO</x:v>
      </x:c>
      <x:c r="C198" s="70" t="n">
        <x:v>46241.5583522338</x:v>
      </x:c>
      <x:c r="D198" s="50" t="str">
        <x:v>LONG_BUY_ZONE</x:v>
      </x:c>
      <x:c r="E198" s="50" t="str">
        <x:v>KO LONG BUY ZONE</x:v>
      </x:c>
      <x:c r="F198" s="50" t="str">
        <x:v>WATCH</x:v>
      </x:c>
      <x:c r="G198" s="50"/>
      <x:c r="H198" s="50" t="str">
        <x:v>LONG</x:v>
      </x:c>
      <x:c r="I198" s="71" t="n">
        <x:v>86.3673</x:v>
      </x:c>
      <x:c r="J198" s="76" t="str">
        <x:v>SIP</x:v>
      </x:c>
    </x:row>
    <x:row r="199">
      <x:c r="A199" s="50" t="str">
        <x:v>019fdc65-1d29-79c4-b349-4013dc3e9391</x:v>
      </x:c>
      <x:c r="B199" s="50" t="str">
        <x:v>KDP</x:v>
      </x:c>
      <x:c r="C199" s="70" t="n">
        <x:v>46241.558356030095</x:v>
      </x:c>
      <x:c r="D199" s="50" t="str">
        <x:v>LONG_BUY_ZONE</x:v>
      </x:c>
      <x:c r="E199" s="50" t="str">
        <x:v>KDP LONG BUY ZONE</x:v>
      </x:c>
      <x:c r="F199" s="50" t="str">
        <x:v>WATCH</x:v>
      </x:c>
      <x:c r="G199" s="50"/>
      <x:c r="H199" s="50" t="str">
        <x:v>LONG</x:v>
      </x:c>
      <x:c r="I199" s="71" t="n">
        <x:v>30.23</x:v>
      </x:c>
      <x:c r="J199" s="76" t="str">
        <x:v>SIP</x:v>
      </x:c>
    </x:row>
    <x:row r="200">
      <x:c r="A200" s="50" t="str">
        <x:v>019fdc66-f11a-73f8-9f4e-a71a718a0058</x:v>
      </x:c>
      <x:c r="B200" s="50" t="str">
        <x:v>MRK</x:v>
      </x:c>
      <x:c r="C200" s="70" t="n">
        <x:v>46241.559742523146</x:v>
      </x:c>
      <x:c r="D200" s="50" t="str">
        <x:v>LONG_BUY_ZONE</x:v>
      </x:c>
      <x:c r="E200" s="50" t="str">
        <x:v>MRK LONG BUY ZONE</x:v>
      </x:c>
      <x:c r="F200" s="50" t="str">
        <x:v>WATCH</x:v>
      </x:c>
      <x:c r="G200" s="50"/>
      <x:c r="H200" s="50" t="str">
        <x:v>LONG</x:v>
      </x:c>
      <x:c r="I200" s="71" t="n">
        <x:v>127.98</x:v>
      </x:c>
      <x:c r="J200" s="76" t="str">
        <x:v>SIP</x:v>
      </x:c>
    </x:row>
    <x:row r="201">
      <x:c r="A201" s="50" t="str">
        <x:v>019fdc66-f12f-75b5-9283-97c36a9b6574</x:v>
      </x:c>
      <x:c r="B201" s="50" t="str">
        <x:v>APA</x:v>
      </x:c>
      <x:c r="C201" s="70" t="n">
        <x:v>46241.55974276621</x:v>
      </x:c>
      <x:c r="D201" s="50" t="str">
        <x:v>LONG_BUY_ZONE</x:v>
      </x:c>
      <x:c r="E201" s="50" t="str">
        <x:v>APA LONG BUY ZONE</x:v>
      </x:c>
      <x:c r="F201" s="50" t="str">
        <x:v>WATCH</x:v>
      </x:c>
      <x:c r="G201" s="50"/>
      <x:c r="H201" s="50" t="str">
        <x:v>LONG</x:v>
      </x:c>
      <x:c r="I201" s="71" t="n">
        <x:v>36.11</x:v>
      </x:c>
      <x:c r="J201" s="76" t="str">
        <x:v>SIP</x:v>
      </x:c>
    </x:row>
    <x:row r="202">
      <x:c r="A202" s="50" t="str">
        <x:v>019fdc66-f156-7df5-8676-b5c6d620def6</x:v>
      </x:c>
      <x:c r="B202" s="50" t="str">
        <x:v>VRTX</x:v>
      </x:c>
      <x:c r="C202" s="70" t="n">
        <x:v>46241.55974321759</x:v>
      </x:c>
      <x:c r="D202" s="50" t="str">
        <x:v>LONG_BUY_ZONE</x:v>
      </x:c>
      <x:c r="E202" s="50" t="str">
        <x:v>VRTX LONG BUY ZONE</x:v>
      </x:c>
      <x:c r="F202" s="50" t="str">
        <x:v>WATCH</x:v>
      </x:c>
      <x:c r="G202" s="50"/>
      <x:c r="H202" s="50" t="str">
        <x:v>LONG</x:v>
      </x:c>
      <x:c r="I202" s="71" t="n">
        <x:v>483.5</x:v>
      </x:c>
      <x:c r="J202" s="76" t="str">
        <x:v>SIP</x:v>
      </x:c>
    </x:row>
    <x:row r="203">
      <x:c r="A203" s="50" t="str">
        <x:v>019fdc67-dc7a-769b-9b61-d03fa480c390</x:v>
      </x:c>
      <x:c r="B203" s="50" t="str">
        <x:v>SBUX</x:v>
      </x:c>
      <x:c r="C203" s="70" t="n">
        <x:v>46241.56043993055</x:v>
      </x:c>
      <x:c r="D203" s="50" t="str">
        <x:v>LONG_BUY_ZONE</x:v>
      </x:c>
      <x:c r="E203" s="50" t="str">
        <x:v>SBUX LONG BUY ZONE</x:v>
      </x:c>
      <x:c r="F203" s="50" t="str">
        <x:v>WATCH</x:v>
      </x:c>
      <x:c r="G203" s="50"/>
      <x:c r="H203" s="50" t="str">
        <x:v>LONG</x:v>
      </x:c>
      <x:c r="I203" s="71" t="n">
        <x:v>104.5</x:v>
      </x:c>
      <x:c r="J203" s="76" t="str">
        <x:v>SIP</x:v>
      </x:c>
    </x:row>
    <x:row r="204">
      <x:c r="A204" s="50" t="str">
        <x:v>019fdc69-af4f-79b4-8aeb-e1b178949817</x:v>
      </x:c>
      <x:c r="B204" s="50" t="str">
        <x:v>XOM</x:v>
      </x:c>
      <x:c r="C204" s="70" t="n">
        <x:v>46241.56182313657</x:v>
      </x:c>
      <x:c r="D204" s="50" t="str">
        <x:v>LONG_BUY_ZONE</x:v>
      </x:c>
      <x:c r="E204" s="50" t="str">
        <x:v>XOM LONG BUY ZONE</x:v>
      </x:c>
      <x:c r="F204" s="50" t="str">
        <x:v>WATCH</x:v>
      </x:c>
      <x:c r="G204" s="50"/>
      <x:c r="H204" s="50" t="str">
        <x:v>LONG</x:v>
      </x:c>
      <x:c r="I204" s="71" t="n">
        <x:v>152.4</x:v>
      </x:c>
      <x:c r="J204" s="76" t="str">
        <x:v>SIP</x:v>
      </x:c>
    </x:row>
    <x:row r="205">
      <x:c r="A205" s="50" t="str">
        <x:v>019fdc69-afa4-71b3-b483-cec36f3088df</x:v>
      </x:c>
      <x:c r="B205" s="50" t="str">
        <x:v>XOM</x:v>
      </x:c>
      <x:c r="C205" s="70" t="n">
        <x:v>46241.56182412037</x:v>
      </x:c>
      <x:c r="D205" s="50" t="str">
        <x:v>ENTRY_WATCH</x:v>
      </x:c>
      <x:c r="E205" s="50" t="str">
        <x:v>XOM ENTRY IN_ZONE EARLY WATCH</x:v>
      </x:c>
      <x:c r="F205" s="50" t="str">
        <x:v>WATCH</x:v>
      </x:c>
      <x:c r="G205" s="50"/>
      <x:c r="H205" s="50" t="str">
        <x:v>LONG</x:v>
      </x:c>
      <x:c r="I205" s="71" t="n">
        <x:v>152.4</x:v>
      </x:c>
      <x:c r="J205" s="76" t="str">
        <x:v>SIP</x:v>
      </x:c>
    </x:row>
    <x:row r="206">
      <x:c r="A206" s="50" t="str">
        <x:v>019fdc69-b082-7c20-ae61-7f827ca70096</x:v>
      </x:c>
      <x:c r="B206" s="50" t="str">
        <x:v>XOM</x:v>
      </x:c>
      <x:c r="C206" s="70" t="n">
        <x:v>46241.56182668982</x:v>
      </x:c>
      <x:c r="D206" s="50" t="str">
        <x:v>ENTRY_OPPORTUNITY_PROGRESS</x:v>
      </x:c>
      <x:c r="E206" s="50" t="str">
        <x:v>XOM ENTRY IN_ZONE [####------]</x:v>
      </x:c>
      <x:c r="F206" s="50" t="str">
        <x:v>WATCH</x:v>
      </x:c>
      <x:c r="G206" s="50"/>
      <x:c r="H206" s="50" t="str">
        <x:v>LONG</x:v>
      </x:c>
      <x:c r="I206" s="71" t="n">
        <x:v>152.4</x:v>
      </x:c>
      <x:c r="J206" s="76" t="str">
        <x:v>SIP</x:v>
      </x:c>
    </x:row>
    <x:row r="207">
      <x:c r="A207" s="50" t="str">
        <x:v>019fdc69-b20c-7a8c-add7-fc735813a2d2</x:v>
      </x:c>
      <x:c r="B207" s="50" t="str">
        <x:v>PM</x:v>
      </x:c>
      <x:c r="C207" s="70" t="n">
        <x:v>46241.56183125</x:v>
      </x:c>
      <x:c r="D207" s="50" t="str">
        <x:v>LONG_BUY_ZONE</x:v>
      </x:c>
      <x:c r="E207" s="50" t="str">
        <x:v>PM LONG BUY ZONE</x:v>
      </x:c>
      <x:c r="F207" s="50" t="str">
        <x:v>WATCH</x:v>
      </x:c>
      <x:c r="G207" s="50"/>
      <x:c r="H207" s="50" t="str">
        <x:v>LONG</x:v>
      </x:c>
      <x:c r="I207" s="71" t="n">
        <x:v>187.21</x:v>
      </x:c>
      <x:c r="J207" s="76" t="str">
        <x:v>SIP</x:v>
      </x:c>
    </x:row>
    <x:row r="208">
      <x:c r="A208" s="50" t="str">
        <x:v>019fdc6a-99e0-7629-8bf5-0a345d0bda53</x:v>
      </x:c>
      <x:c r="B208" s="50" t="str">
        <x:v>JNJ</x:v>
      </x:c>
      <x:c r="C208" s="70" t="n">
        <x:v>46241.562518148145</x:v>
      </x:c>
      <x:c r="D208" s="50" t="str">
        <x:v>LONG_BUY_ZONE</x:v>
      </x:c>
      <x:c r="E208" s="50" t="str">
        <x:v>JNJ LONG BUY ZONE</x:v>
      </x:c>
      <x:c r="F208" s="50" t="str">
        <x:v>WATCH</x:v>
      </x:c>
      <x:c r="G208" s="50"/>
      <x:c r="H208" s="50" t="str">
        <x:v>LONG</x:v>
      </x:c>
      <x:c r="I208" s="71" t="n">
        <x:v>255.5</x:v>
      </x:c>
      <x:c r="J208" s="76" t="str">
        <x:v>SIP</x:v>
      </x:c>
    </x:row>
    <x:row r="209">
      <x:c r="A209" s="50" t="str">
        <x:v>019fdc6a-9a32-7ef3-b65e-ea5f8da61e04</x:v>
      </x:c>
      <x:c r="B209" s="50" t="str">
        <x:v>ABBV</x:v>
      </x:c>
      <x:c r="C209" s="70" t="n">
        <x:v>46241.56251909722</x:v>
      </x:c>
      <x:c r="D209" s="50" t="str">
        <x:v>LONG_BUY_ZONE</x:v>
      </x:c>
      <x:c r="E209" s="50" t="str">
        <x:v>ABBV LONG BUY ZONE</x:v>
      </x:c>
      <x:c r="F209" s="50" t="str">
        <x:v>WATCH</x:v>
      </x:c>
      <x:c r="G209" s="50"/>
      <x:c r="H209" s="50" t="str">
        <x:v>LONG</x:v>
      </x:c>
      <x:c r="I209" s="71" t="n">
        <x:v>243.24</x:v>
      </x:c>
      <x:c r="J209" s="76" t="str">
        <x:v>SIP</x:v>
      </x:c>
    </x:row>
    <x:row r="210">
      <x:c r="A210" s="50" t="str">
        <x:v>019fdc6b-835e-760d-bf68-43e0147b7eb6</x:v>
      </x:c>
      <x:c r="B210" s="50" t="str">
        <x:v>ETHA</x:v>
      </x:c>
      <x:c r="C210" s="70" t="n">
        <x:v>46241.563209976855</x:v>
      </x:c>
      <x:c r="D210" s="50" t="str">
        <x:v>SWING_SETUP</x:v>
      </x:c>
      <x:c r="E210" s="50" t="str">
        <x:v>ETHA SWING SETUP</x:v>
      </x:c>
      <x:c r="F210" s="50" t="str">
        <x:v>WATCH</x:v>
      </x:c>
      <x:c r="G210" s="50"/>
      <x:c r="H210" s="50" t="str">
        <x:v>LONG</x:v>
      </x:c>
      <x:c r="I210" s="71" t="n">
        <x:v>14.55</x:v>
      </x:c>
      <x:c r="J210" s="76" t="str">
        <x:v>SIP</x:v>
      </x:c>
    </x:row>
    <x:row r="211">
      <x:c r="A211" s="50" t="str">
        <x:v>019fdc6b-840c-7818-962e-f68fb1497664</x:v>
      </x:c>
      <x:c r="B211" s="50" t="str">
        <x:v>OXY</x:v>
      </x:c>
      <x:c r="C211" s="70" t="n">
        <x:v>46241.56321199074</x:v>
      </x:c>
      <x:c r="D211" s="50" t="str">
        <x:v>SWING_SETUP</x:v>
      </x:c>
      <x:c r="E211" s="50" t="str">
        <x:v>OXY SWING SETUP</x:v>
      </x:c>
      <x:c r="F211" s="50" t="str">
        <x:v>WATCH</x:v>
      </x:c>
      <x:c r="G211" s="50"/>
      <x:c r="H211" s="50" t="str">
        <x:v>LONG</x:v>
      </x:c>
      <x:c r="I211" s="71" t="n">
        <x:v>55.89</x:v>
      </x:c>
      <x:c r="J211" s="76" t="str">
        <x:v>SIP</x:v>
      </x:c>
    </x:row>
    <x:row r="212">
      <x:c r="A212" s="50" t="str">
        <x:v>019fdc6b-8459-79f1-bf2b-8548ccc735cb</x:v>
      </x:c>
      <x:c r="B212" s="50" t="str">
        <x:v>NVDA</x:v>
      </x:c>
      <x:c r="C212" s="70" t="n">
        <x:v>46241.56321288194</x:v>
      </x:c>
      <x:c r="D212" s="50" t="str">
        <x:v>SWING_SETUP</x:v>
      </x:c>
      <x:c r="E212" s="50" t="str">
        <x:v>NVDA SWING SETUP</x:v>
      </x:c>
      <x:c r="F212" s="50" t="str">
        <x:v>WATCH</x:v>
      </x:c>
      <x:c r="G212" s="50"/>
      <x:c r="H212" s="50" t="str">
        <x:v>LONG</x:v>
      </x:c>
      <x:c r="I212" s="71" t="n">
        <x:v>221.6</x:v>
      </x:c>
      <x:c r="J212" s="76" t="str">
        <x:v>SIP</x:v>
      </x:c>
    </x:row>
    <x:row r="213">
      <x:c r="A213" s="50" t="str">
        <x:v>019fdc6b-84aa-7331-ae39-9f2b3627eabe</x:v>
      </x:c>
      <x:c r="B213" s="50" t="str">
        <x:v>MA</x:v>
      </x:c>
      <x:c r="C213" s="70" t="n">
        <x:v>46241.56321381944</x:v>
      </x:c>
      <x:c r="D213" s="50" t="str">
        <x:v>SWING_SETUP</x:v>
      </x:c>
      <x:c r="E213" s="50" t="str">
        <x:v>MA SWING SETUP</x:v>
      </x:c>
      <x:c r="F213" s="50" t="str">
        <x:v>WATCH</x:v>
      </x:c>
      <x:c r="G213" s="50"/>
      <x:c r="H213" s="50" t="str">
        <x:v>LONG</x:v>
      </x:c>
      <x:c r="I213" s="71" t="n">
        <x:v>573.86</x:v>
      </x:c>
      <x:c r="J213" s="76" t="str">
        <x:v>SIP</x:v>
      </x:c>
    </x:row>
    <x:row r="214">
      <x:c r="A214" s="50" t="str">
        <x:v>019fdc6b-84d7-7189-9b94-8b583310ef03</x:v>
      </x:c>
      <x:c r="B214" s="50" t="str">
        <x:v>SNOW</x:v>
      </x:c>
      <x:c r="C214" s="70" t="n">
        <x:v>46241.563214340276</x:v>
      </x:c>
      <x:c r="D214" s="50" t="str">
        <x:v>SWING_SETUP</x:v>
      </x:c>
      <x:c r="E214" s="50" t="str">
        <x:v>SNOW SWING SETUP</x:v>
      </x:c>
      <x:c r="F214" s="50" t="str">
        <x:v>WATCH</x:v>
      </x:c>
      <x:c r="G214" s="50"/>
      <x:c r="H214" s="50" t="str">
        <x:v>LONG</x:v>
      </x:c>
      <x:c r="I214" s="71" t="n">
        <x:v>325.2</x:v>
      </x:c>
      <x:c r="J214" s="76" t="str">
        <x:v>SIP</x:v>
      </x:c>
    </x:row>
    <x:row r="215">
      <x:c r="A215" s="50" t="str">
        <x:v>019fdc6b-8559-7b4d-b8f4-e36ffd6512e8</x:v>
      </x:c>
      <x:c r="B215" s="50" t="str">
        <x:v>BAC</x:v>
      </x:c>
      <x:c r="C215" s="70" t="n">
        <x:v>46241.56321584491</x:v>
      </x:c>
      <x:c r="D215" s="50" t="str">
        <x:v>SWING_SETUP</x:v>
      </x:c>
      <x:c r="E215" s="50" t="str">
        <x:v>BAC SWING SETUP</x:v>
      </x:c>
      <x:c r="F215" s="50" t="str">
        <x:v>WATCH</x:v>
      </x:c>
      <x:c r="G215" s="50"/>
      <x:c r="H215" s="50" t="str">
        <x:v>LONG</x:v>
      </x:c>
      <x:c r="I215" s="71" t="n">
        <x:v>62.75</x:v>
      </x:c>
      <x:c r="J215" s="76" t="str">
        <x:v>SIP</x:v>
      </x:c>
    </x:row>
    <x:row r="216">
      <x:c r="A216" s="50" t="str">
        <x:v>019fdc6b-858a-70e8-98b4-0dc609f830e0</x:v>
      </x:c>
      <x:c r="B216" s="50" t="str">
        <x:v>ABNB</x:v>
      </x:c>
      <x:c r="C216" s="70" t="n">
        <x:v>46241.56321641204</x:v>
      </x:c>
      <x:c r="D216" s="50" t="str">
        <x:v>SWING_SETUP</x:v>
      </x:c>
      <x:c r="E216" s="50" t="str">
        <x:v>ABNB SWING SETUP</x:v>
      </x:c>
      <x:c r="F216" s="50" t="str">
        <x:v>WATCH</x:v>
      </x:c>
      <x:c r="G216" s="50"/>
      <x:c r="H216" s="50" t="str">
        <x:v>LONG</x:v>
      </x:c>
      <x:c r="I216" s="71" t="n">
        <x:v>164.5</x:v>
      </x:c>
      <x:c r="J216" s="76" t="str">
        <x:v>SIP</x:v>
      </x:c>
    </x:row>
    <x:row r="217">
      <x:c r="A217" s="50" t="str">
        <x:v>019fdc6b-859b-7444-94ab-488762196fec</x:v>
      </x:c>
      <x:c r="B217" s="50" t="str">
        <x:v>PFE</x:v>
      </x:c>
      <x:c r="C217" s="70" t="n">
        <x:v>46241.563216608796</x:v>
      </x:c>
      <x:c r="D217" s="50" t="str">
        <x:v>SWING_SETUP</x:v>
      </x:c>
      <x:c r="E217" s="50" t="str">
        <x:v>PFE SWING SETUP</x:v>
      </x:c>
      <x:c r="F217" s="50" t="str">
        <x:v>WATCH</x:v>
      </x:c>
      <x:c r="G217" s="50"/>
      <x:c r="H217" s="50" t="str">
        <x:v>LONG</x:v>
      </x:c>
      <x:c r="I217" s="71" t="n">
        <x:v>26.2019</x:v>
      </x:c>
      <x:c r="J217" s="76" t="str">
        <x:v>SIP</x:v>
      </x:c>
    </x:row>
    <x:row r="218">
      <x:c r="A218" s="50" t="str">
        <x:v>019fdc6b-85dd-7701-9494-3f3e1ea3cbdd</x:v>
      </x:c>
      <x:c r="B218" s="50" t="str">
        <x:v>BMY</x:v>
      </x:c>
      <x:c r="C218" s="70" t="n">
        <x:v>46241.563217372684</x:v>
      </x:c>
      <x:c r="D218" s="50" t="str">
        <x:v>SWING_SETUP</x:v>
      </x:c>
      <x:c r="E218" s="50" t="str">
        <x:v>BMY SWING SETUP</x:v>
      </x:c>
      <x:c r="F218" s="50" t="str">
        <x:v>WATCH</x:v>
      </x:c>
      <x:c r="G218" s="50"/>
      <x:c r="H218" s="50" t="str">
        <x:v>LONG</x:v>
      </x:c>
      <x:c r="I218" s="71" t="n">
        <x:v>64.29</x:v>
      </x:c>
      <x:c r="J218" s="76" t="str">
        <x:v>SIP</x:v>
      </x:c>
    </x:row>
    <x:row r="219">
      <x:c r="A219" s="50" t="str">
        <x:v>019fdc6b-8629-7e42-86d6-e78d011ead82</x:v>
      </x:c>
      <x:c r="B219" s="50" t="str">
        <x:v>TTWO</x:v>
      </x:c>
      <x:c r="C219" s="70" t="n">
        <x:v>46241.56321825231</x:v>
      </x:c>
      <x:c r="D219" s="50" t="str">
        <x:v>ENTRY_WATCH</x:v>
      </x:c>
      <x:c r="E219" s="50" t="str">
        <x:v>TTWO ENTRY BREAKAWAY WATCH</x:v>
      </x:c>
      <x:c r="F219" s="50" t="str">
        <x:v>WATCH</x:v>
      </x:c>
      <x:c r="G219" s="50"/>
      <x:c r="H219" s="50" t="str">
        <x:v>LONG</x:v>
      </x:c>
      <x:c r="I219" s="71" t="n">
        <x:v>237.31</x:v>
      </x:c>
      <x:c r="J219" s="76" t="str">
        <x:v>SIP</x:v>
      </x:c>
    </x:row>
    <x:row r="220">
      <x:c r="A220" s="50" t="str">
        <x:v>019fdc6b-8658-778f-abae-50b2904b5e49</x:v>
      </x:c>
      <x:c r="B220" s="50" t="str">
        <x:v>JPM</x:v>
      </x:c>
      <x:c r="C220" s="70" t="n">
        <x:v>46241.5632187963</x:v>
      </x:c>
      <x:c r="D220" s="50" t="str">
        <x:v>SWING_SETUP</x:v>
      </x:c>
      <x:c r="E220" s="50" t="str">
        <x:v>JPM SWING SETUP</x:v>
      </x:c>
      <x:c r="F220" s="50" t="str">
        <x:v>WATCH</x:v>
      </x:c>
      <x:c r="G220" s="50"/>
      <x:c r="H220" s="50" t="str">
        <x:v>LONG</x:v>
      </x:c>
      <x:c r="I220" s="71" t="n">
        <x:v>356.34</x:v>
      </x:c>
      <x:c r="J220" s="76" t="str">
        <x:v>SIP</x:v>
      </x:c>
    </x:row>
    <x:row r="221">
      <x:c r="A221" s="50" t="str">
        <x:v>019fdc6b-8674-7080-a074-1043a3ce1534</x:v>
      </x:c>
      <x:c r="B221" s="50" t="str">
        <x:v>GRAB</x:v>
      </x:c>
      <x:c r="C221" s="70" t="n">
        <x:v>46241.56321910879</x:v>
      </x:c>
      <x:c r="D221" s="50" t="str">
        <x:v>SWING_SETUP</x:v>
      </x:c>
      <x:c r="E221" s="50" t="str">
        <x:v>GRAB SWING SETUP</x:v>
      </x:c>
      <x:c r="F221" s="50" t="str">
        <x:v>WATCH</x:v>
      </x:c>
      <x:c r="G221" s="50"/>
      <x:c r="H221" s="50" t="str">
        <x:v>LONG</x:v>
      </x:c>
      <x:c r="I221" s="71" t="n">
        <x:v>3.69</x:v>
      </x:c>
      <x:c r="J221" s="76" t="str">
        <x:v>SIP</x:v>
      </x:c>
    </x:row>
    <x:row r="222">
      <x:c r="A222" s="50" t="str">
        <x:v>019fdc6b-8732-7cd9-9baa-568890115558</x:v>
      </x:c>
      <x:c r="B222" s="50" t="str">
        <x:v>TMDX</x:v>
      </x:c>
      <x:c r="C222" s="70" t="n">
        <x:v>46241.56322131945</x:v>
      </x:c>
      <x:c r="D222" s="50" t="str">
        <x:v>SWING_SETUP</x:v>
      </x:c>
      <x:c r="E222" s="50" t="str">
        <x:v>TMDX SWING SETUP</x:v>
      </x:c>
      <x:c r="F222" s="50" t="str">
        <x:v>WATCH</x:v>
      </x:c>
      <x:c r="G222" s="50"/>
      <x:c r="H222" s="50" t="str">
        <x:v>LONG</x:v>
      </x:c>
      <x:c r="I222" s="71" t="n">
        <x:v>80</x:v>
      </x:c>
      <x:c r="J222" s="76" t="str">
        <x:v>SIP</x:v>
      </x:c>
    </x:row>
    <x:row r="223">
      <x:c r="A223" s="50" t="str">
        <x:v>019fdc6b-8774-7f92-a33f-152ddbe65d9e</x:v>
      </x:c>
      <x:c r="B223" s="50" t="str">
        <x:v>XOM</x:v>
      </x:c>
      <x:c r="C223" s="70" t="n">
        <x:v>46241.563222083336</x:v>
      </x:c>
      <x:c r="D223" s="50" t="str">
        <x:v>ENTRY_WATCH</x:v>
      </x:c>
      <x:c r="E223" s="50" t="str">
        <x:v>XOM ENTRY BREAKAWAY WATCH</x:v>
      </x:c>
      <x:c r="F223" s="50" t="str">
        <x:v>WATCH</x:v>
      </x:c>
      <x:c r="G223" s="50"/>
      <x:c r="H223" s="50" t="str">
        <x:v>LONG</x:v>
      </x:c>
      <x:c r="I223" s="71" t="n">
        <x:v>152.47</x:v>
      </x:c>
      <x:c r="J223" s="76" t="str">
        <x:v>SIP</x:v>
      </x:c>
    </x:row>
    <x:row r="224">
      <x:c r="A224" s="50" t="str">
        <x:v>019fdc6b-87a2-7c23-8724-0576ee54b734</x:v>
      </x:c>
      <x:c r="B224" s="50" t="str">
        <x:v>MRK</x:v>
      </x:c>
      <x:c r="C224" s="70" t="n">
        <x:v>46241.56322261574</x:v>
      </x:c>
      <x:c r="D224" s="50" t="str">
        <x:v>ENTRY_WATCH</x:v>
      </x:c>
      <x:c r="E224" s="50" t="str">
        <x:v>MRK ENTRY IN_ZONE EARLY WATCH</x:v>
      </x:c>
      <x:c r="F224" s="50" t="str">
        <x:v>WATCH</x:v>
      </x:c>
      <x:c r="G224" s="50"/>
      <x:c r="H224" s="50" t="str">
        <x:v>LONG</x:v>
      </x:c>
      <x:c r="I224" s="71" t="n">
        <x:v>127.36</x:v>
      </x:c>
      <x:c r="J224" s="76" t="str">
        <x:v>SIP</x:v>
      </x:c>
    </x:row>
    <x:row r="225">
      <x:c r="A225" s="50" t="str">
        <x:v>019fdc6b-87d6-7c6e-98e4-207862095955</x:v>
      </x:c>
      <x:c r="B225" s="50" t="str">
        <x:v>BKNG</x:v>
      </x:c>
      <x:c r="C225" s="70" t="n">
        <x:v>46241.56322321759</x:v>
      </x:c>
      <x:c r="D225" s="50" t="str">
        <x:v>SWING_SETUP</x:v>
      </x:c>
      <x:c r="E225" s="50" t="str">
        <x:v>BKNG SWING SETUP</x:v>
      </x:c>
      <x:c r="F225" s="50" t="str">
        <x:v>WATCH</x:v>
      </x:c>
      <x:c r="G225" s="50"/>
      <x:c r="H225" s="50" t="str">
        <x:v>LONG</x:v>
      </x:c>
      <x:c r="I225" s="71" t="n">
        <x:v>206.68</x:v>
      </x:c>
      <x:c r="J225" s="76" t="str">
        <x:v>SIP</x:v>
      </x:c>
    </x:row>
    <x:row r="226">
      <x:c r="A226" s="50" t="str">
        <x:v>019fdc6b-87f1-7be3-ac4c-ab8c9ed613f3</x:v>
      </x:c>
      <x:c r="B226" s="50" t="str">
        <x:v>MRK</x:v>
      </x:c>
      <x:c r="C226" s="70" t="n">
        <x:v>46241.56322351852</x:v>
      </x:c>
      <x:c r="D226" s="50" t="str">
        <x:v>ENTRY_OPPORTUNITY_PROGRESS</x:v>
      </x:c>
      <x:c r="E226" s="50" t="str">
        <x:v>MRK ENTRY IN_ZONE [####------]</x:v>
      </x:c>
      <x:c r="F226" s="50" t="str">
        <x:v>WATCH</x:v>
      </x:c>
      <x:c r="G226" s="50"/>
      <x:c r="H226" s="50" t="str">
        <x:v>LONG</x:v>
      </x:c>
      <x:c r="I226" s="71" t="n">
        <x:v>127.36</x:v>
      </x:c>
      <x:c r="J226" s="76" t="str">
        <x:v>SIP</x:v>
      </x:c>
    </x:row>
    <x:row r="227">
      <x:c r="A227" s="50" t="str">
        <x:v>019fdc6b-8813-7c1f-8bc0-90bdbee3299e</x:v>
      </x:c>
      <x:c r="B227" s="50" t="str">
        <x:v>CROX</x:v>
      </x:c>
      <x:c r="C227" s="70" t="n">
        <x:v>46241.563223923615</x:v>
      </x:c>
      <x:c r="D227" s="50" t="str">
        <x:v>SWING_SETUP</x:v>
      </x:c>
      <x:c r="E227" s="50" t="str">
        <x:v>CROX SWING SETUP</x:v>
      </x:c>
      <x:c r="F227" s="50" t="str">
        <x:v>WATCH</x:v>
      </x:c>
      <x:c r="G227" s="50"/>
      <x:c r="H227" s="50" t="str">
        <x:v>LONG</x:v>
      </x:c>
      <x:c r="I227" s="71" t="n">
        <x:v>134.45</x:v>
      </x:c>
      <x:c r="J227" s="76" t="str">
        <x:v>SIP</x:v>
      </x:c>
    </x:row>
    <x:row r="228">
      <x:c r="A228" s="50" t="str">
        <x:v>019fdc6b-8849-7dee-88f1-e5740a600fc6</x:v>
      </x:c>
      <x:c r="B228" s="50" t="str">
        <x:v>BBWI</x:v>
      </x:c>
      <x:c r="C228" s="70" t="n">
        <x:v>46241.56322454861</x:v>
      </x:c>
      <x:c r="D228" s="50" t="str">
        <x:v>ENTRY_WATCH</x:v>
      </x:c>
      <x:c r="E228" s="50" t="str">
        <x:v>BBWI ENTRY IN_ZONE EARLY WATCH</x:v>
      </x:c>
      <x:c r="F228" s="50" t="str">
        <x:v>WATCH</x:v>
      </x:c>
      <x:c r="G228" s="50"/>
      <x:c r="H228" s="50" t="str">
        <x:v>LONG</x:v>
      </x:c>
      <x:c r="I228" s="71" t="n">
        <x:v>20.025</x:v>
      </x:c>
      <x:c r="J228" s="76" t="str">
        <x:v>SIP</x:v>
      </x:c>
    </x:row>
    <x:row r="229">
      <x:c r="A229" s="50" t="str">
        <x:v>019fdc6b-885a-7474-8f47-c6c1be4b3135</x:v>
      </x:c>
      <x:c r="B229" s="50" t="str">
        <x:v>CEG</x:v>
      </x:c>
      <x:c r="C229" s="70" t="n">
        <x:v>46241.56322474537</x:v>
      </x:c>
      <x:c r="D229" s="50" t="str">
        <x:v>SWING_SETUP</x:v>
      </x:c>
      <x:c r="E229" s="50" t="str">
        <x:v>CEG SWING SETUP</x:v>
      </x:c>
      <x:c r="F229" s="50" t="str">
        <x:v>WATCH</x:v>
      </x:c>
      <x:c r="G229" s="50"/>
      <x:c r="H229" s="50" t="str">
        <x:v>LONG</x:v>
      </x:c>
      <x:c r="I229" s="71" t="n">
        <x:v>264.75</x:v>
      </x:c>
      <x:c r="J229" s="76" t="str">
        <x:v>SIP</x:v>
      </x:c>
    </x:row>
    <x:row r="230">
      <x:c r="A230" s="50" t="str">
        <x:v>019fdc6b-8897-74c1-856c-c5a909be54b0</x:v>
      </x:c>
      <x:c r="B230" s="50" t="str">
        <x:v>NOC</x:v>
      </x:c>
      <x:c r="C230" s="70" t="n">
        <x:v>46241.56322545139</x:v>
      </x:c>
      <x:c r="D230" s="50" t="str">
        <x:v>SWING_SETUP</x:v>
      </x:c>
      <x:c r="E230" s="50" t="str">
        <x:v>NOC SWING SETUP</x:v>
      </x:c>
      <x:c r="F230" s="50" t="str">
        <x:v>WATCH</x:v>
      </x:c>
      <x:c r="G230" s="50"/>
      <x:c r="H230" s="50" t="str">
        <x:v>LONG</x:v>
      </x:c>
      <x:c r="I230" s="71" t="n">
        <x:v>568.06</x:v>
      </x:c>
      <x:c r="J230" s="76" t="str">
        <x:v>SIP</x:v>
      </x:c>
    </x:row>
    <x:row r="231">
      <x:c r="A231" s="50" t="str">
        <x:v>019fdc6b-88b2-7c6f-88e7-62637d451375</x:v>
      </x:c>
      <x:c r="B231" s="50" t="str">
        <x:v>LMT</x:v>
      </x:c>
      <x:c r="C231" s="70" t="n">
        <x:v>46241.563225763886</x:v>
      </x:c>
      <x:c r="D231" s="50" t="str">
        <x:v>SWING_SETUP</x:v>
      </x:c>
      <x:c r="E231" s="50" t="str">
        <x:v>LMT SWING SETUP</x:v>
      </x:c>
      <x:c r="F231" s="50" t="str">
        <x:v>WATCH</x:v>
      </x:c>
      <x:c r="G231" s="50"/>
      <x:c r="H231" s="50" t="str">
        <x:v>LONG</x:v>
      </x:c>
      <x:c r="I231" s="71" t="n">
        <x:v>583.5</x:v>
      </x:c>
      <x:c r="J231" s="76" t="str">
        <x:v>SIP</x:v>
      </x:c>
    </x:row>
    <x:row r="232">
      <x:c r="A232" s="50" t="str">
        <x:v>019fdc6b-88b8-74ea-b720-293667b2b5af</x:v>
      </x:c>
      <x:c r="B232" s="50" t="str">
        <x:v>BBWI</x:v>
      </x:c>
      <x:c r="C232" s="70" t="n">
        <x:v>46241.563225833335</x:v>
      </x:c>
      <x:c r="D232" s="50" t="str">
        <x:v>ENTRY_OPPORTUNITY_PROGRESS</x:v>
      </x:c>
      <x:c r="E232" s="50" t="str">
        <x:v>BBWI ENTRY IN_ZONE [####------]</x:v>
      </x:c>
      <x:c r="F232" s="50" t="str">
        <x:v>WATCH</x:v>
      </x:c>
      <x:c r="G232" s="50"/>
      <x:c r="H232" s="50" t="str">
        <x:v>LONG</x:v>
      </x:c>
      <x:c r="I232" s="71" t="n">
        <x:v>20.025</x:v>
      </x:c>
      <x:c r="J232" s="76" t="str">
        <x:v>SIP</x:v>
      </x:c>
    </x:row>
    <x:row r="233">
      <x:c r="A233" s="50" t="str">
        <x:v>019fdc6b-88e9-74da-b626-e36c740173e6</x:v>
      </x:c>
      <x:c r="B233" s="50" t="str">
        <x:v>APA</x:v>
      </x:c>
      <x:c r="C233" s="70" t="n">
        <x:v>46241.56322640046</x:v>
      </x:c>
      <x:c r="D233" s="50" t="str">
        <x:v>SWING_SETUP</x:v>
      </x:c>
      <x:c r="E233" s="50" t="str">
        <x:v>APA SWING SETUP</x:v>
      </x:c>
      <x:c r="F233" s="50" t="str">
        <x:v>WATCH</x:v>
      </x:c>
      <x:c r="G233" s="50"/>
      <x:c r="H233" s="50" t="str">
        <x:v>LONG</x:v>
      </x:c>
      <x:c r="I233" s="71" t="n">
        <x:v>36.3</x:v>
      </x:c>
      <x:c r="J233" s="76" t="str">
        <x:v>SIP</x:v>
      </x:c>
    </x:row>
    <x:row r="234">
      <x:c r="A234" s="50" t="str">
        <x:v>019fdc6b-894e-7b01-8753-24460b483c47</x:v>
      </x:c>
      <x:c r="B234" s="50" t="str">
        <x:v>PSX</x:v>
      </x:c>
      <x:c r="C234" s="70" t="n">
        <x:v>46241.563227569444</x:v>
      </x:c>
      <x:c r="D234" s="50" t="str">
        <x:v>SWING_SETUP</x:v>
      </x:c>
      <x:c r="E234" s="50" t="str">
        <x:v>PSX SWING SETUP</x:v>
      </x:c>
      <x:c r="F234" s="50" t="str">
        <x:v>WATCH</x:v>
      </x:c>
      <x:c r="G234" s="50"/>
      <x:c r="H234" s="50" t="str">
        <x:v>LONG</x:v>
      </x:c>
      <x:c r="I234" s="71" t="n">
        <x:v>205.5</x:v>
      </x:c>
      <x:c r="J234" s="76" t="str">
        <x:v>SIP</x:v>
      </x:c>
    </x:row>
    <x:row r="235">
      <x:c r="A235" s="50" t="str">
        <x:v>019fdc6b-898b-7928-83fd-1c2cd9fbdeec</x:v>
      </x:c>
      <x:c r="B235" s="50" t="str">
        <x:v>DE</x:v>
      </x:c>
      <x:c r="C235" s="70" t="n">
        <x:v>46241.56322827546</x:v>
      </x:c>
      <x:c r="D235" s="50" t="str">
        <x:v>SWING_SETUP</x:v>
      </x:c>
      <x:c r="E235" s="50" t="str">
        <x:v>DE SWING SETUP</x:v>
      </x:c>
      <x:c r="F235" s="50" t="str">
        <x:v>WATCH</x:v>
      </x:c>
      <x:c r="G235" s="50"/>
      <x:c r="H235" s="50" t="str">
        <x:v>LONG</x:v>
      </x:c>
      <x:c r="I235" s="71" t="n">
        <x:v>614.4344</x:v>
      </x:c>
      <x:c r="J235" s="76" t="str">
        <x:v>SIP</x:v>
      </x:c>
    </x:row>
    <x:row r="236">
      <x:c r="A236" s="50" t="str">
        <x:v>019fdc6b-89c8-7992-b1f4-4b82211a05ce</x:v>
      </x:c>
      <x:c r="B236" s="50" t="str">
        <x:v>MRK</x:v>
      </x:c>
      <x:c r="C236" s="70" t="n">
        <x:v>46241.56322898148</x:v>
      </x:c>
      <x:c r="D236" s="50" t="str">
        <x:v>SWING_SETUP</x:v>
      </x:c>
      <x:c r="E236" s="50" t="str">
        <x:v>MRK SWING SETUP</x:v>
      </x:c>
      <x:c r="F236" s="50" t="str">
        <x:v>WATCH</x:v>
      </x:c>
      <x:c r="G236" s="50"/>
      <x:c r="H236" s="50" t="str">
        <x:v>LONG</x:v>
      </x:c>
      <x:c r="I236" s="71" t="n">
        <x:v>128.83</x:v>
      </x:c>
      <x:c r="J236" s="76" t="str">
        <x:v>SIP</x:v>
      </x:c>
    </x:row>
    <x:row r="237">
      <x:c r="A237" s="50" t="str">
        <x:v>019fdc6b-89e5-7b78-bd2a-d4340139089c</x:v>
      </x:c>
      <x:c r="B237" s="50" t="str">
        <x:v>DCTH</x:v>
      </x:c>
      <x:c r="C237" s="70" t="n">
        <x:v>46241.56322931713</x:v>
      </x:c>
      <x:c r="D237" s="50" t="str">
        <x:v>SWING_SETUP</x:v>
      </x:c>
      <x:c r="E237" s="50" t="str">
        <x:v>DCTH SWING SETUP</x:v>
      </x:c>
      <x:c r="F237" s="50" t="str">
        <x:v>WATCH</x:v>
      </x:c>
      <x:c r="G237" s="50"/>
      <x:c r="H237" s="50" t="str">
        <x:v>LONG</x:v>
      </x:c>
      <x:c r="I237" s="71" t="n">
        <x:v>15.7678</x:v>
      </x:c>
      <x:c r="J237" s="76" t="str">
        <x:v>SIP</x:v>
      </x:c>
    </x:row>
    <x:row r="238">
      <x:c r="A238" s="50" t="str">
        <x:v>019fdc6b-89f9-764c-a5a7-6623819aa4e8</x:v>
      </x:c>
      <x:c r="B238" s="50" t="str">
        <x:v>PM</x:v>
      </x:c>
      <x:c r="C238" s="70" t="n">
        <x:v>46241.563229548614</x:v>
      </x:c>
      <x:c r="D238" s="50" t="str">
        <x:v>SWING_SETUP</x:v>
      </x:c>
      <x:c r="E238" s="50" t="str">
        <x:v>PM SWING SETUP</x:v>
      </x:c>
      <x:c r="F238" s="50" t="str">
        <x:v>WATCH</x:v>
      </x:c>
      <x:c r="G238" s="50"/>
      <x:c r="H238" s="50" t="str">
        <x:v>LONG</x:v>
      </x:c>
      <x:c r="I238" s="71" t="n">
        <x:v>188.11</x:v>
      </x:c>
      <x:c r="J238" s="76" t="str">
        <x:v>SIP</x:v>
      </x:c>
    </x:row>
    <x:row r="239">
      <x:c r="A239" s="50" t="str">
        <x:v>019fdc6b-8a26-7930-9798-ac84adba2b39</x:v>
      </x:c>
      <x:c r="B239" s="50" t="str">
        <x:v>ACHV</x:v>
      </x:c>
      <x:c r="C239" s="70" t="n">
        <x:v>46241.56323006944</x:v>
      </x:c>
      <x:c r="D239" s="50" t="str">
        <x:v>SWING_SETUP</x:v>
      </x:c>
      <x:c r="E239" s="50" t="str">
        <x:v>ACHV SWING SETUP</x:v>
      </x:c>
      <x:c r="F239" s="50" t="str">
        <x:v>WATCH</x:v>
      </x:c>
      <x:c r="G239" s="50"/>
      <x:c r="H239" s="50" t="str">
        <x:v>LONG</x:v>
      </x:c>
      <x:c r="I239" s="71" t="n">
        <x:v>6.88</x:v>
      </x:c>
      <x:c r="J239" s="76" t="str">
        <x:v>SIP</x:v>
      </x:c>
    </x:row>
    <x:row r="240">
      <x:c r="A240" s="50" t="str">
        <x:v>019fdc6b-8a3d-79e7-8e82-8b365792fe21</x:v>
      </x:c>
      <x:c r="B240" s="50" t="str">
        <x:v>HWM</x:v>
      </x:c>
      <x:c r="C240" s="70" t="n">
        <x:v>46241.56323033565</x:v>
      </x:c>
      <x:c r="D240" s="50" t="str">
        <x:v>SWING_SETUP</x:v>
      </x:c>
      <x:c r="E240" s="50" t="str">
        <x:v>HWM SWING SETUP</x:v>
      </x:c>
      <x:c r="F240" s="50" t="str">
        <x:v>WATCH</x:v>
      </x:c>
      <x:c r="G240" s="50"/>
      <x:c r="H240" s="50" t="str">
        <x:v>LONG</x:v>
      </x:c>
      <x:c r="I240" s="71" t="n">
        <x:v>291.96</x:v>
      </x:c>
      <x:c r="J240" s="76" t="str">
        <x:v>SIP</x:v>
      </x:c>
    </x:row>
    <x:row r="241">
      <x:c r="A241" s="50" t="str">
        <x:v>019fdc6b-8a57-7493-9a8e-1e6cc130153c</x:v>
      </x:c>
      <x:c r="B241" s="50" t="str">
        <x:v>ABT</x:v>
      </x:c>
      <x:c r="C241" s="70" t="n">
        <x:v>46241.56323063657</x:v>
      </x:c>
      <x:c r="D241" s="50" t="str">
        <x:v>SWING_SETUP</x:v>
      </x:c>
      <x:c r="E241" s="50" t="str">
        <x:v>ABT SWING SETUP</x:v>
      </x:c>
      <x:c r="F241" s="50" t="str">
        <x:v>WATCH</x:v>
      </x:c>
      <x:c r="G241" s="50"/>
      <x:c r="H241" s="50" t="str">
        <x:v>LONG</x:v>
      </x:c>
      <x:c r="I241" s="71" t="n">
        <x:v>107.38</x:v>
      </x:c>
      <x:c r="J241" s="76" t="str">
        <x:v>SIP</x:v>
      </x:c>
    </x:row>
    <x:row r="242">
      <x:c r="A242" s="50" t="str">
        <x:v>019fdc6b-8a80-7402-810f-f40d04540eab</x:v>
      </x:c>
      <x:c r="B242" s="50" t="str">
        <x:v>APD</x:v>
      </x:c>
      <x:c r="C242" s="70" t="n">
        <x:v>46241.563231099535</x:v>
      </x:c>
      <x:c r="D242" s="50" t="str">
        <x:v>LONG_BUY_ZONE</x:v>
      </x:c>
      <x:c r="E242" s="50" t="str">
        <x:v>APD LONG BUY ZONE</x:v>
      </x:c>
      <x:c r="F242" s="50" t="str">
        <x:v>WATCH</x:v>
      </x:c>
      <x:c r="G242" s="50"/>
      <x:c r="H242" s="50" t="str">
        <x:v>LONG</x:v>
      </x:c>
      <x:c r="I242" s="71" t="n">
        <x:v>298.25</x:v>
      </x:c>
      <x:c r="J242" s="76" t="str">
        <x:v>SIP</x:v>
      </x:c>
    </x:row>
    <x:row r="243">
      <x:c r="A243" s="50" t="str">
        <x:v>019fdc6b-8a84-7485-9a04-0ecc363b1701</x:v>
      </x:c>
      <x:c r="B243" s="50" t="str">
        <x:v>APH</x:v>
      </x:c>
      <x:c r="C243" s="70" t="n">
        <x:v>46241.56323115741</x:v>
      </x:c>
      <x:c r="D243" s="50" t="str">
        <x:v>SWING_SETUP</x:v>
      </x:c>
      <x:c r="E243" s="50" t="str">
        <x:v>APH SWING SETUP</x:v>
      </x:c>
      <x:c r="F243" s="50" t="str">
        <x:v>WATCH</x:v>
      </x:c>
      <x:c r="G243" s="50"/>
      <x:c r="H243" s="50" t="str">
        <x:v>LONG</x:v>
      </x:c>
      <x:c r="I243" s="71" t="n">
        <x:v>172.31</x:v>
      </x:c>
      <x:c r="J243" s="76" t="str">
        <x:v>SIP</x:v>
      </x:c>
    </x:row>
    <x:row r="244">
      <x:c r="A244" s="50" t="str">
        <x:v>019fdc6b-8ab4-77db-9f28-3daa0bfd018b</x:v>
      </x:c>
      <x:c r="B244" s="50" t="str">
        <x:v>ADBE</x:v>
      </x:c>
      <x:c r="C244" s="70" t="n">
        <x:v>46241.563231712964</x:v>
      </x:c>
      <x:c r="D244" s="50" t="str">
        <x:v>SWING_SETUP</x:v>
      </x:c>
      <x:c r="E244" s="50" t="str">
        <x:v>ADBE SWING SETUP</x:v>
      </x:c>
      <x:c r="F244" s="50" t="str">
        <x:v>WATCH</x:v>
      </x:c>
      <x:c r="G244" s="50"/>
      <x:c r="H244" s="50" t="str">
        <x:v>LONG</x:v>
      </x:c>
      <x:c r="I244" s="71" t="n">
        <x:v>261.6534</x:v>
      </x:c>
      <x:c r="J244" s="76" t="str">
        <x:v>SIP</x:v>
      </x:c>
    </x:row>
    <x:row r="245">
      <x:c r="A245" s="50" t="str">
        <x:v>019fdc6b-8ac2-7fa1-80e0-02290f50425d</x:v>
      </x:c>
      <x:c r="B245" s="50" t="str">
        <x:v>COP</x:v>
      </x:c>
      <x:c r="C245" s="70" t="n">
        <x:v>46241.563231875</x:v>
      </x:c>
      <x:c r="D245" s="50" t="str">
        <x:v>SWING_SETUP</x:v>
      </x:c>
      <x:c r="E245" s="50" t="str">
        <x:v>COP SWING SETUP</x:v>
      </x:c>
      <x:c r="F245" s="50" t="str">
        <x:v>WATCH</x:v>
      </x:c>
      <x:c r="G245" s="50"/>
      <x:c r="H245" s="50" t="str">
        <x:v>LONG</x:v>
      </x:c>
      <x:c r="I245" s="71" t="n">
        <x:v>116.2</x:v>
      </x:c>
      <x:c r="J245" s="76" t="str">
        <x:v>SIP</x:v>
      </x:c>
    </x:row>
    <x:row r="246">
      <x:c r="A246" s="50" t="str">
        <x:v>019fdc6b-8adf-7589-88bc-35791105ebeb</x:v>
      </x:c>
      <x:c r="B246" s="50" t="str">
        <x:v>XOM</x:v>
      </x:c>
      <x:c r="C246" s="70" t="n">
        <x:v>46241.56323221065</x:v>
      </x:c>
      <x:c r="D246" s="50" t="str">
        <x:v>SWING_SETUP</x:v>
      </x:c>
      <x:c r="E246" s="50" t="str">
        <x:v>XOM SWING SETUP</x:v>
      </x:c>
      <x:c r="F246" s="50" t="str">
        <x:v>WATCH</x:v>
      </x:c>
      <x:c r="G246" s="50"/>
      <x:c r="H246" s="50" t="str">
        <x:v>LONG</x:v>
      </x:c>
      <x:c r="I246" s="71" t="n">
        <x:v>153.88</x:v>
      </x:c>
      <x:c r="J246" s="76" t="str">
        <x:v>SIP</x:v>
      </x:c>
    </x:row>
    <x:row r="247">
      <x:c r="A247" s="50" t="str">
        <x:v>019fdc6b-8b03-7631-b31f-9893e62b47da</x:v>
      </x:c>
      <x:c r="B247" s="50" t="str">
        <x:v>HRL</x:v>
      </x:c>
      <x:c r="C247" s="70" t="n">
        <x:v>46241.56323262731</x:v>
      </x:c>
      <x:c r="D247" s="50" t="str">
        <x:v>LONG_BUY_ZONE</x:v>
      </x:c>
      <x:c r="E247" s="50" t="str">
        <x:v>HRL LONG BUY ZONE</x:v>
      </x:c>
      <x:c r="F247" s="50" t="str">
        <x:v>WATCH</x:v>
      </x:c>
      <x:c r="G247" s="50"/>
      <x:c r="H247" s="50" t="str">
        <x:v>LONG</x:v>
      </x:c>
      <x:c r="I247" s="71" t="n">
        <x:v>25.005</x:v>
      </x:c>
      <x:c r="J247" s="76" t="str">
        <x:v>SIP</x:v>
      </x:c>
    </x:row>
    <x:row r="248">
      <x:c r="A248" s="50" t="str">
        <x:v>019fdc6b-8b0c-787b-9b06-e3dfcd1c0d84</x:v>
      </x:c>
      <x:c r="B248" s="50" t="str">
        <x:v>VZ</x:v>
      </x:c>
      <x:c r="C248" s="70" t="n">
        <x:v>46241.56323273148</x:v>
      </x:c>
      <x:c r="D248" s="50" t="str">
        <x:v>SWING_SETUP</x:v>
      </x:c>
      <x:c r="E248" s="50" t="str">
        <x:v>VZ SWING SETUP</x:v>
      </x:c>
      <x:c r="F248" s="50" t="str">
        <x:v>WATCH</x:v>
      </x:c>
      <x:c r="G248" s="50"/>
      <x:c r="H248" s="50" t="str">
        <x:v>LONG</x:v>
      </x:c>
      <x:c r="I248" s="71" t="n">
        <x:v>46.78</x:v>
      </x:c>
      <x:c r="J248" s="76" t="str">
        <x:v>SIP</x:v>
      </x:c>
    </x:row>
    <x:row r="249">
      <x:c r="A249" s="50" t="str">
        <x:v>019fdc6b-8b17-7213-9a59-4236348e1aec</x:v>
      </x:c>
      <x:c r="B249" s="50" t="str">
        <x:v>GD</x:v>
      </x:c>
      <x:c r="C249" s="70" t="n">
        <x:v>46241.563232858796</x:v>
      </x:c>
      <x:c r="D249" s="50" t="str">
        <x:v>SWING_SETUP</x:v>
      </x:c>
      <x:c r="E249" s="50" t="str">
        <x:v>GD SWING SETUP</x:v>
      </x:c>
      <x:c r="F249" s="50" t="str">
        <x:v>WATCH</x:v>
      </x:c>
      <x:c r="G249" s="50"/>
      <x:c r="H249" s="50" t="str">
        <x:v>LONG</x:v>
      </x:c>
      <x:c r="I249" s="71" t="n">
        <x:v>386.5</x:v>
      </x:c>
      <x:c r="J249" s="76" t="str">
        <x:v>SIP</x:v>
      </x:c>
    </x:row>
    <x:row r="250">
      <x:c r="A250" s="50" t="str">
        <x:v>019fdc6b-8b31-716e-9f7c-da0e42fd1983</x:v>
      </x:c>
      <x:c r="B250" s="50" t="str">
        <x:v>BLK</x:v>
      </x:c>
      <x:c r="C250" s="70" t="n">
        <x:v>46241.56323315972</x:v>
      </x:c>
      <x:c r="D250" s="50" t="str">
        <x:v>SWING_SETUP</x:v>
      </x:c>
      <x:c r="E250" s="50" t="str">
        <x:v>BLK SWING SETUP</x:v>
      </x:c>
      <x:c r="F250" s="50" t="str">
        <x:v>WATCH</x:v>
      </x:c>
      <x:c r="G250" s="50"/>
      <x:c r="H250" s="50" t="str">
        <x:v>LONG</x:v>
      </x:c>
      <x:c r="I250" s="71" t="n">
        <x:v>1139.6406</x:v>
      </x:c>
      <x:c r="J250" s="76" t="str">
        <x:v>SIP</x:v>
      </x:c>
    </x:row>
    <x:row r="251">
      <x:c r="A251" s="50" t="str">
        <x:v>019fdc6b-8b57-7b27-9c97-aaa508c866ff</x:v>
      </x:c>
      <x:c r="B251" s="50" t="str">
        <x:v>NXE</x:v>
      </x:c>
      <x:c r="C251" s="70" t="n">
        <x:v>46241.56323359954</x:v>
      </x:c>
      <x:c r="D251" s="50" t="str">
        <x:v>SWING_SETUP</x:v>
      </x:c>
      <x:c r="E251" s="50" t="str">
        <x:v>NXE SWING SETUP</x:v>
      </x:c>
      <x:c r="F251" s="50" t="str">
        <x:v>WATCH</x:v>
      </x:c>
      <x:c r="G251" s="50"/>
      <x:c r="H251" s="50" t="str">
        <x:v>LONG</x:v>
      </x:c>
      <x:c r="I251" s="71" t="n">
        <x:v>10.58</x:v>
      </x:c>
      <x:c r="J251" s="76" t="str">
        <x:v>SIP</x:v>
      </x:c>
    </x:row>
    <x:row r="252">
      <x:c r="A252" s="50" t="str">
        <x:v>019fdc6b-8b6d-7490-a8dc-5348162836d7</x:v>
      </x:c>
      <x:c r="B252" s="50" t="str">
        <x:v>RTX</x:v>
      </x:c>
      <x:c r="C252" s="70" t="n">
        <x:v>46241.56323385417</x:v>
      </x:c>
      <x:c r="D252" s="50" t="str">
        <x:v>SWING_SETUP</x:v>
      </x:c>
      <x:c r="E252" s="50" t="str">
        <x:v>RTX SWING SETUP</x:v>
      </x:c>
      <x:c r="F252" s="50" t="str">
        <x:v>WATCH</x:v>
      </x:c>
      <x:c r="G252" s="50"/>
      <x:c r="H252" s="50" t="str">
        <x:v>LONG</x:v>
      </x:c>
      <x:c r="I252" s="71" t="n">
        <x:v>223.25</x:v>
      </x:c>
      <x:c r="J252" s="76" t="str">
        <x:v>SIP</x:v>
      </x:c>
    </x:row>
    <x:row r="253">
      <x:c r="A253" s="50" t="str">
        <x:v>019fdc6b-8bcc-7965-b861-82cd979865f9</x:v>
      </x:c>
      <x:c r="B253" s="50" t="str">
        <x:v>WFC</x:v>
      </x:c>
      <x:c r="C253" s="70" t="n">
        <x:v>46241.563234953705</x:v>
      </x:c>
      <x:c r="D253" s="50" t="str">
        <x:v>SWING_SETUP</x:v>
      </x:c>
      <x:c r="E253" s="50" t="str">
        <x:v>WFC SWING SETUP</x:v>
      </x:c>
      <x:c r="F253" s="50" t="str">
        <x:v>WATCH</x:v>
      </x:c>
      <x:c r="G253" s="50"/>
      <x:c r="H253" s="50" t="str">
        <x:v>LONG</x:v>
      </x:c>
      <x:c r="I253" s="71" t="n">
        <x:v>87.26</x:v>
      </x:c>
      <x:c r="J253" s="76" t="str">
        <x:v>SIP</x:v>
      </x:c>
    </x:row>
    <x:row r="254">
      <x:c r="A254" s="50" t="str">
        <x:v>019fdc6b-8c0b-780a-aa5f-26ee0dd594f7</x:v>
      </x:c>
      <x:c r="B254" s="50" t="str">
        <x:v>RCL</x:v>
      </x:c>
      <x:c r="C254" s="70" t="n">
        <x:v>46241.56323568287</x:v>
      </x:c>
      <x:c r="D254" s="50" t="str">
        <x:v>SWING_SETUP</x:v>
      </x:c>
      <x:c r="E254" s="50" t="str">
        <x:v>RCL SWING SETUP</x:v>
      </x:c>
      <x:c r="F254" s="50" t="str">
        <x:v>WATCH</x:v>
      </x:c>
      <x:c r="G254" s="50"/>
      <x:c r="H254" s="50" t="str">
        <x:v>LONG</x:v>
      </x:c>
      <x:c r="I254" s="71" t="n">
        <x:v>323.4</x:v>
      </x:c>
      <x:c r="J254" s="76" t="str">
        <x:v>SIP</x:v>
      </x:c>
    </x:row>
    <x:row r="255">
      <x:c r="A255" s="50" t="str">
        <x:v>019fdc6b-8d0c-763d-88f5-707b503cd4ff</x:v>
      </x:c>
      <x:c r="B255" s="50" t="str">
        <x:v>ECL</x:v>
      </x:c>
      <x:c r="C255" s="70" t="n">
        <x:v>46241.56323865741</x:v>
      </x:c>
      <x:c r="D255" s="50" t="str">
        <x:v>LONG_BUY_ZONE</x:v>
      </x:c>
      <x:c r="E255" s="50" t="str">
        <x:v>ECL LONG BUY ZONE</x:v>
      </x:c>
      <x:c r="F255" s="50" t="str">
        <x:v>WATCH</x:v>
      </x:c>
      <x:c r="G255" s="50"/>
      <x:c r="H255" s="50" t="str">
        <x:v>LONG</x:v>
      </x:c>
      <x:c r="I255" s="71" t="n">
        <x:v>282.72</x:v>
      </x:c>
      <x:c r="J255" s="76" t="str">
        <x:v>SIP</x:v>
      </x:c>
    </x:row>
    <x:row r="256">
      <x:c r="A256" s="50" t="str">
        <x:v>019fdc6b-8d67-733c-92df-a473d24b4f62</x:v>
      </x:c>
      <x:c r="B256" s="50" t="str">
        <x:v>DE</x:v>
      </x:c>
      <x:c r="C256" s="70" t="n">
        <x:v>46241.56323969908</x:v>
      </x:c>
      <x:c r="D256" s="50" t="str">
        <x:v>LONG_BUY_ZONE</x:v>
      </x:c>
      <x:c r="E256" s="50" t="str">
        <x:v>DE LONG BUY ZONE</x:v>
      </x:c>
      <x:c r="F256" s="50" t="str">
        <x:v>WATCH</x:v>
      </x:c>
      <x:c r="G256" s="50"/>
      <x:c r="H256" s="50" t="str">
        <x:v>LONG</x:v>
      </x:c>
      <x:c r="I256" s="71" t="n">
        <x:v>613.02</x:v>
      </x:c>
      <x:c r="J256" s="76" t="str">
        <x:v>SIP</x:v>
      </x:c>
    </x:row>
    <x:row r="257">
      <x:c r="A257" s="50" t="str">
        <x:v>019fdc6b-8f5d-70b9-8b6f-a096299f70e9</x:v>
      </x:c>
      <x:c r="B257" s="50" t="str">
        <x:v>APH</x:v>
      </x:c>
      <x:c r="C257" s="70" t="n">
        <x:v>46241.56324552083</x:v>
      </x:c>
      <x:c r="D257" s="50" t="str">
        <x:v>LONG_BUY_ZONE</x:v>
      </x:c>
      <x:c r="E257" s="50" t="str">
        <x:v>APH LONG BUY ZONE</x:v>
      </x:c>
      <x:c r="F257" s="50" t="str">
        <x:v>WATCH</x:v>
      </x:c>
      <x:c r="G257" s="50"/>
      <x:c r="H257" s="50" t="str">
        <x:v>LONG</x:v>
      </x:c>
      <x:c r="I257" s="71" t="n">
        <x:v>169.505</x:v>
      </x:c>
      <x:c r="J257" s="76" t="str">
        <x:v>SIP</x:v>
      </x:c>
    </x:row>
    <x:row r="258">
      <x:c r="A258" s="50" t="str">
        <x:v>019fdc6c-7242-78a6-9852-2e93811464fb</x:v>
      </x:c>
      <x:c r="B258" s="50" t="str">
        <x:v>TTWO</x:v>
      </x:c>
      <x:c r="C258" s="70" t="n">
        <x:v>46241.56391780092</x:v>
      </x:c>
      <x:c r="D258" s="50" t="str">
        <x:v>ENTRY_WATCH</x:v>
      </x:c>
      <x:c r="E258" s="50" t="str">
        <x:v>TTWO ENTRY IN_ZONE EARLY WATCH</x:v>
      </x:c>
      <x:c r="F258" s="50" t="str">
        <x:v>WATCH</x:v>
      </x:c>
      <x:c r="G258" s="50"/>
      <x:c r="H258" s="50" t="str">
        <x:v>LONG</x:v>
      </x:c>
      <x:c r="I258" s="71" t="n">
        <x:v>233.26</x:v>
      </x:c>
      <x:c r="J258" s="76" t="str">
        <x:v>SIP</x:v>
      </x:c>
    </x:row>
    <x:row r="259">
      <x:c r="A259" s="50" t="str">
        <x:v>019fdc6c-7570-770d-8e39-ad894e66c37d</x:v>
      </x:c>
      <x:c r="B259" s="50" t="str">
        <x:v>MRK</x:v>
      </x:c>
      <x:c r="C259" s="70" t="n">
        <x:v>46241.563927222225</x:v>
      </x:c>
      <x:c r="D259" s="50" t="str">
        <x:v>ENTRY_WATCH</x:v>
      </x:c>
      <x:c r="E259" s="50" t="str">
        <x:v>MRK ENTRY BREAKAWAY WATCH</x:v>
      </x:c>
      <x:c r="F259" s="50" t="str">
        <x:v>WATCH</x:v>
      </x:c>
      <x:c r="G259" s="50"/>
      <x:c r="H259" s="50" t="str">
        <x:v>LONG</x:v>
      </x:c>
      <x:c r="I259" s="71" t="n">
        <x:v>127.785</x:v>
      </x:c>
      <x:c r="J259" s="76" t="str">
        <x:v>SIP</x:v>
      </x:c>
    </x:row>
    <x:row r="260">
      <x:c r="A260" s="50" t="str">
        <x:v>019fdc6d-5a3f-7e19-896e-85c3f4e43fe4</x:v>
      </x:c>
      <x:c r="B260" s="50" t="str">
        <x:v>GS</x:v>
      </x:c>
      <x:c r="C260" s="70" t="n">
        <x:v>46241.56460517361</x:v>
      </x:c>
      <x:c r="D260" s="50" t="str">
        <x:v>LONG_BUY_ZONE</x:v>
      </x:c>
      <x:c r="E260" s="50" t="str">
        <x:v>GS LONG BUY ZONE</x:v>
      </x:c>
      <x:c r="F260" s="50" t="str">
        <x:v>WATCH</x:v>
      </x:c>
      <x:c r="G260" s="50"/>
      <x:c r="H260" s="50" t="str">
        <x:v>LONG</x:v>
      </x:c>
      <x:c r="I260" s="71" t="n">
        <x:v>1034.5</x:v>
      </x:c>
      <x:c r="J260" s="76" t="str">
        <x:v>SIP</x:v>
      </x:c>
    </x:row>
    <x:row r="261">
      <x:c r="A261" s="50" t="str">
        <x:v>019fdc6d-5d33-7bd6-82ef-0653ecd17ac7</x:v>
      </x:c>
      <x:c r="B261" s="50" t="str">
        <x:v>TTWO</x:v>
      </x:c>
      <x:c r="C261" s="70" t="n">
        <x:v>46241.56461392361</x:v>
      </x:c>
      <x:c r="D261" s="50" t="str">
        <x:v>ENTRY_WATCH</x:v>
      </x:c>
      <x:c r="E261" s="50" t="str">
        <x:v>TTWO ENTRY BREAKAWAY WATCH</x:v>
      </x:c>
      <x:c r="F261" s="50" t="str">
        <x:v>WATCH</x:v>
      </x:c>
      <x:c r="G261" s="50"/>
      <x:c r="H261" s="50" t="str">
        <x:v>LONG</x:v>
      </x:c>
      <x:c r="I261" s="71" t="n">
        <x:v>237.18</x:v>
      </x:c>
      <x:c r="J261" s="76" t="str">
        <x:v>SIP</x:v>
      </x:c>
    </x:row>
    <x:row r="262">
      <x:c r="A262" s="50" t="str">
        <x:v>019fdc6d-6100-766b-a58c-3cd078eec99e</x:v>
      </x:c>
      <x:c r="B262" s="50" t="str">
        <x:v>MRK</x:v>
      </x:c>
      <x:c r="C262" s="70" t="n">
        <x:v>46241.56462518519</x:v>
      </x:c>
      <x:c r="D262" s="50" t="str">
        <x:v>ENTRY_WATCH</x:v>
      </x:c>
      <x:c r="E262" s="50" t="str">
        <x:v>MRK ENTRY IN_ZONE EARLY WATCH</x:v>
      </x:c>
      <x:c r="F262" s="50" t="str">
        <x:v>WATCH</x:v>
      </x:c>
      <x:c r="G262" s="50"/>
      <x:c r="H262" s="50" t="str">
        <x:v>LONG</x:v>
      </x:c>
      <x:c r="I262" s="71" t="n">
        <x:v>127.2091</x:v>
      </x:c>
      <x:c r="J262" s="76" t="str">
        <x:v>SIP</x:v>
      </x:c>
    </x:row>
    <x:row r="263">
      <x:c r="A263" s="50" t="str">
        <x:v>019fdc6e-45b3-7ab0-b155-e7ac2e6a66f2</x:v>
      </x:c>
      <x:c r="B263" s="50" t="str">
        <x:v>INTU</x:v>
      </x:c>
      <x:c r="C263" s="70" t="n">
        <x:v>46241.5653028125</x:v>
      </x:c>
      <x:c r="D263" s="50" t="str">
        <x:v>SWING_SETUP</x:v>
      </x:c>
      <x:c r="E263" s="50" t="str">
        <x:v>INTU SWING SETUP</x:v>
      </x:c>
      <x:c r="F263" s="50" t="str">
        <x:v>WATCH</x:v>
      </x:c>
      <x:c r="G263" s="50"/>
      <x:c r="H263" s="50" t="str">
        <x:v>LONG</x:v>
      </x:c>
      <x:c r="I263" s="71" t="n">
        <x:v>328</x:v>
      </x:c>
      <x:c r="J263" s="76" t="str">
        <x:v>SIP</x:v>
      </x:c>
    </x:row>
    <x:row r="264">
      <x:c r="A264" s="50" t="str">
        <x:v>019fdc6e-46b5-7229-a136-d4827ffe12eb</x:v>
      </x:c>
      <x:c r="B264" s="50" t="str">
        <x:v>TTWO</x:v>
      </x:c>
      <x:c r="C264" s="70" t="n">
        <x:v>46241.56530579861</x:v>
      </x:c>
      <x:c r="D264" s="50" t="str">
        <x:v>ENTRY_WATCH</x:v>
      </x:c>
      <x:c r="E264" s="50" t="str">
        <x:v>TTWO ENTRY IN_ZONE EARLY WATCH</x:v>
      </x:c>
      <x:c r="F264" s="50" t="str">
        <x:v>WATCH</x:v>
      </x:c>
      <x:c r="G264" s="50"/>
      <x:c r="H264" s="50" t="str">
        <x:v>LONG</x:v>
      </x:c>
      <x:c r="I264" s="71" t="n">
        <x:v>236.13</x:v>
      </x:c>
      <x:c r="J264" s="76" t="str">
        <x:v>SIP</x:v>
      </x:c>
    </x:row>
    <x:row r="265">
      <x:c r="A265" s="50" t="str">
        <x:v>019fdc6e-4966-7a96-8a7b-1f585c9e3af3</x:v>
      </x:c>
      <x:c r="B265" s="50" t="str">
        <x:v>RCL</x:v>
      </x:c>
      <x:c r="C265" s="70" t="n">
        <x:v>46241.56531377315</x:v>
      </x:c>
      <x:c r="D265" s="50" t="str">
        <x:v>LONG_BUY_ZONE</x:v>
      </x:c>
      <x:c r="E265" s="50" t="str">
        <x:v>RCL LONG BUY ZONE</x:v>
      </x:c>
      <x:c r="F265" s="50" t="str">
        <x:v>WATCH</x:v>
      </x:c>
      <x:c r="G265" s="50"/>
      <x:c r="H265" s="50" t="str">
        <x:v>LONG</x:v>
      </x:c>
      <x:c r="I265" s="71" t="n">
        <x:v>320.81</x:v>
      </x:c>
      <x:c r="J265" s="76" t="str">
        <x:v>SIP</x:v>
      </x:c>
    </x:row>
    <x:row r="266">
      <x:c r="A266" s="50" t="str">
        <x:v>019fdc6f-3167-7eb3-8d45-abe1573bf02e</x:v>
      </x:c>
      <x:c r="B266" s="50" t="str">
        <x:v>PYPL</x:v>
      </x:c>
      <x:c r="C266" s="70" t="n">
        <x:v>46241.56600119213</x:v>
      </x:c>
      <x:c r="D266" s="50" t="str">
        <x:v>SWING_SETUP</x:v>
      </x:c>
      <x:c r="E266" s="50" t="str">
        <x:v>PYPL SWING SETUP</x:v>
      </x:c>
      <x:c r="F266" s="50" t="str">
        <x:v>WATCH</x:v>
      </x:c>
      <x:c r="G266" s="50"/>
      <x:c r="H266" s="50" t="str">
        <x:v>LONG</x:v>
      </x:c>
      <x:c r="I266" s="71" t="n">
        <x:v>59.79</x:v>
      </x:c>
      <x:c r="J266" s="76" t="str">
        <x:v>SIP</x:v>
      </x:c>
    </x:row>
    <x:row r="267">
      <x:c r="A267" s="50" t="str">
        <x:v>019fdc6f-3513-7e0a-950a-aeb9d6c9eb13</x:v>
      </x:c>
      <x:c r="B267" s="50" t="str">
        <x:v>SPG</x:v>
      </x:c>
      <x:c r="C267" s="70" t="n">
        <x:v>46241.56601207176</x:v>
      </x:c>
      <x:c r="D267" s="50" t="str">
        <x:v>LONG_BUY_ZONE</x:v>
      </x:c>
      <x:c r="E267" s="50" t="str">
        <x:v>SPG LONG BUY ZONE</x:v>
      </x:c>
      <x:c r="F267" s="50" t="str">
        <x:v>WATCH</x:v>
      </x:c>
      <x:c r="G267" s="50"/>
      <x:c r="H267" s="50" t="str">
        <x:v>LONG</x:v>
      </x:c>
      <x:c r="I267" s="71" t="n">
        <x:v>219.715</x:v>
      </x:c>
      <x:c r="J267" s="76" t="str">
        <x:v>SIP</x:v>
      </x:c>
    </x:row>
    <x:row r="268">
      <x:c r="A268" s="50" t="str">
        <x:v>019fdc70-1be0-7807-91a0-26ed11e64660</x:v>
      </x:c>
      <x:c r="B268" s="50" t="str">
        <x:v>TTWO</x:v>
      </x:c>
      <x:c r="C268" s="70" t="n">
        <x:v>46241.566695925925</x:v>
      </x:c>
      <x:c r="D268" s="50" t="str">
        <x:v>ENTRY_WATCH</x:v>
      </x:c>
      <x:c r="E268" s="50" t="str">
        <x:v>TTWO ENTRY BREAKAWAY WATCH</x:v>
      </x:c>
      <x:c r="F268" s="50" t="str">
        <x:v>WATCH</x:v>
      </x:c>
      <x:c r="G268" s="50"/>
      <x:c r="H268" s="50" t="str">
        <x:v>LONG</x:v>
      </x:c>
      <x:c r="I268" s="71" t="n">
        <x:v>236.44</x:v>
      </x:c>
      <x:c r="J268" s="76" t="str">
        <x:v>SIP</x:v>
      </x:c>
    </x:row>
    <x:row r="269">
      <x:c r="A269" s="50" t="str">
        <x:v>019fdc71-0a6b-7a0b-9cde-cd7517c25797</x:v>
      </x:c>
      <x:c r="B269" s="50" t="str">
        <x:v>OXY</x:v>
      </x:c>
      <x:c r="C269" s="70" t="n">
        <x:v>46241.567402719906</x:v>
      </x:c>
      <x:c r="D269" s="50" t="str">
        <x:v>LONG_BUY_ZONE</x:v>
      </x:c>
      <x:c r="E269" s="50" t="str">
        <x:v>OXY LONG BUY ZONE</x:v>
      </x:c>
      <x:c r="F269" s="50" t="str">
        <x:v>WATCH</x:v>
      </x:c>
      <x:c r="G269" s="50"/>
      <x:c r="H269" s="50" t="str">
        <x:v>LONG</x:v>
      </x:c>
      <x:c r="I269" s="71" t="n">
        <x:v>55.62</x:v>
      </x:c>
      <x:c r="J269" s="76" t="str">
        <x:v>SIP</x:v>
      </x:c>
    </x:row>
    <x:row r="270">
      <x:c r="A270" s="50" t="str">
        <x:v>019fdc71-f07e-74ae-a012-4d5e5103be19</x:v>
      </x:c>
      <x:c r="B270" s="50" t="str">
        <x:v>XOM</x:v>
      </x:c>
      <x:c r="C270" s="70" t="n">
        <x:v>46241.56808440972</x:v>
      </x:c>
      <x:c r="D270" s="50" t="str">
        <x:v>ENTRY_WATCH</x:v>
      </x:c>
      <x:c r="E270" s="50" t="str">
        <x:v>XOM ENTRY IN_ZONE EARLY WATCH</x:v>
      </x:c>
      <x:c r="F270" s="50" t="str">
        <x:v>WATCH</x:v>
      </x:c>
      <x:c r="G270" s="50"/>
      <x:c r="H270" s="50" t="str">
        <x:v>LONG</x:v>
      </x:c>
      <x:c r="I270" s="71" t="n">
        <x:v>152.21</x:v>
      </x:c>
      <x:c r="J270" s="76" t="str">
        <x:v>SIP</x:v>
      </x:c>
    </x:row>
    <x:row r="271">
      <x:c r="A271" s="50" t="str">
        <x:v>019fdc71-f538-79dd-8c30-84b885cc852c</x:v>
      </x:c>
      <x:c r="B271" s="50" t="str">
        <x:v>MRK</x:v>
      </x:c>
      <x:c r="C271" s="70" t="n">
        <x:v>46241.56809842592</x:v>
      </x:c>
      <x:c r="D271" s="50" t="str">
        <x:v>ENTRY_WATCH</x:v>
      </x:c>
      <x:c r="E271" s="50" t="str">
        <x:v>MRK ENTRY BREAKAWAY WATCH</x:v>
      </x:c>
      <x:c r="F271" s="50" t="str">
        <x:v>WATCH</x:v>
      </x:c>
      <x:c r="G271" s="50"/>
      <x:c r="H271" s="50" t="str">
        <x:v>LONG</x:v>
      </x:c>
      <x:c r="I271" s="71" t="n">
        <x:v>127.59</x:v>
      </x:c>
      <x:c r="J271" s="76" t="str">
        <x:v>SIP</x:v>
      </x:c>
    </x:row>
    <x:row r="272">
      <x:c r="A272" s="50" t="str">
        <x:v>019fdc72-dad5-7a2e-8e38-bd374e177252</x:v>
      </x:c>
      <x:c r="B272" s="50" t="str">
        <x:v>KDP</x:v>
      </x:c>
      <x:c r="C272" s="70" t="n">
        <x:v>46241.568778761575</x:v>
      </x:c>
      <x:c r="D272" s="50" t="str">
        <x:v>LONG_BUY_ZONE</x:v>
      </x:c>
      <x:c r="E272" s="50" t="str">
        <x:v>KDP LONG BUY ZONE</x:v>
      </x:c>
      <x:c r="F272" s="50" t="str">
        <x:v>WATCH</x:v>
      </x:c>
      <x:c r="G272" s="50"/>
      <x:c r="H272" s="50" t="str">
        <x:v>LONG</x:v>
      </x:c>
      <x:c r="I272" s="71" t="n">
        <x:v>29.555</x:v>
      </x:c>
      <x:c r="J272" s="76" t="str">
        <x:v>SIP</x:v>
      </x:c>
    </x:row>
    <x:row r="273">
      <x:c r="A273" s="50" t="str">
        <x:v>019fdc72-ddde-7967-8ec4-0a647ec234a4</x:v>
      </x:c>
      <x:c r="B273" s="50" t="str">
        <x:v>MRK</x:v>
      </x:c>
      <x:c r="C273" s="70" t="n">
        <x:v>46241.56878775463</x:v>
      </x:c>
      <x:c r="D273" s="50" t="str">
        <x:v>ENTRY_WATCH</x:v>
      </x:c>
      <x:c r="E273" s="50" t="str">
        <x:v>MRK ENTRY IN_ZONE EARLY WATCH</x:v>
      </x:c>
      <x:c r="F273" s="50" t="str">
        <x:v>WATCH</x:v>
      </x:c>
      <x:c r="G273" s="50"/>
      <x:c r="H273" s="50" t="str">
        <x:v>LONG</x:v>
      </x:c>
      <x:c r="I273" s="71" t="n">
        <x:v>127.38</x:v>
      </x:c>
      <x:c r="J273" s="76" t="str">
        <x:v>SIP</x:v>
      </x:c>
    </x:row>
    <x:row r="274">
      <x:c r="A274" s="50" t="str">
        <x:v>019fdc73-c4ca-7178-8a00-c01b9a0deeef</x:v>
      </x:c>
      <x:c r="B274" s="50" t="str">
        <x:v>DE</x:v>
      </x:c>
      <x:c r="C274" s="70" t="n">
        <x:v>46241.569471967596</x:v>
      </x:c>
      <x:c r="D274" s="50" t="str">
        <x:v>ENTRY_WATCH</x:v>
      </x:c>
      <x:c r="E274" s="50" t="str">
        <x:v>DE ENTRY BREAKAWAY WATCH</x:v>
      </x:c>
      <x:c r="F274" s="50" t="str">
        <x:v>WATCH</x:v>
      </x:c>
      <x:c r="G274" s="50"/>
      <x:c r="H274" s="50" t="str">
        <x:v>LONG</x:v>
      </x:c>
      <x:c r="I274" s="71" t="n">
        <x:v>616.24</x:v>
      </x:c>
      <x:c r="J274" s="76" t="str">
        <x:v>SIP</x:v>
      </x:c>
    </x:row>
    <x:row r="275">
      <x:c r="A275" s="50" t="str">
        <x:v>019fdc73-c538-78a4-93ce-ea2963347e9a</x:v>
      </x:c>
      <x:c r="B275" s="50" t="str">
        <x:v>DE</x:v>
      </x:c>
      <x:c r="C275" s="70" t="n">
        <x:v>46241.56947324074</x:v>
      </x:c>
      <x:c r="D275" s="50" t="str">
        <x:v>ENTRY_OPPORTUNITY_PROGRESS</x:v>
      </x:c>
      <x:c r="E275" s="50" t="str">
        <x:v>DE ENTRY ARMED [##--------]</x:v>
      </x:c>
      <x:c r="F275" s="50" t="str">
        <x:v>INFO</x:v>
      </x:c>
      <x:c r="G275" s="50"/>
      <x:c r="H275" s="50" t="str">
        <x:v>LONG</x:v>
      </x:c>
      <x:c r="I275" s="71" t="n">
        <x:v>616.24</x:v>
      </x:c>
      <x:c r="J275" s="76" t="str">
        <x:v>SIP</x:v>
      </x:c>
    </x:row>
    <x:row r="276">
      <x:c r="A276" s="50" t="str">
        <x:v>019fdc73-cb3b-7576-9d96-5ca9e33eaeca</x:v>
      </x:c>
      <x:c r="B276" s="50" t="str">
        <x:v>KO</x:v>
      </x:c>
      <x:c r="C276" s="70" t="n">
        <x:v>46241.56949105324</x:v>
      </x:c>
      <x:c r="D276" s="50" t="str">
        <x:v>LONG_BUY_ZONE</x:v>
      </x:c>
      <x:c r="E276" s="50" t="str">
        <x:v>KO LONG BUY ZONE</x:v>
      </x:c>
      <x:c r="F276" s="50" t="str">
        <x:v>WATCH</x:v>
      </x:c>
      <x:c r="G276" s="50"/>
      <x:c r="H276" s="50" t="str">
        <x:v>LONG</x:v>
      </x:c>
      <x:c r="I276" s="71" t="n">
        <x:v>86.67</x:v>
      </x:c>
      <x:c r="J276" s="76" t="str">
        <x:v>SIP</x:v>
      </x:c>
    </x:row>
    <x:row r="277">
      <x:c r="A277" s="50" t="str">
        <x:v>019fdc74-ad32-732a-9af9-2dad7eed6eac</x:v>
      </x:c>
      <x:c r="B277" s="50" t="str">
        <x:v>APA</x:v>
      </x:c>
      <x:c r="C277" s="70" t="n">
        <x:v>46241.5701605787</x:v>
      </x:c>
      <x:c r="D277" s="50" t="str">
        <x:v>LONG_BUY_ZONE</x:v>
      </x:c>
      <x:c r="E277" s="50" t="str">
        <x:v>APA LONG BUY ZONE</x:v>
      </x:c>
      <x:c r="F277" s="50" t="str">
        <x:v>WATCH</x:v>
      </x:c>
      <x:c r="G277" s="50"/>
      <x:c r="H277" s="50" t="str">
        <x:v>LONG</x:v>
      </x:c>
      <x:c r="I277" s="71" t="n">
        <x:v>35.72</x:v>
      </x:c>
      <x:c r="J277" s="76" t="str">
        <x:v>SIP</x:v>
      </x:c>
    </x:row>
    <x:row r="278">
      <x:c r="A278" s="50" t="str">
        <x:v>019fdc74-b5b7-70ec-80ad-9e81f1bdba1c</x:v>
      </x:c>
      <x:c r="B278" s="50" t="str">
        <x:v>MRK</x:v>
      </x:c>
      <x:c r="C278" s="70" t="n">
        <x:v>46241.57018582176</x:v>
      </x:c>
      <x:c r="D278" s="50" t="str">
        <x:v>LONG_BUY_ZONE</x:v>
      </x:c>
      <x:c r="E278" s="50" t="str">
        <x:v>MRK LONG BUY ZONE</x:v>
      </x:c>
      <x:c r="F278" s="50" t="str">
        <x:v>WATCH</x:v>
      </x:c>
      <x:c r="G278" s="50"/>
      <x:c r="H278" s="50" t="str">
        <x:v>LONG</x:v>
      </x:c>
      <x:c r="I278" s="71" t="n">
        <x:v>127.725</x:v>
      </x:c>
      <x:c r="J278" s="76" t="str">
        <x:v>SIP</x:v>
      </x:c>
    </x:row>
    <x:row r="279">
      <x:c r="A279" s="50" t="str">
        <x:v>019fdc74-b76b-7bc4-8612-dbf20fca1f06</x:v>
      </x:c>
      <x:c r="B279" s="50" t="str">
        <x:v>MRK</x:v>
      </x:c>
      <x:c r="C279" s="70" t="n">
        <x:v>46241.57019086806</x:v>
      </x:c>
      <x:c r="D279" s="50" t="str">
        <x:v>ENTRY_WATCH</x:v>
      </x:c>
      <x:c r="E279" s="50" t="str">
        <x:v>MRK ENTRY BREAKAWAY WATCH</x:v>
      </x:c>
      <x:c r="F279" s="50" t="str">
        <x:v>WATCH</x:v>
      </x:c>
      <x:c r="G279" s="50"/>
      <x:c r="H279" s="50" t="str">
        <x:v>LONG</x:v>
      </x:c>
      <x:c r="I279" s="71" t="n">
        <x:v>127.725</x:v>
      </x:c>
      <x:c r="J279" s="76" t="str">
        <x:v>SIP</x:v>
      </x:c>
    </x:row>
    <x:row r="280">
      <x:c r="A280" s="50" t="str">
        <x:v>019fdc74-b93b-7ead-a7a4-0631df3ebe7a</x:v>
      </x:c>
      <x:c r="B280" s="50" t="str">
        <x:v>VRTX</x:v>
      </x:c>
      <x:c r="C280" s="70" t="n">
        <x:v>46241.57019623843</x:v>
      </x:c>
      <x:c r="D280" s="50" t="str">
        <x:v>ENTRY_WATCH</x:v>
      </x:c>
      <x:c r="E280" s="50" t="str">
        <x:v>VRTX ENTRY BREAKAWAY WATCH</x:v>
      </x:c>
      <x:c r="F280" s="50" t="str">
        <x:v>WATCH</x:v>
      </x:c>
      <x:c r="G280" s="50"/>
      <x:c r="H280" s="50" t="str">
        <x:v>LONG</x:v>
      </x:c>
      <x:c r="I280" s="71" t="n">
        <x:v>486.925</x:v>
      </x:c>
      <x:c r="J280" s="76" t="str">
        <x:v>SIP</x:v>
      </x:c>
    </x:row>
    <x:row r="281">
      <x:c r="A281" s="50" t="str">
        <x:v>019fdc75-9824-735b-ac7d-c6af16de3cd1</x:v>
      </x:c>
      <x:c r="B281" s="50" t="str">
        <x:v>SBUX</x:v>
      </x:c>
      <x:c r="C281" s="70" t="n">
        <x:v>46241.57085671296</x:v>
      </x:c>
      <x:c r="D281" s="50" t="str">
        <x:v>LONG_BUY_ZONE</x:v>
      </x:c>
      <x:c r="E281" s="50" t="str">
        <x:v>SBUX LONG BUY ZONE</x:v>
      </x:c>
      <x:c r="F281" s="50" t="str">
        <x:v>WATCH</x:v>
      </x:c>
      <x:c r="G281" s="50"/>
      <x:c r="H281" s="50" t="str">
        <x:v>LONG</x:v>
      </x:c>
      <x:c r="I281" s="71" t="n">
        <x:v>104.51</x:v>
      </x:c>
      <x:c r="J281" s="76" t="str">
        <x:v>SIP</x:v>
      </x:c>
    </x:row>
    <x:row r="282">
      <x:c r="A282" s="50" t="str">
        <x:v>019fdc75-a0dc-7397-bed5-747e22fa8a46</x:v>
      </x:c>
      <x:c r="B282" s="50" t="str">
        <x:v>CLPT</x:v>
      </x:c>
      <x:c r="C282" s="70" t="n">
        <x:v>46241.57088254629</x:v>
      </x:c>
      <x:c r="D282" s="50" t="str">
        <x:v>ENTRY_WATCH</x:v>
      </x:c>
      <x:c r="E282" s="50" t="str">
        <x:v>CLPT ENTRY ARMED</x:v>
      </x:c>
      <x:c r="F282" s="50" t="str">
        <x:v>INFO</x:v>
      </x:c>
      <x:c r="G282" s="50"/>
      <x:c r="H282" s="50" t="str">
        <x:v>LONG</x:v>
      </x:c>
      <x:c r="I282" s="71" t="n">
        <x:v>14.285</x:v>
      </x:c>
      <x:c r="J282" s="76" t="str">
        <x:v>SIP</x:v>
      </x:c>
    </x:row>
    <x:row r="283">
      <x:c r="A283" s="50" t="str">
        <x:v>019fdc75-a134-7281-a22b-3f77be077a68</x:v>
      </x:c>
      <x:c r="B283" s="50" t="str">
        <x:v>CLPT</x:v>
      </x:c>
      <x:c r="C283" s="70" t="n">
        <x:v>46241.57088356482</x:v>
      </x:c>
      <x:c r="D283" s="50" t="str">
        <x:v>ENTRY_OPPORTUNITY_PROGRESS</x:v>
      </x:c>
      <x:c r="E283" s="50" t="str">
        <x:v>CLPT ENTRY ARMED [##--------]</x:v>
      </x:c>
      <x:c r="F283" s="50" t="str">
        <x:v>INFO</x:v>
      </x:c>
      <x:c r="G283" s="50"/>
      <x:c r="H283" s="50" t="str">
        <x:v>LONG</x:v>
      </x:c>
      <x:c r="I283" s="71" t="n">
        <x:v>14.285</x:v>
      </x:c>
      <x:c r="J283" s="76" t="str">
        <x:v>SIP</x:v>
      </x:c>
    </x:row>
    <x:row r="284">
      <x:c r="A284" s="50" t="str">
        <x:v>019fdc76-8244-76b8-9e00-a78b5836f06a</x:v>
      </x:c>
      <x:c r="B284" s="50" t="str">
        <x:v>VRTX</x:v>
      </x:c>
      <x:c r="C284" s="70" t="n">
        <x:v>46241.571550416666</x:v>
      </x:c>
      <x:c r="D284" s="50" t="str">
        <x:v>ENTRY_WATCH</x:v>
      </x:c>
      <x:c r="E284" s="50" t="str">
        <x:v>VRTX ENTRY IN_ZONE EARLY WATCH</x:v>
      </x:c>
      <x:c r="F284" s="50" t="str">
        <x:v>WATCH</x:v>
      </x:c>
      <x:c r="G284" s="50"/>
      <x:c r="H284" s="50" t="str">
        <x:v>LONG</x:v>
      </x:c>
      <x:c r="I284" s="71" t="n">
        <x:v>486.87</x:v>
      </x:c>
      <x:c r="J284" s="76" t="str">
        <x:v>SIP</x:v>
      </x:c>
    </x:row>
    <x:row r="285">
      <x:c r="A285" s="50" t="str">
        <x:v>019fdc77-74cf-7005-bcd0-8282e31188d9</x:v>
      </x:c>
      <x:c r="B285" s="50" t="str">
        <x:v>XOM</x:v>
      </x:c>
      <x:c r="C285" s="70" t="n">
        <x:v>46241.5722690625</x:v>
      </x:c>
      <x:c r="D285" s="50" t="str">
        <x:v>LONG_BUY_ZONE</x:v>
      </x:c>
      <x:c r="E285" s="50" t="str">
        <x:v>XOM LONG BUY ZONE</x:v>
      </x:c>
      <x:c r="F285" s="50" t="str">
        <x:v>WATCH</x:v>
      </x:c>
      <x:c r="G285" s="50"/>
      <x:c r="H285" s="50" t="str">
        <x:v>LONG</x:v>
      </x:c>
      <x:c r="I285" s="71" t="n">
        <x:v>151.75</x:v>
      </x:c>
      <x:c r="J285" s="76" t="str">
        <x:v>SIP</x:v>
      </x:c>
    </x:row>
    <x:row r="286">
      <x:c r="A286" s="50" t="str">
        <x:v>019fdc77-7985-722f-a49d-30fb1086c5bc</x:v>
      </x:c>
      <x:c r="B286" s="50" t="str">
        <x:v>VRTX</x:v>
      </x:c>
      <x:c r="C286" s="70" t="n">
        <x:v>46241.57228302083</x:v>
      </x:c>
      <x:c r="D286" s="50" t="str">
        <x:v>LONG_BUY_ZONE</x:v>
      </x:c>
      <x:c r="E286" s="50" t="str">
        <x:v>VRTX LONG BUY ZONE</x:v>
      </x:c>
      <x:c r="F286" s="50" t="str">
        <x:v>WATCH</x:v>
      </x:c>
      <x:c r="G286" s="50"/>
      <x:c r="H286" s="50" t="str">
        <x:v>LONG</x:v>
      </x:c>
      <x:c r="I286" s="71" t="n">
        <x:v>486.365</x:v>
      </x:c>
      <x:c r="J286" s="76" t="str">
        <x:v>SIP</x:v>
      </x:c>
    </x:row>
    <x:row r="287">
      <x:c r="A287" s="50" t="str">
        <x:v>019fdc78-6064-7e35-977a-6435e304709b</x:v>
      </x:c>
      <x:c r="B287" s="50" t="str">
        <x:v>CLPT</x:v>
      </x:c>
      <x:c r="C287" s="70" t="n">
        <x:v>46241.57296708333</x:v>
      </x:c>
      <x:c r="D287" s="50" t="str">
        <x:v>ENTRY_WATCH</x:v>
      </x:c>
      <x:c r="E287" s="50" t="str">
        <x:v>CLPT ENTRY IN_ZONE EARLY WATCH</x:v>
      </x:c>
      <x:c r="F287" s="50" t="str">
        <x:v>WATCH</x:v>
      </x:c>
      <x:c r="G287" s="50"/>
      <x:c r="H287" s="50" t="str">
        <x:v>LONG</x:v>
      </x:c>
      <x:c r="I287" s="71" t="n">
        <x:v>14.19</x:v>
      </x:c>
      <x:c r="J287" s="76" t="str">
        <x:v>SIP</x:v>
      </x:c>
    </x:row>
    <x:row r="288">
      <x:c r="A288" s="50" t="str">
        <x:v>019fdc78-6174-7ec8-84cb-1a8c3db69a0e</x:v>
      </x:c>
      <x:c r="B288" s="50" t="str">
        <x:v>PM</x:v>
      </x:c>
      <x:c r="C288" s="70" t="n">
        <x:v>46241.57297023148</x:v>
      </x:c>
      <x:c r="D288" s="50" t="str">
        <x:v>LONG_BUY_ZONE</x:v>
      </x:c>
      <x:c r="E288" s="50" t="str">
        <x:v>PM LONG BUY ZONE</x:v>
      </x:c>
      <x:c r="F288" s="50" t="str">
        <x:v>WATCH</x:v>
      </x:c>
      <x:c r="G288" s="50"/>
      <x:c r="H288" s="50" t="str">
        <x:v>LONG</x:v>
      </x:c>
      <x:c r="I288" s="71" t="n">
        <x:v>187.56</x:v>
      </x:c>
      <x:c r="J288" s="76" t="str">
        <x:v>SIP</x:v>
      </x:c>
    </x:row>
    <x:row r="289">
      <x:c r="A289" s="50" t="str">
        <x:v>019fdc79-3f31-79e0-a0b2-caef851899a0</x:v>
      </x:c>
      <x:c r="B289" s="50" t="str">
        <x:v>KO</x:v>
      </x:c>
      <x:c r="C289" s="70" t="n">
        <x:v>46241.573627233796</x:v>
      </x:c>
      <x:c r="D289" s="50" t="str">
        <x:v>SWING_SETUP</x:v>
      </x:c>
      <x:c r="E289" s="50" t="str">
        <x:v>KO SWING SETUP</x:v>
      </x:c>
      <x:c r="F289" s="50" t="str">
        <x:v>WATCH</x:v>
      </x:c>
      <x:c r="G289" s="50"/>
      <x:c r="H289" s="50" t="str">
        <x:v>LONG</x:v>
      </x:c>
      <x:c r="I289" s="71" t="n">
        <x:v>86.675</x:v>
      </x:c>
      <x:c r="J289" s="76" t="str">
        <x:v>SIP</x:v>
      </x:c>
    </x:row>
    <x:row r="290">
      <x:c r="A290" s="50" t="str">
        <x:v>019fdc79-3f94-75cd-bc56-2fb280a09590</x:v>
      </x:c>
      <x:c r="B290" s="50" t="str">
        <x:v>SMR</x:v>
      </x:c>
      <x:c r="C290" s="70" t="n">
        <x:v>46241.57362837963</x:v>
      </x:c>
      <x:c r="D290" s="50" t="str">
        <x:v>SWING_SETUP</x:v>
      </x:c>
      <x:c r="E290" s="50" t="str">
        <x:v>SMR SWING SETUP</x:v>
      </x:c>
      <x:c r="F290" s="50" t="str">
        <x:v>WATCH</x:v>
      </x:c>
      <x:c r="G290" s="50"/>
      <x:c r="H290" s="50" t="str">
        <x:v>LONG</x:v>
      </x:c>
      <x:c r="I290" s="71" t="n">
        <x:v>9.845</x:v>
      </x:c>
      <x:c r="J290" s="76" t="str">
        <x:v>SIP</x:v>
      </x:c>
    </x:row>
    <x:row r="291">
      <x:c r="A291" s="50" t="str">
        <x:v>019fdc79-401c-7be9-821c-52641985b70d</x:v>
      </x:c>
      <x:c r="B291" s="50" t="str">
        <x:v>NVDA</x:v>
      </x:c>
      <x:c r="C291" s="70" t="n">
        <x:v>46241.5736299537</x:v>
      </x:c>
      <x:c r="D291" s="50" t="str">
        <x:v>SWING_SETUP</x:v>
      </x:c>
      <x:c r="E291" s="50" t="str">
        <x:v>NVDA SWING SETUP</x:v>
      </x:c>
      <x:c r="F291" s="50" t="str">
        <x:v>WATCH</x:v>
      </x:c>
      <x:c r="G291" s="50"/>
      <x:c r="H291" s="50" t="str">
        <x:v>LONG</x:v>
      </x:c>
      <x:c r="I291" s="71" t="n">
        <x:v>222.275</x:v>
      </x:c>
      <x:c r="J291" s="76" t="str">
        <x:v>SIP</x:v>
      </x:c>
    </x:row>
    <x:row r="292">
      <x:c r="A292" s="50" t="str">
        <x:v>019fdc79-409b-7323-8eb8-e4641e430548</x:v>
      </x:c>
      <x:c r="B292" s="50" t="str">
        <x:v>UNP</x:v>
      </x:c>
      <x:c r="C292" s="70" t="n">
        <x:v>46241.57363142361</x:v>
      </x:c>
      <x:c r="D292" s="50" t="str">
        <x:v>SWING_SETUP</x:v>
      </x:c>
      <x:c r="E292" s="50" t="str">
        <x:v>UNP SWING SETUP</x:v>
      </x:c>
      <x:c r="F292" s="50" t="str">
        <x:v>WATCH</x:v>
      </x:c>
      <x:c r="G292" s="50"/>
      <x:c r="H292" s="50" t="str">
        <x:v>LONG</x:v>
      </x:c>
      <x:c r="I292" s="71" t="n">
        <x:v>294.225</x:v>
      </x:c>
      <x:c r="J292" s="76" t="str">
        <x:v>SIP</x:v>
      </x:c>
    </x:row>
    <x:row r="293">
      <x:c r="A293" s="50" t="str">
        <x:v>019fdc79-4164-7f83-a57d-082122c19fdd</x:v>
      </x:c>
      <x:c r="B293" s="50" t="str">
        <x:v>MA</x:v>
      </x:c>
      <x:c r="C293" s="70" t="n">
        <x:v>46241.57363375</x:v>
      </x:c>
      <x:c r="D293" s="50" t="str">
        <x:v>SWING_SETUP</x:v>
      </x:c>
      <x:c r="E293" s="50" t="str">
        <x:v>MA SWING SETUP</x:v>
      </x:c>
      <x:c r="F293" s="50" t="str">
        <x:v>WATCH</x:v>
      </x:c>
      <x:c r="G293" s="50"/>
      <x:c r="H293" s="50" t="str">
        <x:v>LONG</x:v>
      </x:c>
      <x:c r="I293" s="71" t="n">
        <x:v>573.86</x:v>
      </x:c>
      <x:c r="J293" s="76" t="str">
        <x:v>SIP</x:v>
      </x:c>
    </x:row>
    <x:row r="294">
      <x:c r="A294" s="50" t="str">
        <x:v>019fdc79-4183-7491-a662-b6a95dfdc4a8</x:v>
      </x:c>
      <x:c r="B294" s="50" t="str">
        <x:v>SNOW</x:v>
      </x:c>
      <x:c r="C294" s="70" t="n">
        <x:v>46241.5736341088</x:v>
      </x:c>
      <x:c r="D294" s="50" t="str">
        <x:v>SWING_SETUP</x:v>
      </x:c>
      <x:c r="E294" s="50" t="str">
        <x:v>SNOW SWING SETUP</x:v>
      </x:c>
      <x:c r="F294" s="50" t="str">
        <x:v>WATCH</x:v>
      </x:c>
      <x:c r="G294" s="50"/>
      <x:c r="H294" s="50" t="str">
        <x:v>LONG</x:v>
      </x:c>
      <x:c r="I294" s="71" t="n">
        <x:v>325.2</x:v>
      </x:c>
      <x:c r="J294" s="76" t="str">
        <x:v>SIP</x:v>
      </x:c>
    </x:row>
    <x:row r="295">
      <x:c r="A295" s="50" t="str">
        <x:v>019fdc79-41ac-70d4-a9fa-297e4ee5f6c4</x:v>
      </x:c>
      <x:c r="B295" s="50" t="str">
        <x:v>BABA</x:v>
      </x:c>
      <x:c r="C295" s="70" t="n">
        <x:v>46241.573634583336</x:v>
      </x:c>
      <x:c r="D295" s="50" t="str">
        <x:v>SWING_SETUP</x:v>
      </x:c>
      <x:c r="E295" s="50" t="str">
        <x:v>BABA SWING SETUP</x:v>
      </x:c>
      <x:c r="F295" s="50" t="str">
        <x:v>WATCH</x:v>
      </x:c>
      <x:c r="G295" s="50"/>
      <x:c r="H295" s="50" t="str">
        <x:v>LONG</x:v>
      </x:c>
      <x:c r="I295" s="71" t="n">
        <x:v>127.01</x:v>
      </x:c>
      <x:c r="J295" s="76" t="str">
        <x:v>SIP</x:v>
      </x:c>
    </x:row>
    <x:row r="296">
      <x:c r="A296" s="50" t="str">
        <x:v>019fdc79-41f1-74f5-a429-6200adadc59c</x:v>
      </x:c>
      <x:c r="B296" s="50" t="str">
        <x:v>WELL</x:v>
      </x:c>
      <x:c r="C296" s="70" t="n">
        <x:v>46241.573635381945</x:v>
      </x:c>
      <x:c r="D296" s="50" t="str">
        <x:v>SWING_SETUP</x:v>
      </x:c>
      <x:c r="E296" s="50" t="str">
        <x:v>WELL SWING SETUP</x:v>
      </x:c>
      <x:c r="F296" s="50" t="str">
        <x:v>WATCH</x:v>
      </x:c>
      <x:c r="G296" s="50"/>
      <x:c r="H296" s="50" t="str">
        <x:v>LONG</x:v>
      </x:c>
      <x:c r="I296" s="71" t="n">
        <x:v>236.84</x:v>
      </x:c>
      <x:c r="J296" s="76" t="str">
        <x:v>SIP</x:v>
      </x:c>
    </x:row>
    <x:row r="297">
      <x:c r="A297" s="50" t="str">
        <x:v>019fdc79-423e-71ae-99eb-af328bd6a093</x:v>
      </x:c>
      <x:c r="B297" s="50" t="str">
        <x:v>BMY</x:v>
      </x:c>
      <x:c r="C297" s="70" t="n">
        <x:v>46241.57363627315</x:v>
      </x:c>
      <x:c r="D297" s="50" t="str">
        <x:v>SWING_SETUP</x:v>
      </x:c>
      <x:c r="E297" s="50" t="str">
        <x:v>BMY SWING SETUP</x:v>
      </x:c>
      <x:c r="F297" s="50" t="str">
        <x:v>WATCH</x:v>
      </x:c>
      <x:c r="G297" s="50"/>
      <x:c r="H297" s="50" t="str">
        <x:v>LONG</x:v>
      </x:c>
      <x:c r="I297" s="71" t="n">
        <x:v>64.24</x:v>
      </x:c>
      <x:c r="J297" s="76" t="str">
        <x:v>SIP</x:v>
      </x:c>
    </x:row>
    <x:row r="298">
      <x:c r="A298" s="50" t="str">
        <x:v>019fdc79-427d-7293-a6bc-d9264ba777db</x:v>
      </x:c>
      <x:c r="B298" s="50" t="str">
        <x:v>MDLZ</x:v>
      </x:c>
      <x:c r="C298" s="70" t="n">
        <x:v>46241.573637002315</x:v>
      </x:c>
      <x:c r="D298" s="50" t="str">
        <x:v>SWING_SETUP</x:v>
      </x:c>
      <x:c r="E298" s="50" t="str">
        <x:v>MDLZ SWING SETUP</x:v>
      </x:c>
      <x:c r="F298" s="50" t="str">
        <x:v>WATCH</x:v>
      </x:c>
      <x:c r="G298" s="50"/>
      <x:c r="H298" s="50" t="str">
        <x:v>LONG</x:v>
      </x:c>
      <x:c r="I298" s="71" t="n">
        <x:v>62.27</x:v>
      </x:c>
      <x:c r="J298" s="76" t="str">
        <x:v>SIP</x:v>
      </x:c>
    </x:row>
    <x:row r="299">
      <x:c r="A299" s="50" t="str">
        <x:v>019fdc79-4294-7a3b-8377-38c39e4efd90</x:v>
      </x:c>
      <x:c r="B299" s="50" t="str">
        <x:v>BAC</x:v>
      </x:c>
      <x:c r="C299" s="70" t="n">
        <x:v>46241.57363726852</x:v>
      </x:c>
      <x:c r="D299" s="50" t="str">
        <x:v>SWING_SETUP</x:v>
      </x:c>
      <x:c r="E299" s="50" t="str">
        <x:v>BAC SWING SETUP</x:v>
      </x:c>
      <x:c r="F299" s="50" t="str">
        <x:v>WATCH</x:v>
      </x:c>
      <x:c r="G299" s="50"/>
      <x:c r="H299" s="50" t="str">
        <x:v>LONG</x:v>
      </x:c>
      <x:c r="I299" s="71" t="n">
        <x:v>62.75</x:v>
      </x:c>
      <x:c r="J299" s="76" t="str">
        <x:v>SIP</x:v>
      </x:c>
    </x:row>
    <x:row r="300">
      <x:c r="A300" s="50" t="str">
        <x:v>019fdc79-42b5-78cb-add8-28143f9f88f8</x:v>
      </x:c>
      <x:c r="B300" s="50" t="str">
        <x:v>JPM</x:v>
      </x:c>
      <x:c r="C300" s="70" t="n">
        <x:v>46241.573637650465</x:v>
      </x:c>
      <x:c r="D300" s="50" t="str">
        <x:v>SWING_SETUP</x:v>
      </x:c>
      <x:c r="E300" s="50" t="str">
        <x:v>JPM SWING SETUP</x:v>
      </x:c>
      <x:c r="F300" s="50" t="str">
        <x:v>WATCH</x:v>
      </x:c>
      <x:c r="G300" s="50"/>
      <x:c r="H300" s="50" t="str">
        <x:v>LONG</x:v>
      </x:c>
      <x:c r="I300" s="71" t="n">
        <x:v>356.34</x:v>
      </x:c>
      <x:c r="J300" s="76" t="str">
        <x:v>SIP</x:v>
      </x:c>
    </x:row>
    <x:row r="301">
      <x:c r="A301" s="50" t="str">
        <x:v>019fdc79-42bb-7eb7-8cf5-1ec50703e0df</x:v>
      </x:c>
      <x:c r="B301" s="50" t="str">
        <x:v>LITE</x:v>
      </x:c>
      <x:c r="C301" s="70" t="n">
        <x:v>46241.57363771991</x:v>
      </x:c>
      <x:c r="D301" s="50" t="str">
        <x:v>SWING_SETUP</x:v>
      </x:c>
      <x:c r="E301" s="50" t="str">
        <x:v>LITE SWING SETUP</x:v>
      </x:c>
      <x:c r="F301" s="50" t="str">
        <x:v>WATCH</x:v>
      </x:c>
      <x:c r="G301" s="50"/>
      <x:c r="H301" s="50" t="str">
        <x:v>LONG</x:v>
      </x:c>
      <x:c r="I301" s="71" t="n">
        <x:v>927</x:v>
      </x:c>
      <x:c r="J301" s="76" t="str">
        <x:v>SIP</x:v>
      </x:c>
    </x:row>
    <x:row r="302">
      <x:c r="A302" s="50" t="str">
        <x:v>019fdc79-42c7-7dc1-b50f-b7a435963589</x:v>
      </x:c>
      <x:c r="B302" s="50" t="str">
        <x:v>ABNB</x:v>
      </x:c>
      <x:c r="C302" s="70" t="n">
        <x:v>46241.5736378588</x:v>
      </x:c>
      <x:c r="D302" s="50" t="str">
        <x:v>SWING_SETUP</x:v>
      </x:c>
      <x:c r="E302" s="50" t="str">
        <x:v>ABNB SWING SETUP</x:v>
      </x:c>
      <x:c r="F302" s="50" t="str">
        <x:v>WATCH</x:v>
      </x:c>
      <x:c r="G302" s="50"/>
      <x:c r="H302" s="50" t="str">
        <x:v>LONG</x:v>
      </x:c>
      <x:c r="I302" s="71" t="n">
        <x:v>173.04</x:v>
      </x:c>
      <x:c r="J302" s="76" t="str">
        <x:v>SIP</x:v>
      </x:c>
    </x:row>
    <x:row r="303">
      <x:c r="A303" s="50" t="str">
        <x:v>019fdc79-42e3-7e60-ba09-8fa29968664d</x:v>
      </x:c>
      <x:c r="B303" s="50" t="str">
        <x:v>PFE</x:v>
      </x:c>
      <x:c r="C303" s="70" t="n">
        <x:v>46241.57363818287</x:v>
      </x:c>
      <x:c r="D303" s="50" t="str">
        <x:v>SWING_SETUP</x:v>
      </x:c>
      <x:c r="E303" s="50" t="str">
        <x:v>PFE SWING SETUP</x:v>
      </x:c>
      <x:c r="F303" s="50" t="str">
        <x:v>WATCH</x:v>
      </x:c>
      <x:c r="G303" s="50"/>
      <x:c r="H303" s="50" t="str">
        <x:v>LONG</x:v>
      </x:c>
      <x:c r="I303" s="71" t="n">
        <x:v>26.2019</x:v>
      </x:c>
      <x:c r="J303" s="76" t="str">
        <x:v>SIP</x:v>
      </x:c>
    </x:row>
    <x:row r="304">
      <x:c r="A304" s="50" t="str">
        <x:v>019fdc79-42f2-7c16-b1bf-3cbaa4636c88</x:v>
      </x:c>
      <x:c r="B304" s="50" t="str">
        <x:v>GRAB</x:v>
      </x:c>
      <x:c r="C304" s="70" t="n">
        <x:v>46241.57363835648</x:v>
      </x:c>
      <x:c r="D304" s="50" t="str">
        <x:v>SWING_SETUP</x:v>
      </x:c>
      <x:c r="E304" s="50" t="str">
        <x:v>GRAB SWING SETUP</x:v>
      </x:c>
      <x:c r="F304" s="50" t="str">
        <x:v>WATCH</x:v>
      </x:c>
      <x:c r="G304" s="50"/>
      <x:c r="H304" s="50" t="str">
        <x:v>LONG</x:v>
      </x:c>
      <x:c r="I304" s="71" t="n">
        <x:v>3.675</x:v>
      </x:c>
      <x:c r="J304" s="76" t="str">
        <x:v>SIP</x:v>
      </x:c>
    </x:row>
    <x:row r="305">
      <x:c r="A305" s="50" t="str">
        <x:v>019fdc79-4345-7dda-a6e1-5cb08b987f0f</x:v>
      </x:c>
      <x:c r="B305" s="50" t="str">
        <x:v>ETHA</x:v>
      </x:c>
      <x:c r="C305" s="70" t="n">
        <x:v>46241.57363931713</x:v>
      </x:c>
      <x:c r="D305" s="50" t="str">
        <x:v>SWING_SETUP</x:v>
      </x:c>
      <x:c r="E305" s="50" t="str">
        <x:v>ETHA SWING SETUP</x:v>
      </x:c>
      <x:c r="F305" s="50" t="str">
        <x:v>WATCH</x:v>
      </x:c>
      <x:c r="G305" s="50"/>
      <x:c r="H305" s="50" t="str">
        <x:v>LONG</x:v>
      </x:c>
      <x:c r="I305" s="71" t="n">
        <x:v>14.55</x:v>
      </x:c>
      <x:c r="J305" s="76" t="str">
        <x:v>SIP</x:v>
      </x:c>
    </x:row>
    <x:row r="306">
      <x:c r="A306" s="50" t="str">
        <x:v>019fdc79-4361-79fb-b1f1-f7efa5f74a09</x:v>
      </x:c>
      <x:c r="B306" s="50" t="str">
        <x:v>TMDX</x:v>
      </x:c>
      <x:c r="C306" s="70" t="n">
        <x:v>46241.5736396412</x:v>
      </x:c>
      <x:c r="D306" s="50" t="str">
        <x:v>SWING_SETUP</x:v>
      </x:c>
      <x:c r="E306" s="50" t="str">
        <x:v>TMDX SWING SETUP</x:v>
      </x:c>
      <x:c r="F306" s="50" t="str">
        <x:v>WATCH</x:v>
      </x:c>
      <x:c r="G306" s="50"/>
      <x:c r="H306" s="50" t="str">
        <x:v>LONG</x:v>
      </x:c>
      <x:c r="I306" s="71" t="n">
        <x:v>79.875</x:v>
      </x:c>
      <x:c r="J306" s="76" t="str">
        <x:v>SIP</x:v>
      </x:c>
    </x:row>
    <x:row r="307">
      <x:c r="A307" s="50" t="str">
        <x:v>019fdc79-43ac-7dfb-ae9f-cc716f8caa4d</x:v>
      </x:c>
      <x:c r="B307" s="50" t="str">
        <x:v>DLR</x:v>
      </x:c>
      <x:c r="C307" s="70" t="n">
        <x:v>46241.57364050926</x:v>
      </x:c>
      <x:c r="D307" s="50" t="str">
        <x:v>SWING_SETUP</x:v>
      </x:c>
      <x:c r="E307" s="50" t="str">
        <x:v>DLR SWING SETUP</x:v>
      </x:c>
      <x:c r="F307" s="50" t="str">
        <x:v>WATCH</x:v>
      </x:c>
      <x:c r="G307" s="50"/>
      <x:c r="H307" s="50" t="str">
        <x:v>LONG</x:v>
      </x:c>
      <x:c r="I307" s="71" t="n">
        <x:v>194.46</x:v>
      </x:c>
      <x:c r="J307" s="76" t="str">
        <x:v>SIP</x:v>
      </x:c>
    </x:row>
    <x:row r="308">
      <x:c r="A308" s="50" t="str">
        <x:v>019fdc79-440a-7f39-b93e-c1b57aaa1e2f</x:v>
      </x:c>
      <x:c r="B308" s="50" t="str">
        <x:v>BKNG</x:v>
      </x:c>
      <x:c r="C308" s="70" t="n">
        <x:v>46241.57364159722</x:v>
      </x:c>
      <x:c r="D308" s="50" t="str">
        <x:v>SWING_SETUP</x:v>
      </x:c>
      <x:c r="E308" s="50" t="str">
        <x:v>BKNG SWING SETUP</x:v>
      </x:c>
      <x:c r="F308" s="50" t="str">
        <x:v>WATCH</x:v>
      </x:c>
      <x:c r="G308" s="50"/>
      <x:c r="H308" s="50" t="str">
        <x:v>LONG</x:v>
      </x:c>
      <x:c r="I308" s="71" t="n">
        <x:v>206.68</x:v>
      </x:c>
      <x:c r="J308" s="76" t="str">
        <x:v>SIP</x:v>
      </x:c>
    </x:row>
    <x:row r="309">
      <x:c r="A309" s="50" t="str">
        <x:v>019fdc79-445a-7c1a-aad5-28d91da0e6d9</x:v>
      </x:c>
      <x:c r="B309" s="50" t="str">
        <x:v>CROX</x:v>
      </x:c>
      <x:c r="C309" s="70" t="n">
        <x:v>46241.57364252315</x:v>
      </x:c>
      <x:c r="D309" s="50" t="str">
        <x:v>SWING_SETUP</x:v>
      </x:c>
      <x:c r="E309" s="50" t="str">
        <x:v>CROX SWING SETUP</x:v>
      </x:c>
      <x:c r="F309" s="50" t="str">
        <x:v>WATCH</x:v>
      </x:c>
      <x:c r="G309" s="50"/>
      <x:c r="H309" s="50" t="str">
        <x:v>LONG</x:v>
      </x:c>
      <x:c r="I309" s="71" t="n">
        <x:v>135.535</x:v>
      </x:c>
      <x:c r="J309" s="76" t="str">
        <x:v>SIP</x:v>
      </x:c>
    </x:row>
    <x:row r="310">
      <x:c r="A310" s="50" t="str">
        <x:v>019fdc79-447e-7fba-abb7-aed4d5d0b285</x:v>
      </x:c>
      <x:c r="B310" s="50" t="str">
        <x:v>LMT</x:v>
      </x:c>
      <x:c r="C310" s="70" t="n">
        <x:v>46241.57364293982</x:v>
      </x:c>
      <x:c r="D310" s="50" t="str">
        <x:v>SWING_SETUP</x:v>
      </x:c>
      <x:c r="E310" s="50" t="str">
        <x:v>LMT SWING SETUP</x:v>
      </x:c>
      <x:c r="F310" s="50" t="str">
        <x:v>WATCH</x:v>
      </x:c>
      <x:c r="G310" s="50"/>
      <x:c r="H310" s="50" t="str">
        <x:v>LONG</x:v>
      </x:c>
      <x:c r="I310" s="71" t="n">
        <x:v>579.19</x:v>
      </x:c>
      <x:c r="J310" s="76" t="str">
        <x:v>SIP</x:v>
      </x:c>
    </x:row>
    <x:row r="311">
      <x:c r="A311" s="50" t="str">
        <x:v>019fdc79-44bf-7f3b-aced-a6c77a1688c8</x:v>
      </x:c>
      <x:c r="B311" s="50" t="str">
        <x:v>SE</x:v>
      </x:c>
      <x:c r="C311" s="70" t="n">
        <x:v>46241.57364369213</x:v>
      </x:c>
      <x:c r="D311" s="50" t="str">
        <x:v>SWING_SETUP</x:v>
      </x:c>
      <x:c r="E311" s="50" t="str">
        <x:v>SE SWING SETUP</x:v>
      </x:c>
      <x:c r="F311" s="50" t="str">
        <x:v>WATCH</x:v>
      </x:c>
      <x:c r="G311" s="50"/>
      <x:c r="H311" s="50" t="str">
        <x:v>LONG</x:v>
      </x:c>
      <x:c r="I311" s="71" t="n">
        <x:v>113.27</x:v>
      </x:c>
      <x:c r="J311" s="76" t="str">
        <x:v>SIP</x:v>
      </x:c>
    </x:row>
    <x:row r="312">
      <x:c r="A312" s="50" t="str">
        <x:v>019fdc79-44dd-7674-a02e-fe6498bd164e</x:v>
      </x:c>
      <x:c r="B312" s="50" t="str">
        <x:v>CEG</x:v>
      </x:c>
      <x:c r="C312" s="70" t="n">
        <x:v>46241.57364403935</x:v>
      </x:c>
      <x:c r="D312" s="50" t="str">
        <x:v>SWING_SETUP</x:v>
      </x:c>
      <x:c r="E312" s="50" t="str">
        <x:v>CEG SWING SETUP</x:v>
      </x:c>
      <x:c r="F312" s="50" t="str">
        <x:v>WATCH</x:v>
      </x:c>
      <x:c r="G312" s="50"/>
      <x:c r="H312" s="50" t="str">
        <x:v>LONG</x:v>
      </x:c>
      <x:c r="I312" s="71" t="n">
        <x:v>266.635</x:v>
      </x:c>
      <x:c r="J312" s="76" t="str">
        <x:v>SIP</x:v>
      </x:c>
    </x:row>
    <x:row r="313">
      <x:c r="A313" s="50" t="str">
        <x:v>019fdc79-44ef-7371-89db-7843acf500b6</x:v>
      </x:c>
      <x:c r="B313" s="50" t="str">
        <x:v>SCHW</x:v>
      </x:c>
      <x:c r="C313" s="70" t="n">
        <x:v>46241.573644247685</x:v>
      </x:c>
      <x:c r="D313" s="50" t="str">
        <x:v>SWING_SETUP</x:v>
      </x:c>
      <x:c r="E313" s="50" t="str">
        <x:v>SCHW SWING SETUP</x:v>
      </x:c>
      <x:c r="F313" s="50" t="str">
        <x:v>WATCH</x:v>
      </x:c>
      <x:c r="G313" s="50"/>
      <x:c r="H313" s="50" t="str">
        <x:v>LONG</x:v>
      </x:c>
      <x:c r="I313" s="71" t="n">
        <x:v>106.89</x:v>
      </x:c>
      <x:c r="J313" s="76" t="str">
        <x:v>SIP</x:v>
      </x:c>
    </x:row>
    <x:row r="314">
      <x:c r="A314" s="50" t="str">
        <x:v>019fdc79-44fc-7b4c-ab3c-2269eaf8d061</x:v>
      </x:c>
      <x:c r="B314" s="50" t="str">
        <x:v>MSFT</x:v>
      </x:c>
      <x:c r="C314" s="70" t="n">
        <x:v>46241.57364439815</x:v>
      </x:c>
      <x:c r="D314" s="50" t="str">
        <x:v>SWING_SETUP</x:v>
      </x:c>
      <x:c r="E314" s="50" t="str">
        <x:v>MSFT SWING SETUP</x:v>
      </x:c>
      <x:c r="F314" s="50" t="str">
        <x:v>WATCH</x:v>
      </x:c>
      <x:c r="G314" s="50"/>
      <x:c r="H314" s="50" t="str">
        <x:v>LONG</x:v>
      </x:c>
      <x:c r="I314" s="71" t="n">
        <x:v>503.4781</x:v>
      </x:c>
      <x:c r="J314" s="76" t="str">
        <x:v>SIP</x:v>
      </x:c>
    </x:row>
    <x:row r="315">
      <x:c r="A315" s="50" t="str">
        <x:v>019fdc79-450b-7e2d-aced-0b55fe1247d3</x:v>
      </x:c>
      <x:c r="B315" s="50" t="str">
        <x:v>JD</x:v>
      </x:c>
      <x:c r="C315" s="70" t="n">
        <x:v>46241.573644571756</x:v>
      </x:c>
      <x:c r="D315" s="50" t="str">
        <x:v>SWING_SETUP</x:v>
      </x:c>
      <x:c r="E315" s="50" t="str">
        <x:v>JD SWING SETUP</x:v>
      </x:c>
      <x:c r="F315" s="50" t="str">
        <x:v>WATCH</x:v>
      </x:c>
      <x:c r="G315" s="50"/>
      <x:c r="H315" s="50" t="str">
        <x:v>LONG</x:v>
      </x:c>
      <x:c r="I315" s="71" t="n">
        <x:v>32.725</x:v>
      </x:c>
      <x:c r="J315" s="76" t="str">
        <x:v>SIP</x:v>
      </x:c>
    </x:row>
    <x:row r="316">
      <x:c r="A316" s="50" t="str">
        <x:v>019fdc79-4550-7172-9cf5-6bcfe22de468</x:v>
      </x:c>
      <x:c r="B316" s="50" t="str">
        <x:v>AMZN</x:v>
      </x:c>
      <x:c r="C316" s="70" t="n">
        <x:v>46241.573645358796</x:v>
      </x:c>
      <x:c r="D316" s="50" t="str">
        <x:v>SWING_SETUP</x:v>
      </x:c>
      <x:c r="E316" s="50" t="str">
        <x:v>AMZN SWING SETUP</x:v>
      </x:c>
      <x:c r="F316" s="50" t="str">
        <x:v>WATCH</x:v>
      </x:c>
      <x:c r="G316" s="50"/>
      <x:c r="H316" s="50" t="str">
        <x:v>LONG</x:v>
      </x:c>
      <x:c r="I316" s="71" t="n">
        <x:v>276.585</x:v>
      </x:c>
      <x:c r="J316" s="76" t="str">
        <x:v>SIP</x:v>
      </x:c>
    </x:row>
    <x:row r="317">
      <x:c r="A317" s="50" t="str">
        <x:v>019fdc79-45a4-7754-a9a1-bd80c518a5a3</x:v>
      </x:c>
      <x:c r="B317" s="50" t="str">
        <x:v>RDW</x:v>
      </x:c>
      <x:c r="C317" s="70" t="n">
        <x:v>46241.57364634259</x:v>
      </x:c>
      <x:c r="D317" s="50" t="str">
        <x:v>SWING_SETUP</x:v>
      </x:c>
      <x:c r="E317" s="50" t="str">
        <x:v>RDW SWING SETUP</x:v>
      </x:c>
      <x:c r="F317" s="50" t="str">
        <x:v>WATCH</x:v>
      </x:c>
      <x:c r="G317" s="50"/>
      <x:c r="H317" s="50" t="str">
        <x:v>LONG</x:v>
      </x:c>
      <x:c r="I317" s="71" t="n">
        <x:v>13.28</x:v>
      </x:c>
      <x:c r="J317" s="76" t="str">
        <x:v>SIP</x:v>
      </x:c>
    </x:row>
    <x:row r="318">
      <x:c r="A318" s="50" t="str">
        <x:v>019fdc79-4612-7087-b2aa-fd6284ad6b6b</x:v>
      </x:c>
      <x:c r="B318" s="50" t="str">
        <x:v>NEM</x:v>
      </x:c>
      <x:c r="C318" s="70" t="n">
        <x:v>46241.57364761574</x:v>
      </x:c>
      <x:c r="D318" s="50" t="str">
        <x:v>SWING_SETUP</x:v>
      </x:c>
      <x:c r="E318" s="50" t="str">
        <x:v>NEM SWING SETUP</x:v>
      </x:c>
      <x:c r="F318" s="50" t="str">
        <x:v>WATCH</x:v>
      </x:c>
      <x:c r="G318" s="50"/>
      <x:c r="H318" s="50" t="str">
        <x:v>LONG</x:v>
      </x:c>
      <x:c r="I318" s="71" t="n">
        <x:v>112.355</x:v>
      </x:c>
      <x:c r="J318" s="76" t="str">
        <x:v>SIP</x:v>
      </x:c>
    </x:row>
    <x:row r="319">
      <x:c r="A319" s="50" t="str">
        <x:v>019fdc79-4618-7152-bb85-09060efba5e6</x:v>
      </x:c>
      <x:c r="B319" s="50" t="str">
        <x:v>PSX</x:v>
      </x:c>
      <x:c r="C319" s="70" t="n">
        <x:v>46241.57364768518</x:v>
      </x:c>
      <x:c r="D319" s="50" t="str">
        <x:v>SWING_SETUP</x:v>
      </x:c>
      <x:c r="E319" s="50" t="str">
        <x:v>PSX SWING SETUP</x:v>
      </x:c>
      <x:c r="F319" s="50" t="str">
        <x:v>WATCH</x:v>
      </x:c>
      <x:c r="G319" s="50"/>
      <x:c r="H319" s="50" t="str">
        <x:v>LONG</x:v>
      </x:c>
      <x:c r="I319" s="71" t="n">
        <x:v>205.5</x:v>
      </x:c>
      <x:c r="J319" s="76" t="str">
        <x:v>SIP</x:v>
      </x:c>
    </x:row>
    <x:row r="320">
      <x:c r="A320" s="50" t="str">
        <x:v>019fdc79-464e-7183-bcf4-f8fdcd48dbeb</x:v>
      </x:c>
      <x:c r="B320" s="50" t="str">
        <x:v>PM</x:v>
      </x:c>
      <x:c r="C320" s="70" t="n">
        <x:v>46241.57364831019</x:v>
      </x:c>
      <x:c r="D320" s="50" t="str">
        <x:v>SWING_SETUP</x:v>
      </x:c>
      <x:c r="E320" s="50" t="str">
        <x:v>PM SWING SETUP</x:v>
      </x:c>
      <x:c r="F320" s="50" t="str">
        <x:v>WATCH</x:v>
      </x:c>
      <x:c r="G320" s="50"/>
      <x:c r="H320" s="50" t="str">
        <x:v>LONG</x:v>
      </x:c>
      <x:c r="I320" s="71" t="n">
        <x:v>187.56</x:v>
      </x:c>
      <x:c r="J320" s="76" t="str">
        <x:v>SIP</x:v>
      </x:c>
    </x:row>
    <x:row r="321">
      <x:c r="A321" s="50" t="str">
        <x:v>019fdc79-4673-775f-b5c8-284b4307caff</x:v>
      </x:c>
      <x:c r="B321" s="50" t="str">
        <x:v>DE</x:v>
      </x:c>
      <x:c r="C321" s="70" t="n">
        <x:v>46241.57364873843</x:v>
      </x:c>
      <x:c r="D321" s="50" t="str">
        <x:v>SWING_SETUP</x:v>
      </x:c>
      <x:c r="E321" s="50" t="str">
        <x:v>DE SWING SETUP</x:v>
      </x:c>
      <x:c r="F321" s="50" t="str">
        <x:v>WATCH</x:v>
      </x:c>
      <x:c r="G321" s="50"/>
      <x:c r="H321" s="50" t="str">
        <x:v>LONG</x:v>
      </x:c>
      <x:c r="I321" s="71" t="n">
        <x:v>620.58</x:v>
      </x:c>
      <x:c r="J321" s="76" t="str">
        <x:v>SIP</x:v>
      </x:c>
    </x:row>
    <x:row r="322">
      <x:c r="A322" s="50" t="str">
        <x:v>019fdc79-467b-7062-9e10-247a7d766dbb</x:v>
      </x:c>
      <x:c r="B322" s="50" t="str">
        <x:v>ADBE</x:v>
      </x:c>
      <x:c r="C322" s="70" t="n">
        <x:v>46241.57364883102</x:v>
      </x:c>
      <x:c r="D322" s="50" t="str">
        <x:v>SWING_SETUP</x:v>
      </x:c>
      <x:c r="E322" s="50" t="str">
        <x:v>ADBE SWING SETUP</x:v>
      </x:c>
      <x:c r="F322" s="50" t="str">
        <x:v>WATCH</x:v>
      </x:c>
      <x:c r="G322" s="50"/>
      <x:c r="H322" s="50" t="str">
        <x:v>LONG</x:v>
      </x:c>
      <x:c r="I322" s="71" t="n">
        <x:v>261.85</x:v>
      </x:c>
      <x:c r="J322" s="76" t="str">
        <x:v>SIP</x:v>
      </x:c>
    </x:row>
    <x:row r="323">
      <x:c r="A323" s="50" t="str">
        <x:v>019fdc79-4699-799b-bae7-e139b1afee45</x:v>
      </x:c>
      <x:c r="B323" s="50" t="str">
        <x:v>ROBO</x:v>
      </x:c>
      <x:c r="C323" s="70" t="n">
        <x:v>46241.57364917824</x:v>
      </x:c>
      <x:c r="D323" s="50" t="str">
        <x:v>SWING_SETUP</x:v>
      </x:c>
      <x:c r="E323" s="50" t="str">
        <x:v>ROBO SWING SETUP</x:v>
      </x:c>
      <x:c r="F323" s="50" t="str">
        <x:v>WATCH</x:v>
      </x:c>
      <x:c r="G323" s="50"/>
      <x:c r="H323" s="50" t="str">
        <x:v>LONG</x:v>
      </x:c>
      <x:c r="I323" s="71" t="n">
        <x:v>84.65</x:v>
      </x:c>
      <x:c r="J323" s="76" t="str">
        <x:v>SIP</x:v>
      </x:c>
    </x:row>
    <x:row r="324">
      <x:c r="A324" s="50" t="str">
        <x:v>019fdc79-472a-7b81-bb61-0d24e8c482cb</x:v>
      </x:c>
      <x:c r="B324" s="50" t="str">
        <x:v>DCTH</x:v>
      </x:c>
      <x:c r="C324" s="70" t="n">
        <x:v>46241.57365085648</x:v>
      </x:c>
      <x:c r="D324" s="50" t="str">
        <x:v>SWING_SETUP</x:v>
      </x:c>
      <x:c r="E324" s="50" t="str">
        <x:v>DCTH SWING SETUP</x:v>
      </x:c>
      <x:c r="F324" s="50" t="str">
        <x:v>WATCH</x:v>
      </x:c>
      <x:c r="G324" s="50"/>
      <x:c r="H324" s="50" t="str">
        <x:v>LONG</x:v>
      </x:c>
      <x:c r="I324" s="71" t="n">
        <x:v>16.16</x:v>
      </x:c>
      <x:c r="J324" s="76" t="str">
        <x:v>SIP</x:v>
      </x:c>
    </x:row>
    <x:row r="325">
      <x:c r="A325" s="50" t="str">
        <x:v>019fdc79-4730-729e-b3fd-209a58632b6c</x:v>
      </x:c>
      <x:c r="B325" s="50" t="str">
        <x:v>SHW</x:v>
      </x:c>
      <x:c r="C325" s="70" t="n">
        <x:v>46241.57365092593</x:v>
      </x:c>
      <x:c r="D325" s="50" t="str">
        <x:v>SWING_SETUP</x:v>
      </x:c>
      <x:c r="E325" s="50" t="str">
        <x:v>SHW SWING SETUP</x:v>
      </x:c>
      <x:c r="F325" s="50" t="str">
        <x:v>WATCH</x:v>
      </x:c>
      <x:c r="G325" s="50"/>
      <x:c r="H325" s="50" t="str">
        <x:v>LONG</x:v>
      </x:c>
      <x:c r="I325" s="71" t="n">
        <x:v>368.255</x:v>
      </x:c>
      <x:c r="J325" s="76" t="str">
        <x:v>SIP</x:v>
      </x:c>
    </x:row>
    <x:row r="326">
      <x:c r="A326" s="50" t="str">
        <x:v>019fdc79-473c-762d-a13d-516ab0e88f6e</x:v>
      </x:c>
      <x:c r="B326" s="50" t="str">
        <x:v>BLK</x:v>
      </x:c>
      <x:c r="C326" s="70" t="n">
        <x:v>46241.57365106481</x:v>
      </x:c>
      <x:c r="D326" s="50" t="str">
        <x:v>SWING_SETUP</x:v>
      </x:c>
      <x:c r="E326" s="50" t="str">
        <x:v>BLK SWING SETUP</x:v>
      </x:c>
      <x:c r="F326" s="50" t="str">
        <x:v>WATCH</x:v>
      </x:c>
      <x:c r="G326" s="50"/>
      <x:c r="H326" s="50" t="str">
        <x:v>LONG</x:v>
      </x:c>
      <x:c r="I326" s="71" t="n">
        <x:v>1136.975</x:v>
      </x:c>
      <x:c r="J326" s="76" t="str">
        <x:v>SIP</x:v>
      </x:c>
    </x:row>
    <x:row r="327">
      <x:c r="A327" s="50" t="str">
        <x:v>019fdc79-4752-7c62-992a-3aacacd235fb</x:v>
      </x:c>
      <x:c r="B327" s="50" t="str">
        <x:v>ECL</x:v>
      </x:c>
      <x:c r="C327" s="70" t="n">
        <x:v>46241.57365131944</x:v>
      </x:c>
      <x:c r="D327" s="50" t="str">
        <x:v>SWING_SETUP</x:v>
      </x:c>
      <x:c r="E327" s="50" t="str">
        <x:v>ECL SWING SETUP</x:v>
      </x:c>
      <x:c r="F327" s="50" t="str">
        <x:v>WATCH</x:v>
      </x:c>
      <x:c r="G327" s="50"/>
      <x:c r="H327" s="50" t="str">
        <x:v>LONG</x:v>
      </x:c>
      <x:c r="I327" s="71" t="n">
        <x:v>285.64</x:v>
      </x:c>
      <x:c r="J327" s="76" t="str">
        <x:v>SIP</x:v>
      </x:c>
    </x:row>
    <x:row r="328">
      <x:c r="A328" s="50" t="str">
        <x:v>019fdc79-4771-7e2c-8e3d-2e567c408fd0</x:v>
      </x:c>
      <x:c r="B328" s="50" t="str">
        <x:v>TMO</x:v>
      </x:c>
      <x:c r="C328" s="70" t="n">
        <x:v>46241.57365167824</x:v>
      </x:c>
      <x:c r="D328" s="50" t="str">
        <x:v>SWING_SETUP</x:v>
      </x:c>
      <x:c r="E328" s="50" t="str">
        <x:v>TMO SWING SETUP</x:v>
      </x:c>
      <x:c r="F328" s="50" t="str">
        <x:v>WATCH</x:v>
      </x:c>
      <x:c r="G328" s="50"/>
      <x:c r="H328" s="50" t="str">
        <x:v>LONG</x:v>
      </x:c>
      <x:c r="I328" s="71" t="n">
        <x:v>580.505</x:v>
      </x:c>
      <x:c r="J328" s="76" t="str">
        <x:v>SIP</x:v>
      </x:c>
    </x:row>
    <x:row r="329">
      <x:c r="A329" s="50" t="str">
        <x:v>019fdc79-4784-78e6-a2b3-785144511eff</x:v>
      </x:c>
      <x:c r="B329" s="50" t="str">
        <x:v>ACHV</x:v>
      </x:c>
      <x:c r="C329" s="70" t="n">
        <x:v>46241.57365189815</x:v>
      </x:c>
      <x:c r="D329" s="50" t="str">
        <x:v>SWING_SETUP</x:v>
      </x:c>
      <x:c r="E329" s="50" t="str">
        <x:v>ACHV SWING SETUP</x:v>
      </x:c>
      <x:c r="F329" s="50" t="str">
        <x:v>WATCH</x:v>
      </x:c>
      <x:c r="G329" s="50"/>
      <x:c r="H329" s="50" t="str">
        <x:v>LONG</x:v>
      </x:c>
      <x:c r="I329" s="71" t="n">
        <x:v>6.88</x:v>
      </x:c>
      <x:c r="J329" s="76" t="str">
        <x:v>SIP</x:v>
      </x:c>
    </x:row>
    <x:row r="330">
      <x:c r="A330" s="50" t="str">
        <x:v>019fdc79-47ad-7ae3-a3f7-cebaba5d4a97</x:v>
      </x:c>
      <x:c r="B330" s="50" t="str">
        <x:v>HWM</x:v>
      </x:c>
      <x:c r="C330" s="70" t="n">
        <x:v>46241.57365236111</x:v>
      </x:c>
      <x:c r="D330" s="50" t="str">
        <x:v>SWING_SETUP</x:v>
      </x:c>
      <x:c r="E330" s="50" t="str">
        <x:v>HWM SWING SETUP</x:v>
      </x:c>
      <x:c r="F330" s="50" t="str">
        <x:v>WATCH</x:v>
      </x:c>
      <x:c r="G330" s="50"/>
      <x:c r="H330" s="50" t="str">
        <x:v>LONG</x:v>
      </x:c>
      <x:c r="I330" s="71" t="n">
        <x:v>289.47</x:v>
      </x:c>
      <x:c r="J330" s="76" t="str">
        <x:v>SIP</x:v>
      </x:c>
    </x:row>
    <x:row r="331">
      <x:c r="A331" s="50" t="str">
        <x:v>019fdc79-47d1-7472-af2e-8efad03079ba</x:v>
      </x:c>
      <x:c r="B331" s="50" t="str">
        <x:v>ABT</x:v>
      </x:c>
      <x:c r="C331" s="70" t="n">
        <x:v>46241.57365278935</x:v>
      </x:c>
      <x:c r="D331" s="50" t="str">
        <x:v>SWING_SETUP</x:v>
      </x:c>
      <x:c r="E331" s="50" t="str">
        <x:v>ABT SWING SETUP</x:v>
      </x:c>
      <x:c r="F331" s="50" t="str">
        <x:v>WATCH</x:v>
      </x:c>
      <x:c r="G331" s="50"/>
      <x:c r="H331" s="50" t="str">
        <x:v>LONG</x:v>
      </x:c>
      <x:c r="I331" s="71" t="n">
        <x:v>106.82</x:v>
      </x:c>
      <x:c r="J331" s="76" t="str">
        <x:v>SIP</x:v>
      </x:c>
    </x:row>
    <x:row r="332">
      <x:c r="A332" s="50" t="str">
        <x:v>019fdc79-4812-7c05-b78e-c2c6bff658f4</x:v>
      </x:c>
      <x:c r="B332" s="50" t="str">
        <x:v>APH</x:v>
      </x:c>
      <x:c r="C332" s="70" t="n">
        <x:v>46241.573653541665</x:v>
      </x:c>
      <x:c r="D332" s="50" t="str">
        <x:v>SWING_SETUP</x:v>
      </x:c>
      <x:c r="E332" s="50" t="str">
        <x:v>APH SWING SETUP</x:v>
      </x:c>
      <x:c r="F332" s="50" t="str">
        <x:v>WATCH</x:v>
      </x:c>
      <x:c r="G332" s="50"/>
      <x:c r="H332" s="50" t="str">
        <x:v>LONG</x:v>
      </x:c>
      <x:c r="I332" s="71" t="n">
        <x:v>172.2925</x:v>
      </x:c>
      <x:c r="J332" s="76" t="str">
        <x:v>SIP</x:v>
      </x:c>
    </x:row>
    <x:row r="333">
      <x:c r="A333" s="50" t="str">
        <x:v>019fdc79-4818-70d3-bab2-a41be60fd61e</x:v>
      </x:c>
      <x:c r="B333" s="50" t="str">
        <x:v>MMM</x:v>
      </x:c>
      <x:c r="C333" s="70" t="n">
        <x:v>46241.573653611114</x:v>
      </x:c>
      <x:c r="D333" s="50" t="str">
        <x:v>SWING_SETUP</x:v>
      </x:c>
      <x:c r="E333" s="50" t="str">
        <x:v>MMM SWING SETUP</x:v>
      </x:c>
      <x:c r="F333" s="50" t="str">
        <x:v>WATCH</x:v>
      </x:c>
      <x:c r="G333" s="50"/>
      <x:c r="H333" s="50" t="str">
        <x:v>LONG</x:v>
      </x:c>
      <x:c r="I333" s="71" t="n">
        <x:v>180.775</x:v>
      </x:c>
      <x:c r="J333" s="76" t="str">
        <x:v>SIP</x:v>
      </x:c>
    </x:row>
    <x:row r="334">
      <x:c r="A334" s="50" t="str">
        <x:v>019fdc79-4830-7a65-8e44-519fc8e834c8</x:v>
      </x:c>
      <x:c r="B334" s="50" t="str">
        <x:v>SLV</x:v>
      </x:c>
      <x:c r="C334" s="70" t="n">
        <x:v>46241.57365388889</x:v>
      </x:c>
      <x:c r="D334" s="50" t="str">
        <x:v>SWING_SETUP</x:v>
      </x:c>
      <x:c r="E334" s="50" t="str">
        <x:v>SLV SWING SETUP</x:v>
      </x:c>
      <x:c r="F334" s="50" t="str">
        <x:v>WATCH</x:v>
      </x:c>
      <x:c r="G334" s="50"/>
      <x:c r="H334" s="50" t="str">
        <x:v>LONG</x:v>
      </x:c>
      <x:c r="I334" s="71" t="n">
        <x:v>58.09</x:v>
      </x:c>
      <x:c r="J334" s="76" t="str">
        <x:v>SIP</x:v>
      </x:c>
    </x:row>
    <x:row r="335">
      <x:c r="A335" s="50" t="str">
        <x:v>019fdc79-48e5-7df1-a35e-ba99e61b47e0</x:v>
      </x:c>
      <x:c r="B335" s="50" t="str">
        <x:v>GD</x:v>
      </x:c>
      <x:c r="C335" s="70" t="n">
        <x:v>46241.5736559838</x:v>
      </x:c>
      <x:c r="D335" s="50" t="str">
        <x:v>SWING_SETUP</x:v>
      </x:c>
      <x:c r="E335" s="50" t="str">
        <x:v>GD SWING SETUP</x:v>
      </x:c>
      <x:c r="F335" s="50" t="str">
        <x:v>WATCH</x:v>
      </x:c>
      <x:c r="G335" s="50"/>
      <x:c r="H335" s="50" t="str">
        <x:v>LONG</x:v>
      </x:c>
      <x:c r="I335" s="71" t="n">
        <x:v>386.17</x:v>
      </x:c>
      <x:c r="J335" s="76" t="str">
        <x:v>SIP</x:v>
      </x:c>
    </x:row>
    <x:row r="336">
      <x:c r="A336" s="50" t="str">
        <x:v>019fdc79-4925-7bf6-8fb6-5156a1426cd1</x:v>
      </x:c>
      <x:c r="B336" s="50" t="str">
        <x:v>NXE</x:v>
      </x:c>
      <x:c r="C336" s="70" t="n">
        <x:v>46241.57365672454</x:v>
      </x:c>
      <x:c r="D336" s="50" t="str">
        <x:v>SWING_SETUP</x:v>
      </x:c>
      <x:c r="E336" s="50" t="str">
        <x:v>NXE SWING SETUP</x:v>
      </x:c>
      <x:c r="F336" s="50" t="str">
        <x:v>WATCH</x:v>
      </x:c>
      <x:c r="G336" s="50"/>
      <x:c r="H336" s="50" t="str">
        <x:v>LONG</x:v>
      </x:c>
      <x:c r="I336" s="71" t="n">
        <x:v>10.74</x:v>
      </x:c>
      <x:c r="J336" s="76" t="str">
        <x:v>SIP</x:v>
      </x:c>
    </x:row>
    <x:row r="337">
      <x:c r="A337" s="50" t="str">
        <x:v>019fdc79-4a5f-7f83-acc0-c4203b804d51</x:v>
      </x:c>
      <x:c r="B337" s="50" t="str">
        <x:v>HRL</x:v>
      </x:c>
      <x:c r="C337" s="70" t="n">
        <x:v>46241.573660358794</x:v>
      </x:c>
      <x:c r="D337" s="50" t="str">
        <x:v>LONG_BUY_ZONE</x:v>
      </x:c>
      <x:c r="E337" s="50" t="str">
        <x:v>HRL LONG BUY ZONE</x:v>
      </x:c>
      <x:c r="F337" s="50" t="str">
        <x:v>WATCH</x:v>
      </x:c>
      <x:c r="G337" s="50"/>
      <x:c r="H337" s="50" t="str">
        <x:v>LONG</x:v>
      </x:c>
      <x:c r="I337" s="71" t="n">
        <x:v>25.12</x:v>
      </x:c>
      <x:c r="J337" s="76" t="str">
        <x:v>SIP</x:v>
      </x:c>
    </x:row>
    <x:row r="338">
      <x:c r="A338" s="50" t="str">
        <x:v>019fdc79-4ab5-7726-bc2e-570f6455e01d</x:v>
      </x:c>
      <x:c r="B338" s="50" t="str">
        <x:v>APD</x:v>
      </x:c>
      <x:c r="C338" s="70" t="n">
        <x:v>46241.57366135417</x:v>
      </x:c>
      <x:c r="D338" s="50" t="str">
        <x:v>LONG_BUY_ZONE</x:v>
      </x:c>
      <x:c r="E338" s="50" t="str">
        <x:v>APD LONG BUY ZONE</x:v>
      </x:c>
      <x:c r="F338" s="50" t="str">
        <x:v>WATCH</x:v>
      </x:c>
      <x:c r="G338" s="50"/>
      <x:c r="H338" s="50" t="str">
        <x:v>LONG</x:v>
      </x:c>
      <x:c r="I338" s="71" t="n">
        <x:v>299.36</x:v>
      </x:c>
      <x:c r="J338" s="76" t="str">
        <x:v>SIP</x:v>
      </x:c>
    </x:row>
    <x:row r="339">
      <x:c r="A339" s="50" t="str">
        <x:v>019fdc79-4b81-7396-a61c-02255c3ddbc7</x:v>
      </x:c>
      <x:c r="B339" s="50" t="str">
        <x:v>ECL</x:v>
      </x:c>
      <x:c r="C339" s="70" t="n">
        <x:v>46241.57366371528</x:v>
      </x:c>
      <x:c r="D339" s="50" t="str">
        <x:v>LONG_BUY_ZONE</x:v>
      </x:c>
      <x:c r="E339" s="50" t="str">
        <x:v>ECL LONG BUY ZONE</x:v>
      </x:c>
      <x:c r="F339" s="50" t="str">
        <x:v>WATCH</x:v>
      </x:c>
      <x:c r="G339" s="50"/>
      <x:c r="H339" s="50" t="str">
        <x:v>LONG</x:v>
      </x:c>
      <x:c r="I339" s="71" t="n">
        <x:v>285.77</x:v>
      </x:c>
      <x:c r="J339" s="76" t="str">
        <x:v>SIP</x:v>
      </x:c>
    </x:row>
    <x:row r="340">
      <x:c r="A340" s="50" t="str">
        <x:v>019fdc79-4c55-7684-bbf7-90982bcf8337</x:v>
      </x:c>
      <x:c r="B340" s="50" t="str">
        <x:v>VRTX</x:v>
      </x:c>
      <x:c r="C340" s="70" t="n">
        <x:v>46241.57366616898</x:v>
      </x:c>
      <x:c r="D340" s="50" t="str">
        <x:v>ENTRY_WATCH</x:v>
      </x:c>
      <x:c r="E340" s="50" t="str">
        <x:v>VRTX ENTRY BREAKAWAY WATCH</x:v>
      </x:c>
      <x:c r="F340" s="50" t="str">
        <x:v>WATCH</x:v>
      </x:c>
      <x:c r="G340" s="50"/>
      <x:c r="H340" s="50" t="str">
        <x:v>LONG</x:v>
      </x:c>
      <x:c r="I340" s="71" t="n">
        <x:v>487.335</x:v>
      </x:c>
      <x:c r="J340" s="76" t="str">
        <x:v>SIP</x:v>
      </x:c>
    </x:row>
    <x:row r="341">
      <x:c r="A341" s="50" t="str">
        <x:v>019fdc79-4d0e-7794-8842-8f7a9587ccc1</x:v>
      </x:c>
      <x:c r="B341" s="50" t="str">
        <x:v>ABBV</x:v>
      </x:c>
      <x:c r="C341" s="70" t="n">
        <x:v>46241.573668310186</x:v>
      </x:c>
      <x:c r="D341" s="50" t="str">
        <x:v>LONG_BUY_ZONE</x:v>
      </x:c>
      <x:c r="E341" s="50" t="str">
        <x:v>ABBV LONG BUY ZONE</x:v>
      </x:c>
      <x:c r="F341" s="50" t="str">
        <x:v>WATCH</x:v>
      </x:c>
      <x:c r="G341" s="50"/>
      <x:c r="H341" s="50" t="str">
        <x:v>LONG</x:v>
      </x:c>
      <x:c r="I341" s="71" t="n">
        <x:v>245.37</x:v>
      </x:c>
      <x:c r="J341" s="76" t="str">
        <x:v>SIP</x:v>
      </x:c>
    </x:row>
    <x:row r="342">
      <x:c r="A342" s="50" t="str">
        <x:v>019fdc7a-2cb9-73b8-940e-560e6e766587</x:v>
      </x:c>
      <x:c r="B342" s="50" t="str">
        <x:v>RCL</x:v>
      </x:c>
      <x:c r="C342" s="70" t="n">
        <x:v>46241.57433103009</x:v>
      </x:c>
      <x:c r="D342" s="50" t="str">
        <x:v>SWING_SETUP</x:v>
      </x:c>
      <x:c r="E342" s="50" t="str">
        <x:v>RCL SWING SETUP</x:v>
      </x:c>
      <x:c r="F342" s="50" t="str">
        <x:v>WATCH</x:v>
      </x:c>
      <x:c r="G342" s="50"/>
      <x:c r="H342" s="50" t="str">
        <x:v>LONG</x:v>
      </x:c>
      <x:c r="I342" s="71" t="n">
        <x:v>318.49</x:v>
      </x:c>
      <x:c r="J342" s="76" t="str">
        <x:v>SIP</x:v>
      </x:c>
    </x:row>
    <x:row r="343">
      <x:c r="A343" s="50" t="str">
        <x:v>019fdc7a-31d3-747a-a32e-b650a1dd5dfb</x:v>
      </x:c>
      <x:c r="B343" s="50" t="str">
        <x:v>DE</x:v>
      </x:c>
      <x:c r="C343" s="70" t="n">
        <x:v>46241.57434614583</x:v>
      </x:c>
      <x:c r="D343" s="50" t="str">
        <x:v>LONG_BUY_ZONE</x:v>
      </x:c>
      <x:c r="E343" s="50" t="str">
        <x:v>DE LONG BUY ZONE</x:v>
      </x:c>
      <x:c r="F343" s="50" t="str">
        <x:v>WATCH</x:v>
      </x:c>
      <x:c r="G343" s="50"/>
      <x:c r="H343" s="50" t="str">
        <x:v>LONG</x:v>
      </x:c>
      <x:c r="I343" s="71" t="n">
        <x:v>620.02</x:v>
      </x:c>
      <x:c r="J343" s="76" t="str">
        <x:v>SIP</x:v>
      </x:c>
    </x:row>
    <x:row r="344">
      <x:c r="A344" s="50" t="str">
        <x:v>019fdc7b-1bc8-7ac7-80f7-64417008c1d8</x:v>
      </x:c>
      <x:c r="B344" s="50" t="str">
        <x:v>GS</x:v>
      </x:c>
      <x:c r="C344" s="70" t="n">
        <x:v>46241.575039351854</x:v>
      </x:c>
      <x:c r="D344" s="50" t="str">
        <x:v>LONG_BUY_ZONE</x:v>
      </x:c>
      <x:c r="E344" s="50" t="str">
        <x:v>GS LONG BUY ZONE</x:v>
      </x:c>
      <x:c r="F344" s="50" t="str">
        <x:v>WATCH</x:v>
      </x:c>
      <x:c r="G344" s="50"/>
      <x:c r="H344" s="50" t="str">
        <x:v>LONG</x:v>
      </x:c>
      <x:c r="I344" s="71" t="n">
        <x:v>1041.22</x:v>
      </x:c>
      <x:c r="J344" s="76" t="str">
        <x:v>SIP</x:v>
      </x:c>
    </x:row>
    <x:row r="345">
      <x:c r="A345" s="50" t="str">
        <x:v>019fdc7c-02df-73d1-b063-861327cda4d4</x:v>
      </x:c>
      <x:c r="B345" s="50" t="str">
        <x:v>INTU</x:v>
      </x:c>
      <x:c r="C345" s="70" t="n">
        <x:v>46241.5757240625</x:v>
      </x:c>
      <x:c r="D345" s="50" t="str">
        <x:v>SWING_SETUP</x:v>
      </x:c>
      <x:c r="E345" s="50" t="str">
        <x:v>INTU SWING SETUP</x:v>
      </x:c>
      <x:c r="F345" s="50" t="str">
        <x:v>WATCH</x:v>
      </x:c>
      <x:c r="G345" s="50"/>
      <x:c r="H345" s="50" t="str">
        <x:v>LONG</x:v>
      </x:c>
      <x:c r="I345" s="71" t="n">
        <x:v>325.14</x:v>
      </x:c>
      <x:c r="J345" s="76" t="str">
        <x:v>SIP</x:v>
      </x:c>
    </x:row>
    <x:row r="346">
      <x:c r="A346" s="50" t="str">
        <x:v>019fdc7c-0a00-775b-8b68-50d8e1ad7090</x:v>
      </x:c>
      <x:c r="B346" s="50" t="str">
        <x:v>CLPT</x:v>
      </x:c>
      <x:c r="C346" s="70" t="n">
        <x:v>46241.57574518518</x:v>
      </x:c>
      <x:c r="D346" s="50" t="str">
        <x:v>ENTRY_WATCH</x:v>
      </x:c>
      <x:c r="E346" s="50" t="str">
        <x:v>CLPT ENTRY BREAKAWAY WATCH</x:v>
      </x:c>
      <x:c r="F346" s="50" t="str">
        <x:v>WATCH</x:v>
      </x:c>
      <x:c r="G346" s="50"/>
      <x:c r="H346" s="50" t="str">
        <x:v>LONG</x:v>
      </x:c>
      <x:c r="I346" s="71" t="n">
        <x:v>14.26</x:v>
      </x:c>
      <x:c r="J346" s="76" t="str">
        <x:v>SIP</x:v>
      </x:c>
    </x:row>
    <x:row r="347">
      <x:c r="A347" s="50" t="str">
        <x:v>019fdc7c-ec8d-7fff-b2eb-3ecd9a1c38bf</x:v>
      </x:c>
      <x:c r="B347" s="50" t="str">
        <x:v>VZ</x:v>
      </x:c>
      <x:c r="C347" s="70" t="n">
        <x:v>46241.57641644676</x:v>
      </x:c>
      <x:c r="D347" s="50" t="str">
        <x:v>LONG_BUY_ZONE</x:v>
      </x:c>
      <x:c r="E347" s="50" t="str">
        <x:v>VZ LONG BUY ZONE</x:v>
      </x:c>
      <x:c r="F347" s="50" t="str">
        <x:v>WATCH</x:v>
      </x:c>
      <x:c r="G347" s="50"/>
      <x:c r="H347" s="50" t="str">
        <x:v>LONG</x:v>
      </x:c>
      <x:c r="I347" s="71" t="n">
        <x:v>46.47</x:v>
      </x:c>
      <x:c r="J347" s="76" t="str">
        <x:v>SIP</x:v>
      </x:c>
    </x:row>
    <x:row r="348">
      <x:c r="A348" s="50" t="str">
        <x:v>019fdc7c-eda5-78f6-8785-7369eaa9eebe</x:v>
      </x:c>
      <x:c r="B348" s="50" t="str">
        <x:v>RCL</x:v>
      </x:c>
      <x:c r="C348" s="70" t="n">
        <x:v>46241.5764196875</x:v>
      </x:c>
      <x:c r="D348" s="50" t="str">
        <x:v>LONG_BUY_ZONE</x:v>
      </x:c>
      <x:c r="E348" s="50" t="str">
        <x:v>RCL LONG BUY ZONE</x:v>
      </x:c>
      <x:c r="F348" s="50" t="str">
        <x:v>WATCH</x:v>
      </x:c>
      <x:c r="G348" s="50"/>
      <x:c r="H348" s="50" t="str">
        <x:v>LONG</x:v>
      </x:c>
      <x:c r="I348" s="71" t="n">
        <x:v>319.17</x:v>
      </x:c>
      <x:c r="J348" s="76" t="str">
        <x:v>SIP</x:v>
      </x:c>
    </x:row>
    <x:row r="349">
      <x:c r="A349" s="50" t="str">
        <x:v>019fdc7c-edca-7184-851c-490054195cc0</x:v>
      </x:c>
      <x:c r="B349" s="50" t="str">
        <x:v>PYPL</x:v>
      </x:c>
      <x:c r="C349" s="70" t="n">
        <x:v>46241.57642011574</x:v>
      </x:c>
      <x:c r="D349" s="50" t="str">
        <x:v>SWING_SETUP</x:v>
      </x:c>
      <x:c r="E349" s="50" t="str">
        <x:v>PYPL SWING SETUP</x:v>
      </x:c>
      <x:c r="F349" s="50" t="str">
        <x:v>WATCH</x:v>
      </x:c>
      <x:c r="G349" s="50"/>
      <x:c r="H349" s="50" t="str">
        <x:v>LONG</x:v>
      </x:c>
      <x:c r="I349" s="71" t="n">
        <x:v>59.54</x:v>
      </x:c>
      <x:c r="J349" s="76" t="str">
        <x:v>SIP</x:v>
      </x:c>
    </x:row>
    <x:row r="350">
      <x:c r="A350" s="50" t="str">
        <x:v>019fdc7e-c796-7726-9b22-5882e0a64b67</x:v>
      </x:c>
      <x:c r="B350" s="50" t="str">
        <x:v>OXY</x:v>
      </x:c>
      <x:c r="C350" s="70" t="n">
        <x:v>46241.57782395833</x:v>
      </x:c>
      <x:c r="D350" s="50" t="str">
        <x:v>LONG_BUY_ZONE</x:v>
      </x:c>
      <x:c r="E350" s="50" t="str">
        <x:v>OXY LONG BUY ZONE</x:v>
      </x:c>
      <x:c r="F350" s="50" t="str">
        <x:v>WATCH</x:v>
      </x:c>
      <x:c r="G350" s="50"/>
      <x:c r="H350" s="50" t="str">
        <x:v>LONG</x:v>
      </x:c>
      <x:c r="I350" s="71" t="n">
        <x:v>55.19</x:v>
      </x:c>
      <x:c r="J350" s="76" t="str">
        <x:v>SIP</x:v>
      </x:c>
    </x:row>
    <x:row r="351">
      <x:c r="A351" s="50" t="str">
        <x:v>019fdc7f-a868-7f9f-85ca-dcf65e9b26ff</x:v>
      </x:c>
      <x:c r="B351" s="50" t="str">
        <x:v>TTWO</x:v>
      </x:c>
      <x:c r="C351" s="70" t="n">
        <x:v>46241.578490092594</x:v>
      </x:c>
      <x:c r="D351" s="50" t="str">
        <x:v>ENTRY_WATCH</x:v>
      </x:c>
      <x:c r="E351" s="50" t="str">
        <x:v>TTWO ENTRY IN_ZONE EARLY WATCH</x:v>
      </x:c>
      <x:c r="F351" s="50" t="str">
        <x:v>WATCH</x:v>
      </x:c>
      <x:c r="G351" s="50"/>
      <x:c r="H351" s="50" t="str">
        <x:v>LONG</x:v>
      </x:c>
      <x:c r="I351" s="71" t="n">
        <x:v>235.995</x:v>
      </x:c>
      <x:c r="J351" s="76" t="str">
        <x:v>SIP</x:v>
      </x:c>
    </x:row>
    <x:row r="352">
      <x:c r="A352" s="50" t="str">
        <x:v>019fdc80-9793-7ea0-8715-d3851d64b05f</x:v>
      </x:c>
      <x:c r="B352" s="50" t="str">
        <x:v>KDP</x:v>
      </x:c>
      <x:c r="C352" s="70" t="n">
        <x:v>46241.57919873843</x:v>
      </x:c>
      <x:c r="D352" s="50" t="str">
        <x:v>LONG_BUY_ZONE</x:v>
      </x:c>
      <x:c r="E352" s="50" t="str">
        <x:v>KDP LONG BUY ZONE</x:v>
      </x:c>
      <x:c r="F352" s="50" t="str">
        <x:v>WATCH</x:v>
      </x:c>
      <x:c r="G352" s="50"/>
      <x:c r="H352" s="50" t="str">
        <x:v>LONG</x:v>
      </x:c>
      <x:c r="I352" s="71" t="n">
        <x:v>29.735</x:v>
      </x:c>
      <x:c r="J352" s="76" t="str">
        <x:v>SIP</x:v>
      </x:c>
    </x:row>
    <x:row r="353">
      <x:c r="A353" s="50" t="str">
        <x:v>019fdc81-7fc5-7465-8e01-0f8dd8215dd7</x:v>
      </x:c>
      <x:c r="B353" s="50" t="str">
        <x:v>CLPT</x:v>
      </x:c>
      <x:c r="C353" s="70" t="n">
        <x:v>46241.57988672454</x:v>
      </x:c>
      <x:c r="D353" s="50" t="str">
        <x:v>ENTRY_WATCH</x:v>
      </x:c>
      <x:c r="E353" s="50" t="str">
        <x:v>CLPT ENTRY IN_ZONE EARLY WATCH</x:v>
      </x:c>
      <x:c r="F353" s="50" t="str">
        <x:v>WATCH</x:v>
      </x:c>
      <x:c r="G353" s="50"/>
      <x:c r="H353" s="50" t="str">
        <x:v>LONG</x:v>
      </x:c>
      <x:c r="I353" s="71" t="n">
        <x:v>14.155</x:v>
      </x:c>
      <x:c r="J353" s="76" t="str">
        <x:v>SIP</x:v>
      </x:c>
    </x:row>
    <x:row r="354">
      <x:c r="A354" s="50" t="str">
        <x:v>019fdc82-719d-7552-957d-8f604ab3372e</x:v>
      </x:c>
      <x:c r="B354" s="50" t="str">
        <x:v>APA</x:v>
      </x:c>
      <x:c r="C354" s="70" t="n">
        <x:v>46241.580603298615</x:v>
      </x:c>
      <x:c r="D354" s="50" t="str">
        <x:v>LONG_BUY_ZONE</x:v>
      </x:c>
      <x:c r="E354" s="50" t="str">
        <x:v>APA LONG BUY ZONE</x:v>
      </x:c>
      <x:c r="F354" s="50" t="str">
        <x:v>WATCH</x:v>
      </x:c>
      <x:c r="G354" s="50"/>
      <x:c r="H354" s="50" t="str">
        <x:v>LONG</x:v>
      </x:c>
      <x:c r="I354" s="71" t="n">
        <x:v>35.91</x:v>
      </x:c>
      <x:c r="J354" s="76" t="str">
        <x:v>SIP</x:v>
      </x:c>
    </x:row>
    <x:row r="355">
      <x:c r="A355" s="50" t="str">
        <x:v>019fdc83-5402-76ea-93a9-1e24d603fb0c</x:v>
      </x:c>
      <x:c r="B355" s="50" t="str">
        <x:v>MRK</x:v>
      </x:c>
      <x:c r="C355" s="70" t="n">
        <x:v>46241.581274097225</x:v>
      </x:c>
      <x:c r="D355" s="50" t="str">
        <x:v>LONG_BUY_ZONE</x:v>
      </x:c>
      <x:c r="E355" s="50" t="str">
        <x:v>MRK LONG BUY ZONE</x:v>
      </x:c>
      <x:c r="F355" s="50" t="str">
        <x:v>WATCH</x:v>
      </x:c>
      <x:c r="G355" s="50"/>
      <x:c r="H355" s="50" t="str">
        <x:v>LONG</x:v>
      </x:c>
      <x:c r="I355" s="71" t="n">
        <x:v>127.65</x:v>
      </x:c>
      <x:c r="J355" s="76" t="str">
        <x:v>SIP</x:v>
      </x:c>
    </x:row>
    <x:row r="356">
      <x:c r="A356" s="50" t="str">
        <x:v>019fdc83-5c7a-7e30-b939-f805dbbc2c9a</x:v>
      </x:c>
      <x:c r="B356" s="50" t="str">
        <x:v>APH</x:v>
      </x:c>
      <x:c r="C356" s="70" t="n">
        <x:v>46241.58129918981</x:v>
      </x:c>
      <x:c r="D356" s="50" t="str">
        <x:v>LONG_BUY_ZONE</x:v>
      </x:c>
      <x:c r="E356" s="50" t="str">
        <x:v>APH LONG BUY ZONE</x:v>
      </x:c>
      <x:c r="F356" s="50" t="str">
        <x:v>WATCH</x:v>
      </x:c>
      <x:c r="G356" s="50"/>
      <x:c r="H356" s="50" t="str">
        <x:v>LONG</x:v>
      </x:c>
      <x:c r="I356" s="71" t="n">
        <x:v>170.2</x:v>
      </x:c>
      <x:c r="J356" s="76" t="str">
        <x:v>SIP</x:v>
      </x:c>
    </x:row>
    <x:row r="357">
      <x:c r="A357" s="50" t="str">
        <x:v>019fdc84-44d5-7eeb-a77a-605ec0654546</x:v>
      </x:c>
      <x:c r="B357" s="50" t="str">
        <x:v>SBUX</x:v>
      </x:c>
      <x:c r="C357" s="70" t="n">
        <x:v>46241.58198765046</x:v>
      </x:c>
      <x:c r="D357" s="50" t="str">
        <x:v>LONG_BUY_ZONE</x:v>
      </x:c>
      <x:c r="E357" s="50" t="str">
        <x:v>SBUX LONG BUY ZONE</x:v>
      </x:c>
      <x:c r="F357" s="50" t="str">
        <x:v>WATCH</x:v>
      </x:c>
      <x:c r="G357" s="50"/>
      <x:c r="H357" s="50" t="str">
        <x:v>LONG</x:v>
      </x:c>
      <x:c r="I357" s="71" t="n">
        <x:v>104.75</x:v>
      </x:c>
      <x:c r="J357" s="76" t="str">
        <x:v>SIP</x:v>
      </x:c>
    </x:row>
    <x:row r="358">
      <x:c r="A358" s="50" t="str">
        <x:v>019fdc84-abef-7596-bcc7-428740209141</x:v>
      </x:c>
      <x:c r="B358" s="50" t="str">
        <x:v>UEC</x:v>
      </x:c>
      <x:c r="C358" s="70" t="n">
        <x:v>46241.58229313658</x:v>
      </x:c>
      <x:c r="D358" s="50" t="str">
        <x:v>SWING_SETUP</x:v>
      </x:c>
      <x:c r="E358" s="50" t="str">
        <x:v>UEC SWING SETUP</x:v>
      </x:c>
      <x:c r="F358" s="50" t="str">
        <x:v>WATCH</x:v>
      </x:c>
      <x:c r="G358" s="50"/>
      <x:c r="H358" s="50" t="str">
        <x:v>LONG</x:v>
      </x:c>
      <x:c r="I358" s="71" t="n">
        <x:v>11.355</x:v>
      </x:c>
      <x:c r="J358" s="76" t="str">
        <x:v>SIP</x:v>
      </x:c>
    </x:row>
    <x:row r="359">
      <x:c r="A359" s="50" t="str">
        <x:v>019fdc86-1b2f-7fff-a8b3-adc078a5ed7a</x:v>
      </x:c>
      <x:c r="B359" s="50" t="str">
        <x:v>XOM</x:v>
      </x:c>
      <x:c r="C359" s="70" t="n">
        <x:v>46241.58338128472</x:v>
      </x:c>
      <x:c r="D359" s="50" t="str">
        <x:v>LONG_BUY_ZONE</x:v>
      </x:c>
      <x:c r="E359" s="50" t="str">
        <x:v>XOM LONG BUY ZONE</x:v>
      </x:c>
      <x:c r="F359" s="50" t="str">
        <x:v>WATCH</x:v>
      </x:c>
      <x:c r="G359" s="50"/>
      <x:c r="H359" s="50" t="str">
        <x:v>LONG</x:v>
      </x:c>
      <x:c r="I359" s="71" t="n">
        <x:v>151.96</x:v>
      </x:c>
      <x:c r="J359" s="76" t="str">
        <x:v>SIP</x:v>
      </x:c>
    </x:row>
    <x:row r="360">
      <x:c r="A360" s="50" t="str">
        <x:v>019fdc86-fb0b-7fe6-a6b5-6e28e74297ee</x:v>
      </x:c>
      <x:c r="B360" s="50" t="str">
        <x:v>APA</x:v>
      </x:c>
      <x:c r="C360" s="70" t="n">
        <x:v>46241.58404457176</x:v>
      </x:c>
      <x:c r="D360" s="50" t="str">
        <x:v>SWING_SETUP</x:v>
      </x:c>
      <x:c r="E360" s="50" t="str">
        <x:v>APA SWING SETUP</x:v>
      </x:c>
      <x:c r="F360" s="50" t="str">
        <x:v>WATCH</x:v>
      </x:c>
      <x:c r="G360" s="50"/>
      <x:c r="H360" s="50" t="str">
        <x:v>LONG</x:v>
      </x:c>
      <x:c r="I360" s="71" t="n">
        <x:v>35.95</x:v>
      </x:c>
      <x:c r="J360" s="76" t="str">
        <x:v>SIP</x:v>
      </x:c>
    </x:row>
    <x:row r="361">
      <x:c r="A361" s="50" t="str">
        <x:v>019fdc86-fbb6-7ee3-9cfb-74b40b25aa4d</x:v>
      </x:c>
      <x:c r="B361" s="50" t="str">
        <x:v>PLTR</x:v>
      </x:c>
      <x:c r="C361" s="70" t="n">
        <x:v>46241.584046550925</x:v>
      </x:c>
      <x:c r="D361" s="50" t="str">
        <x:v>SWING_SETUP</x:v>
      </x:c>
      <x:c r="E361" s="50" t="str">
        <x:v>PLTR SWING SETUP</x:v>
      </x:c>
      <x:c r="F361" s="50" t="str">
        <x:v>WATCH</x:v>
      </x:c>
      <x:c r="G361" s="50"/>
      <x:c r="H361" s="50" t="str">
        <x:v>LONG</x:v>
      </x:c>
      <x:c r="I361" s="71" t="n">
        <x:v>168.28</x:v>
      </x:c>
      <x:c r="J361" s="76" t="str">
        <x:v>SIP</x:v>
      </x:c>
    </x:row>
    <x:row r="362">
      <x:c r="A362" s="50" t="str">
        <x:v>019fdc86-fda6-7514-b3d9-80eb5b7339ea</x:v>
      </x:c>
      <x:c r="B362" s="50" t="str">
        <x:v>MRK</x:v>
      </x:c>
      <x:c r="C362" s="70" t="n">
        <x:v>46241.58405229167</x:v>
      </x:c>
      <x:c r="D362" s="50" t="str">
        <x:v>SWING_SETUP</x:v>
      </x:c>
      <x:c r="E362" s="50" t="str">
        <x:v>MRK SWING SETUP</x:v>
      </x:c>
      <x:c r="F362" s="50" t="str">
        <x:v>WATCH</x:v>
      </x:c>
      <x:c r="G362" s="50"/>
      <x:c r="H362" s="50" t="str">
        <x:v>LONG</x:v>
      </x:c>
      <x:c r="I362" s="71" t="n">
        <x:v>127.88</x:v>
      </x:c>
      <x:c r="J362" s="76" t="str">
        <x:v>SIP</x:v>
      </x:c>
    </x:row>
    <x:row r="363">
      <x:c r="A363" s="50" t="str">
        <x:v>019fdc86-fdd6-73a2-9493-0a68d89eefef</x:v>
      </x:c>
      <x:c r="B363" s="50" t="str">
        <x:v>V</x:v>
      </x:c>
      <x:c r="C363" s="70" t="n">
        <x:v>46241.584052847225</x:v>
      </x:c>
      <x:c r="D363" s="50" t="str">
        <x:v>SWING_SETUP</x:v>
      </x:c>
      <x:c r="E363" s="50" t="str">
        <x:v>V SWING SETUP</x:v>
      </x:c>
      <x:c r="F363" s="50" t="str">
        <x:v>WATCH</x:v>
      </x:c>
      <x:c r="G363" s="50"/>
      <x:c r="H363" s="50" t="str">
        <x:v>LONG</x:v>
      </x:c>
      <x:c r="I363" s="71" t="n">
        <x:v>367.43</x:v>
      </x:c>
      <x:c r="J363" s="76" t="str">
        <x:v>SIP</x:v>
      </x:c>
    </x:row>
    <x:row r="364">
      <x:c r="A364" s="50" t="str">
        <x:v>019fdc86-fe11-747b-a715-cc233dff4a35</x:v>
      </x:c>
      <x:c r="B364" s="50" t="str">
        <x:v>VZ</x:v>
      </x:c>
      <x:c r="C364" s="70" t="n">
        <x:v>46241.584053530096</x:v>
      </x:c>
      <x:c r="D364" s="50" t="str">
        <x:v>SWING_SETUP</x:v>
      </x:c>
      <x:c r="E364" s="50" t="str">
        <x:v>VZ SWING SETUP</x:v>
      </x:c>
      <x:c r="F364" s="50" t="str">
        <x:v>WATCH</x:v>
      </x:c>
      <x:c r="G364" s="50"/>
      <x:c r="H364" s="50" t="str">
        <x:v>LONG</x:v>
      </x:c>
      <x:c r="I364" s="71" t="n">
        <x:v>46.38</x:v>
      </x:c>
      <x:c r="J364" s="76" t="str">
        <x:v>SIP</x:v>
      </x:c>
    </x:row>
    <x:row r="365">
      <x:c r="A365" s="50" t="str">
        <x:v>019fdc86-fe62-750a-a9b6-fa893f6f5b44</x:v>
      </x:c>
      <x:c r="B365" s="50" t="str">
        <x:v>MA</x:v>
      </x:c>
      <x:c r="C365" s="70" t="n">
        <x:v>46241.584054467596</x:v>
      </x:c>
      <x:c r="D365" s="50" t="str">
        <x:v>SWING_SETUP</x:v>
      </x:c>
      <x:c r="E365" s="50" t="str">
        <x:v>MA SWING SETUP</x:v>
      </x:c>
      <x:c r="F365" s="50" t="str">
        <x:v>WATCH</x:v>
      </x:c>
      <x:c r="G365" s="50"/>
      <x:c r="H365" s="50" t="str">
        <x:v>LONG</x:v>
      </x:c>
      <x:c r="I365" s="71" t="n">
        <x:v>569.63</x:v>
      </x:c>
      <x:c r="J365" s="76" t="str">
        <x:v>SIP</x:v>
      </x:c>
    </x:row>
    <x:row r="366">
      <x:c r="A366" s="50" t="str">
        <x:v>019fdc86-fe95-713b-b9cd-e3b9ee26e83f</x:v>
      </x:c>
      <x:c r="B366" s="50" t="str">
        <x:v>SBUX</x:v>
      </x:c>
      <x:c r="C366" s="70" t="n">
        <x:v>46241.58405505787</x:v>
      </x:c>
      <x:c r="D366" s="50" t="str">
        <x:v>SWING_SETUP</x:v>
      </x:c>
      <x:c r="E366" s="50" t="str">
        <x:v>SBUX SWING SETUP</x:v>
      </x:c>
      <x:c r="F366" s="50" t="str">
        <x:v>WATCH</x:v>
      </x:c>
      <x:c r="G366" s="50"/>
      <x:c r="H366" s="50" t="str">
        <x:v>LONG</x:v>
      </x:c>
      <x:c r="I366" s="71" t="n">
        <x:v>105.04</x:v>
      </x:c>
      <x:c r="J366" s="76" t="str">
        <x:v>SIP</x:v>
      </x:c>
    </x:row>
    <x:row r="367">
      <x:c r="A367" s="50" t="str">
        <x:v>019fdc86-fea6-7c62-b6ae-ffbe1df13f9d</x:v>
      </x:c>
      <x:c r="B367" s="50" t="str">
        <x:v>ANET</x:v>
      </x:c>
      <x:c r="C367" s="70" t="n">
        <x:v>46241.58405525463</x:v>
      </x:c>
      <x:c r="D367" s="50" t="str">
        <x:v>SWING_SETUP</x:v>
      </x:c>
      <x:c r="E367" s="50" t="str">
        <x:v>ANET SWING SETUP</x:v>
      </x:c>
      <x:c r="F367" s="50" t="str">
        <x:v>WATCH</x:v>
      </x:c>
      <x:c r="G367" s="50"/>
      <x:c r="H367" s="50" t="str">
        <x:v>LONG</x:v>
      </x:c>
      <x:c r="I367" s="71" t="n">
        <x:v>192.4725</x:v>
      </x:c>
      <x:c r="J367" s="76" t="str">
        <x:v>SIP</x:v>
      </x:c>
    </x:row>
    <x:row r="368">
      <x:c r="A368" s="50" t="str">
        <x:v>019fdc86-fef8-7319-9ab0-9d531dbe0970</x:v>
      </x:c>
      <x:c r="B368" s="50" t="str">
        <x:v>NVDA</x:v>
      </x:c>
      <x:c r="C368" s="70" t="n">
        <x:v>46241.584056203705</x:v>
      </x:c>
      <x:c r="D368" s="50" t="str">
        <x:v>SWING_SETUP</x:v>
      </x:c>
      <x:c r="E368" s="50" t="str">
        <x:v>NVDA SWING SETUP</x:v>
      </x:c>
      <x:c r="F368" s="50" t="str">
        <x:v>WATCH</x:v>
      </x:c>
      <x:c r="G368" s="50"/>
      <x:c r="H368" s="50" t="str">
        <x:v>LONG</x:v>
      </x:c>
      <x:c r="I368" s="71" t="n">
        <x:v>222.275</x:v>
      </x:c>
      <x:c r="J368" s="76" t="str">
        <x:v>SIP</x:v>
      </x:c>
    </x:row>
    <x:row r="369">
      <x:c r="A369" s="50" t="str">
        <x:v>019fdc86-ff3f-7d02-ad7c-7829a5433f7b</x:v>
      </x:c>
      <x:c r="B369" s="50" t="str">
        <x:v>ACHR</x:v>
      </x:c>
      <x:c r="C369" s="70" t="n">
        <x:v>46241.584057025466</x:v>
      </x:c>
      <x:c r="D369" s="50" t="str">
        <x:v>SWING_SETUP</x:v>
      </x:c>
      <x:c r="E369" s="50" t="str">
        <x:v>ACHR SWING SETUP</x:v>
      </x:c>
      <x:c r="F369" s="50" t="str">
        <x:v>WATCH</x:v>
      </x:c>
      <x:c r="G369" s="50"/>
      <x:c r="H369" s="50" t="str">
        <x:v>LONG</x:v>
      </x:c>
      <x:c r="I369" s="71" t="n">
        <x:v>5.4011</x:v>
      </x:c>
      <x:c r="J369" s="76" t="str">
        <x:v>SIP</x:v>
      </x:c>
    </x:row>
    <x:row r="370">
      <x:c r="A370" s="50" t="str">
        <x:v>019fdc86-ff94-724b-a61a-c513739c503d</x:v>
      </x:c>
      <x:c r="B370" s="50" t="str">
        <x:v>BAC</x:v>
      </x:c>
      <x:c r="C370" s="70" t="n">
        <x:v>46241.58405800926</x:v>
      </x:c>
      <x:c r="D370" s="50" t="str">
        <x:v>SWING_SETUP</x:v>
      </x:c>
      <x:c r="E370" s="50" t="str">
        <x:v>BAC SWING SETUP</x:v>
      </x:c>
      <x:c r="F370" s="50" t="str">
        <x:v>WATCH</x:v>
      </x:c>
      <x:c r="G370" s="50"/>
      <x:c r="H370" s="50" t="str">
        <x:v>LONG</x:v>
      </x:c>
      <x:c r="I370" s="71" t="n">
        <x:v>62.64</x:v>
      </x:c>
      <x:c r="J370" s="76" t="str">
        <x:v>SIP</x:v>
      </x:c>
    </x:row>
    <x:row r="371">
      <x:c r="A371" s="50" t="str">
        <x:v>019fdc86-ff9a-7d25-a033-a0d968ecd02f</x:v>
      </x:c>
      <x:c r="B371" s="50" t="str">
        <x:v>MDLZ</x:v>
      </x:c>
      <x:c r="C371" s="70" t="n">
        <x:v>46241.584058078704</x:v>
      </x:c>
      <x:c r="D371" s="50" t="str">
        <x:v>SWING_SETUP</x:v>
      </x:c>
      <x:c r="E371" s="50" t="str">
        <x:v>MDLZ SWING SETUP</x:v>
      </x:c>
      <x:c r="F371" s="50" t="str">
        <x:v>WATCH</x:v>
      </x:c>
      <x:c r="G371" s="50"/>
      <x:c r="H371" s="50" t="str">
        <x:v>LONG</x:v>
      </x:c>
      <x:c r="I371" s="71" t="n">
        <x:v>62.27</x:v>
      </x:c>
      <x:c r="J371" s="76" t="str">
        <x:v>SIP</x:v>
      </x:c>
    </x:row>
    <x:row r="372">
      <x:c r="A372" s="50" t="str">
        <x:v>019fdc86-ffc3-7ca5-827e-6c771cebcd49</x:v>
      </x:c>
      <x:c r="B372" s="50" t="str">
        <x:v>UNP</x:v>
      </x:c>
      <x:c r="C372" s="70" t="n">
        <x:v>46241.58405855324</x:v>
      </x:c>
      <x:c r="D372" s="50" t="str">
        <x:v>SWING_SETUP</x:v>
      </x:c>
      <x:c r="E372" s="50" t="str">
        <x:v>UNP SWING SETUP</x:v>
      </x:c>
      <x:c r="F372" s="50" t="str">
        <x:v>WATCH</x:v>
      </x:c>
      <x:c r="G372" s="50"/>
      <x:c r="H372" s="50" t="str">
        <x:v>LONG</x:v>
      </x:c>
      <x:c r="I372" s="71" t="n">
        <x:v>294.225</x:v>
      </x:c>
      <x:c r="J372" s="76" t="str">
        <x:v>SIP</x:v>
      </x:c>
    </x:row>
    <x:row r="373">
      <x:c r="A373" s="50" t="str">
        <x:v>019fdc87-0012-7514-8450-a737d9af5671</x:v>
      </x:c>
      <x:c r="B373" s="50" t="str">
        <x:v>BABA</x:v>
      </x:c>
      <x:c r="C373" s="70" t="n">
        <x:v>46241.58405946759</x:v>
      </x:c>
      <x:c r="D373" s="50" t="str">
        <x:v>SWING_SETUP</x:v>
      </x:c>
      <x:c r="E373" s="50" t="str">
        <x:v>BABA SWING SETUP</x:v>
      </x:c>
      <x:c r="F373" s="50" t="str">
        <x:v>WATCH</x:v>
      </x:c>
      <x:c r="G373" s="50"/>
      <x:c r="H373" s="50" t="str">
        <x:v>LONG</x:v>
      </x:c>
      <x:c r="I373" s="71" t="n">
        <x:v>126.54</x:v>
      </x:c>
      <x:c r="J373" s="76" t="str">
        <x:v>SIP</x:v>
      </x:c>
    </x:row>
    <x:row r="374">
      <x:c r="A374" s="50" t="str">
        <x:v>019fdc87-003a-758f-ac1e-a7830b0aba5e</x:v>
      </x:c>
      <x:c r="B374" s="50" t="str">
        <x:v>ABNB</x:v>
      </x:c>
      <x:c r="C374" s="70" t="n">
        <x:v>46241.58405993055</x:v>
      </x:c>
      <x:c r="D374" s="50" t="str">
        <x:v>SWING_SETUP</x:v>
      </x:c>
      <x:c r="E374" s="50" t="str">
        <x:v>ABNB SWING SETUP</x:v>
      </x:c>
      <x:c r="F374" s="50" t="str">
        <x:v>WATCH</x:v>
      </x:c>
      <x:c r="G374" s="50"/>
      <x:c r="H374" s="50" t="str">
        <x:v>LONG</x:v>
      </x:c>
      <x:c r="I374" s="71" t="n">
        <x:v>175.26</x:v>
      </x:c>
      <x:c r="J374" s="76" t="str">
        <x:v>SIP</x:v>
      </x:c>
    </x:row>
    <x:row r="375">
      <x:c r="A375" s="50" t="str">
        <x:v>019fdc87-0053-7fe1-81db-486b515c5ad2</x:v>
      </x:c>
      <x:c r="B375" s="50" t="str">
        <x:v>PM</x:v>
      </x:c>
      <x:c r="C375" s="70" t="n">
        <x:v>46241.58406021991</x:v>
      </x:c>
      <x:c r="D375" s="50" t="str">
        <x:v>LONG_BUY_ZONE</x:v>
      </x:c>
      <x:c r="E375" s="50" t="str">
        <x:v>PM LONG BUY ZONE</x:v>
      </x:c>
      <x:c r="F375" s="50" t="str">
        <x:v>WATCH</x:v>
      </x:c>
      <x:c r="G375" s="50"/>
      <x:c r="H375" s="50" t="str">
        <x:v>LONG</x:v>
      </x:c>
      <x:c r="I375" s="71" t="n">
        <x:v>187.9339</x:v>
      </x:c>
      <x:c r="J375" s="76" t="str">
        <x:v>SIP</x:v>
      </x:c>
    </x:row>
    <x:row r="376">
      <x:c r="A376" s="50" t="str">
        <x:v>019fdc87-00bf-79c4-8111-ea0adcad6b7a</x:v>
      </x:c>
      <x:c r="B376" s="50" t="str">
        <x:v>BLFS</x:v>
      </x:c>
      <x:c r="C376" s="70" t="n">
        <x:v>46241.584061469905</x:v>
      </x:c>
      <x:c r="D376" s="50" t="str">
        <x:v>SWING_SETUP</x:v>
      </x:c>
      <x:c r="E376" s="50" t="str">
        <x:v>BLFS SWING SETUP</x:v>
      </x:c>
      <x:c r="F376" s="50" t="str">
        <x:v>WATCH</x:v>
      </x:c>
      <x:c r="G376" s="50"/>
      <x:c r="H376" s="50" t="str">
        <x:v>LONG</x:v>
      </x:c>
      <x:c r="I376" s="71" t="n">
        <x:v>34.5</x:v>
      </x:c>
      <x:c r="J376" s="76" t="str">
        <x:v>SIP</x:v>
      </x:c>
    </x:row>
    <x:row r="377">
      <x:c r="A377" s="50" t="str">
        <x:v>019fdc87-00cc-769f-bc97-6c53126b800b</x:v>
      </x:c>
      <x:c r="B377" s="50" t="str">
        <x:v>WELL</x:v>
      </x:c>
      <x:c r="C377" s="70" t="n">
        <x:v>46241.58406162037</x:v>
      </x:c>
      <x:c r="D377" s="50" t="str">
        <x:v>SWING_SETUP</x:v>
      </x:c>
      <x:c r="E377" s="50" t="str">
        <x:v>WELL SWING SETUP</x:v>
      </x:c>
      <x:c r="F377" s="50" t="str">
        <x:v>WATCH</x:v>
      </x:c>
      <x:c r="G377" s="50"/>
      <x:c r="H377" s="50" t="str">
        <x:v>LONG</x:v>
      </x:c>
      <x:c r="I377" s="71" t="n">
        <x:v>238.36</x:v>
      </x:c>
      <x:c r="J377" s="76" t="str">
        <x:v>SIP</x:v>
      </x:c>
    </x:row>
    <x:row r="378">
      <x:c r="A378" s="50" t="str">
        <x:v>019fdc87-00e8-7e94-8809-3ee7c5433871</x:v>
      </x:c>
      <x:c r="B378" s="50" t="str">
        <x:v>SNOW</x:v>
      </x:c>
      <x:c r="C378" s="70" t="n">
        <x:v>46241.584061932874</x:v>
      </x:c>
      <x:c r="D378" s="50" t="str">
        <x:v>SWING_SETUP</x:v>
      </x:c>
      <x:c r="E378" s="50" t="str">
        <x:v>SNOW SWING SETUP</x:v>
      </x:c>
      <x:c r="F378" s="50" t="str">
        <x:v>WATCH</x:v>
      </x:c>
      <x:c r="G378" s="50"/>
      <x:c r="H378" s="50" t="str">
        <x:v>LONG</x:v>
      </x:c>
      <x:c r="I378" s="71" t="n">
        <x:v>329.02</x:v>
      </x:c>
      <x:c r="J378" s="76" t="str">
        <x:v>SIP</x:v>
      </x:c>
    </x:row>
    <x:row r="379">
      <x:c r="A379" s="50" t="str">
        <x:v>019fdc87-00f9-7e40-b219-89053eecadaf</x:v>
      </x:c>
      <x:c r="B379" s="50" t="str">
        <x:v>ALNT</x:v>
      </x:c>
      <x:c r="C379" s="70" t="n">
        <x:v>46241.584062141206</x:v>
      </x:c>
      <x:c r="D379" s="50" t="str">
        <x:v>SWING_SETUP</x:v>
      </x:c>
      <x:c r="E379" s="50" t="str">
        <x:v>ALNT SWING SETUP</x:v>
      </x:c>
      <x:c r="F379" s="50" t="str">
        <x:v>WATCH</x:v>
      </x:c>
      <x:c r="G379" s="50"/>
      <x:c r="H379" s="50" t="str">
        <x:v>LONG</x:v>
      </x:c>
      <x:c r="I379" s="71" t="n">
        <x:v>115.39</x:v>
      </x:c>
      <x:c r="J379" s="76" t="str">
        <x:v>SIP</x:v>
      </x:c>
    </x:row>
    <x:row r="380">
      <x:c r="A380" s="50" t="str">
        <x:v>019fdc87-010e-73aa-8f96-3339766210d8</x:v>
      </x:c>
      <x:c r="B380" s="50" t="str">
        <x:v>MSFT</x:v>
      </x:c>
      <x:c r="C380" s="70" t="n">
        <x:v>46241.58406238426</x:v>
      </x:c>
      <x:c r="D380" s="50" t="str">
        <x:v>SWING_SETUP</x:v>
      </x:c>
      <x:c r="E380" s="50" t="str">
        <x:v>MSFT SWING SETUP</x:v>
      </x:c>
      <x:c r="F380" s="50" t="str">
        <x:v>WATCH</x:v>
      </x:c>
      <x:c r="G380" s="50"/>
      <x:c r="H380" s="50" t="str">
        <x:v>LONG</x:v>
      </x:c>
      <x:c r="I380" s="71" t="n">
        <x:v>503.4781</x:v>
      </x:c>
      <x:c r="J380" s="76" t="str">
        <x:v>SIP</x:v>
      </x:c>
    </x:row>
    <x:row r="381">
      <x:c r="A381" s="50" t="str">
        <x:v>019fdc87-013d-7eec-a4f0-566956d3f854</x:v>
      </x:c>
      <x:c r="B381" s="50" t="str">
        <x:v>CROX</x:v>
      </x:c>
      <x:c r="C381" s="70" t="n">
        <x:v>46241.58406292824</x:v>
      </x:c>
      <x:c r="D381" s="50" t="str">
        <x:v>SWING_SETUP</x:v>
      </x:c>
      <x:c r="E381" s="50" t="str">
        <x:v>CROX SWING SETUP</x:v>
      </x:c>
      <x:c r="F381" s="50" t="str">
        <x:v>WATCH</x:v>
      </x:c>
      <x:c r="G381" s="50"/>
      <x:c r="H381" s="50" t="str">
        <x:v>LONG</x:v>
      </x:c>
      <x:c r="I381" s="71" t="n">
        <x:v>135.5</x:v>
      </x:c>
      <x:c r="J381" s="76" t="str">
        <x:v>SIP</x:v>
      </x:c>
    </x:row>
    <x:row r="382">
      <x:c r="A382" s="50" t="str">
        <x:v>019fdc87-0161-718d-b146-defdb8f9f565</x:v>
      </x:c>
      <x:c r="B382" s="50" t="str">
        <x:v>AMZN</x:v>
      </x:c>
      <x:c r="C382" s="70" t="n">
        <x:v>46241.584063344904</x:v>
      </x:c>
      <x:c r="D382" s="50" t="str">
        <x:v>SWING_SETUP</x:v>
      </x:c>
      <x:c r="E382" s="50" t="str">
        <x:v>AMZN SWING SETUP</x:v>
      </x:c>
      <x:c r="F382" s="50" t="str">
        <x:v>WATCH</x:v>
      </x:c>
      <x:c r="G382" s="50"/>
      <x:c r="H382" s="50" t="str">
        <x:v>LONG</x:v>
      </x:c>
      <x:c r="I382" s="71" t="n">
        <x:v>276.85</x:v>
      </x:c>
      <x:c r="J382" s="76" t="str">
        <x:v>SIP</x:v>
      </x:c>
    </x:row>
    <x:row r="383">
      <x:c r="A383" s="50" t="str">
        <x:v>019fdc87-01c5-7a86-924d-5cf1ed4116af</x:v>
      </x:c>
      <x:c r="B383" s="50" t="str">
        <x:v>NEM</x:v>
      </x:c>
      <x:c r="C383" s="70" t="n">
        <x:v>46241.58406450231</x:v>
      </x:c>
      <x:c r="D383" s="50" t="str">
        <x:v>SWING_SETUP</x:v>
      </x:c>
      <x:c r="E383" s="50" t="str">
        <x:v>NEM SWING SETUP</x:v>
      </x:c>
      <x:c r="F383" s="50" t="str">
        <x:v>WATCH</x:v>
      </x:c>
      <x:c r="G383" s="50"/>
      <x:c r="H383" s="50" t="str">
        <x:v>LONG</x:v>
      </x:c>
      <x:c r="I383" s="71" t="n">
        <x:v>112.51</x:v>
      </x:c>
      <x:c r="J383" s="76" t="str">
        <x:v>SIP</x:v>
      </x:c>
    </x:row>
    <x:row r="384">
      <x:c r="A384" s="50" t="str">
        <x:v>019fdc87-025c-7479-b078-f3791a1ebc00</x:v>
      </x:c>
      <x:c r="B384" s="50" t="str">
        <x:v>AMGN</x:v>
      </x:c>
      <x:c r="C384" s="70" t="n">
        <x:v>46241.58406625</x:v>
      </x:c>
      <x:c r="D384" s="50" t="str">
        <x:v>SWING_SETUP</x:v>
      </x:c>
      <x:c r="E384" s="50" t="str">
        <x:v>AMGN SWING SETUP</x:v>
      </x:c>
      <x:c r="F384" s="50" t="str">
        <x:v>WATCH</x:v>
      </x:c>
      <x:c r="G384" s="50"/>
      <x:c r="H384" s="50" t="str">
        <x:v>LONG</x:v>
      </x:c>
      <x:c r="I384" s="71" t="n">
        <x:v>407.61</x:v>
      </x:c>
      <x:c r="J384" s="76" t="str">
        <x:v>SIP</x:v>
      </x:c>
    </x:row>
    <x:row r="385">
      <x:c r="A385" s="50" t="str">
        <x:v>019fdc87-0297-7f77-ab8d-7e934d840774</x:v>
      </x:c>
      <x:c r="B385" s="50" t="str">
        <x:v>BMY</x:v>
      </x:c>
      <x:c r="C385" s="70" t="n">
        <x:v>46241.58406693287</x:v>
      </x:c>
      <x:c r="D385" s="50" t="str">
        <x:v>SWING_SETUP</x:v>
      </x:c>
      <x:c r="E385" s="50" t="str">
        <x:v>BMY SWING SETUP</x:v>
      </x:c>
      <x:c r="F385" s="50" t="str">
        <x:v>WATCH</x:v>
      </x:c>
      <x:c r="G385" s="50"/>
      <x:c r="H385" s="50" t="str">
        <x:v>LONG</x:v>
      </x:c>
      <x:c r="I385" s="71" t="n">
        <x:v>64.24</x:v>
      </x:c>
      <x:c r="J385" s="76" t="str">
        <x:v>SIP</x:v>
      </x:c>
    </x:row>
    <x:row r="386">
      <x:c r="A386" s="50" t="str">
        <x:v>019fdc87-02cb-7b97-ad4b-7311393999b7</x:v>
      </x:c>
      <x:c r="B386" s="50" t="str">
        <x:v>HRL</x:v>
      </x:c>
      <x:c r="C386" s="70" t="n">
        <x:v>46241.58406753472</x:v>
      </x:c>
      <x:c r="D386" s="50" t="str">
        <x:v>SWING_SETUP</x:v>
      </x:c>
      <x:c r="E386" s="50" t="str">
        <x:v>HRL SWING SETUP</x:v>
      </x:c>
      <x:c r="F386" s="50" t="str">
        <x:v>WATCH</x:v>
      </x:c>
      <x:c r="G386" s="50"/>
      <x:c r="H386" s="50" t="str">
        <x:v>LONG</x:v>
      </x:c>
      <x:c r="I386" s="71" t="n">
        <x:v>25.19</x:v>
      </x:c>
      <x:c r="J386" s="76" t="str">
        <x:v>SIP</x:v>
      </x:c>
    </x:row>
    <x:row r="387">
      <x:c r="A387" s="50" t="str">
        <x:v>019fdc87-02e3-74e6-b488-6e0510d1c760</x:v>
      </x:c>
      <x:c r="B387" s="50" t="str">
        <x:v>GRAB</x:v>
      </x:c>
      <x:c r="C387" s="70" t="n">
        <x:v>46241.5840678125</x:v>
      </x:c>
      <x:c r="D387" s="50" t="str">
        <x:v>SWING_SETUP</x:v>
      </x:c>
      <x:c r="E387" s="50" t="str">
        <x:v>GRAB SWING SETUP</x:v>
      </x:c>
      <x:c r="F387" s="50" t="str">
        <x:v>WATCH</x:v>
      </x:c>
      <x:c r="G387" s="50"/>
      <x:c r="H387" s="50" t="str">
        <x:v>LONG</x:v>
      </x:c>
      <x:c r="I387" s="71" t="n">
        <x:v>3.6689</x:v>
      </x:c>
      <x:c r="J387" s="76" t="str">
        <x:v>SIP</x:v>
      </x:c>
    </x:row>
    <x:row r="388">
      <x:c r="A388" s="50" t="str">
        <x:v>019fdc87-0329-7c32-9547-6c38f5a759ff</x:v>
      </x:c>
      <x:c r="B388" s="50" t="str">
        <x:v>ECL</x:v>
      </x:c>
      <x:c r="C388" s="70" t="n">
        <x:v>46241.58406862269</x:v>
      </x:c>
      <x:c r="D388" s="50" t="str">
        <x:v>SWING_SETUP</x:v>
      </x:c>
      <x:c r="E388" s="50" t="str">
        <x:v>ECL SWING SETUP</x:v>
      </x:c>
      <x:c r="F388" s="50" t="str">
        <x:v>WATCH</x:v>
      </x:c>
      <x:c r="G388" s="50"/>
      <x:c r="H388" s="50" t="str">
        <x:v>LONG</x:v>
      </x:c>
      <x:c r="I388" s="71" t="n">
        <x:v>286.015</x:v>
      </x:c>
      <x:c r="J388" s="76" t="str">
        <x:v>SIP</x:v>
      </x:c>
    </x:row>
    <x:row r="389">
      <x:c r="A389" s="50" t="str">
        <x:v>019fdc87-0344-7973-8864-88258eda7e1d</x:v>
      </x:c>
      <x:c r="B389" s="50" t="str">
        <x:v>PFE</x:v>
      </x:c>
      <x:c r="C389" s="70" t="n">
        <x:v>46241.584068923614</x:v>
      </x:c>
      <x:c r="D389" s="50" t="str">
        <x:v>SWING_SETUP</x:v>
      </x:c>
      <x:c r="E389" s="50" t="str">
        <x:v>PFE SWING SETUP</x:v>
      </x:c>
      <x:c r="F389" s="50" t="str">
        <x:v>WATCH</x:v>
      </x:c>
      <x:c r="G389" s="50"/>
      <x:c r="H389" s="50" t="str">
        <x:v>LONG</x:v>
      </x:c>
      <x:c r="I389" s="71" t="n">
        <x:v>26.46</x:v>
      </x:c>
      <x:c r="J389" s="76" t="str">
        <x:v>SIP</x:v>
      </x:c>
    </x:row>
    <x:row r="390">
      <x:c r="A390" s="50" t="str">
        <x:v>019fdc87-036c-7f73-87e5-49f77695e820</x:v>
      </x:c>
      <x:c r="B390" s="50" t="str">
        <x:v>SE</x:v>
      </x:c>
      <x:c r="C390" s="70" t="n">
        <x:v>46241.58406939815</x:v>
      </x:c>
      <x:c r="D390" s="50" t="str">
        <x:v>SWING_SETUP</x:v>
      </x:c>
      <x:c r="E390" s="50" t="str">
        <x:v>SE SWING SETUP</x:v>
      </x:c>
      <x:c r="F390" s="50" t="str">
        <x:v>WATCH</x:v>
      </x:c>
      <x:c r="G390" s="50"/>
      <x:c r="H390" s="50" t="str">
        <x:v>LONG</x:v>
      </x:c>
      <x:c r="I390" s="71" t="n">
        <x:v>112.64</x:v>
      </x:c>
      <x:c r="J390" s="76" t="str">
        <x:v>SIP</x:v>
      </x:c>
    </x:row>
    <x:row r="391">
      <x:c r="A391" s="50" t="str">
        <x:v>019fdc87-0373-754f-9bba-58459018fceb</x:v>
      </x:c>
      <x:c r="B391" s="50" t="str">
        <x:v>JD</x:v>
      </x:c>
      <x:c r="C391" s="70" t="n">
        <x:v>46241.58406947917</x:v>
      </x:c>
      <x:c r="D391" s="50" t="str">
        <x:v>SWING_SETUP</x:v>
      </x:c>
      <x:c r="E391" s="50" t="str">
        <x:v>JD SWING SETUP</x:v>
      </x:c>
      <x:c r="F391" s="50" t="str">
        <x:v>WATCH</x:v>
      </x:c>
      <x:c r="G391" s="50"/>
      <x:c r="H391" s="50" t="str">
        <x:v>LONG</x:v>
      </x:c>
      <x:c r="I391" s="71" t="n">
        <x:v>32.71</x:v>
      </x:c>
      <x:c r="J391" s="76" t="str">
        <x:v>SIP</x:v>
      </x:c>
    </x:row>
    <x:row r="392">
      <x:c r="A392" s="50" t="str">
        <x:v>019fdc87-03ac-76f9-b928-220e640edf1c</x:v>
      </x:c>
      <x:c r="B392" s="50" t="str">
        <x:v>KO</x:v>
      </x:c>
      <x:c r="C392" s="70" t="n">
        <x:v>46241.58407012731</x:v>
      </x:c>
      <x:c r="D392" s="50" t="str">
        <x:v>SWING_SETUP</x:v>
      </x:c>
      <x:c r="E392" s="50" t="str">
        <x:v>KO SWING SETUP</x:v>
      </x:c>
      <x:c r="F392" s="50" t="str">
        <x:v>WATCH</x:v>
      </x:c>
      <x:c r="G392" s="50"/>
      <x:c r="H392" s="50" t="str">
        <x:v>LONG</x:v>
      </x:c>
      <x:c r="I392" s="71" t="n">
        <x:v>86.89</x:v>
      </x:c>
      <x:c r="J392" s="76" t="str">
        <x:v>SIP</x:v>
      </x:c>
    </x:row>
    <x:row r="393">
      <x:c r="A393" s="50" t="str">
        <x:v>019fdc87-03ca-7cc3-8ba5-1aadb0a083b0</x:v>
      </x:c>
      <x:c r="B393" s="50" t="str">
        <x:v>JPM</x:v>
      </x:c>
      <x:c r="C393" s="70" t="n">
        <x:v>46241.58407048611</x:v>
      </x:c>
      <x:c r="D393" s="50" t="str">
        <x:v>SWING_SETUP</x:v>
      </x:c>
      <x:c r="E393" s="50" t="str">
        <x:v>JPM SWING SETUP</x:v>
      </x:c>
      <x:c r="F393" s="50" t="str">
        <x:v>WATCH</x:v>
      </x:c>
      <x:c r="G393" s="50"/>
      <x:c r="H393" s="50" t="str">
        <x:v>LONG</x:v>
      </x:c>
      <x:c r="I393" s="71" t="n">
        <x:v>354.435</x:v>
      </x:c>
      <x:c r="J393" s="76" t="str">
        <x:v>SIP</x:v>
      </x:c>
    </x:row>
    <x:row r="394">
      <x:c r="A394" s="50" t="str">
        <x:v>019fdc87-040b-706f-bdad-6e225b0a4091</x:v>
      </x:c>
      <x:c r="B394" s="50" t="str">
        <x:v>ETHA</x:v>
      </x:c>
      <x:c r="C394" s="70" t="n">
        <x:v>46241.584071226855</x:v>
      </x:c>
      <x:c r="D394" s="50" t="str">
        <x:v>SWING_SETUP</x:v>
      </x:c>
      <x:c r="E394" s="50" t="str">
        <x:v>ETHA SWING SETUP</x:v>
      </x:c>
      <x:c r="F394" s="50" t="str">
        <x:v>WATCH</x:v>
      </x:c>
      <x:c r="G394" s="50"/>
      <x:c r="H394" s="50" t="str">
        <x:v>LONG</x:v>
      </x:c>
      <x:c r="I394" s="71" t="n">
        <x:v>14.5098</x:v>
      </x:c>
      <x:c r="J394" s="76" t="str">
        <x:v>SIP</x:v>
      </x:c>
    </x:row>
    <x:row r="395">
      <x:c r="A395" s="50" t="str">
        <x:v>019fdc87-0435-707a-94f2-f3cb04824123</x:v>
      </x:c>
      <x:c r="B395" s="50" t="str">
        <x:v>TMDX</x:v>
      </x:c>
      <x:c r="C395" s="70" t="n">
        <x:v>46241.58407171296</x:v>
      </x:c>
      <x:c r="D395" s="50" t="str">
        <x:v>SWING_SETUP</x:v>
      </x:c>
      <x:c r="E395" s="50" t="str">
        <x:v>TMDX SWING SETUP</x:v>
      </x:c>
      <x:c r="F395" s="50" t="str">
        <x:v>WATCH</x:v>
      </x:c>
      <x:c r="G395" s="50"/>
      <x:c r="H395" s="50" t="str">
        <x:v>LONG</x:v>
      </x:c>
      <x:c r="I395" s="71" t="n">
        <x:v>80.41</x:v>
      </x:c>
      <x:c r="J395" s="76" t="str">
        <x:v>SIP</x:v>
      </x:c>
    </x:row>
    <x:row r="396">
      <x:c r="A396" s="50" t="str">
        <x:v>019fdc87-0443-78c2-852f-01d18f49c861</x:v>
      </x:c>
      <x:c r="B396" s="50" t="str">
        <x:v>SCHW</x:v>
      </x:c>
      <x:c r="C396" s="70" t="n">
        <x:v>46241.58407188657</x:v>
      </x:c>
      <x:c r="D396" s="50" t="str">
        <x:v>SWING_SETUP</x:v>
      </x:c>
      <x:c r="E396" s="50" t="str">
        <x:v>SCHW SWING SETUP</x:v>
      </x:c>
      <x:c r="F396" s="50" t="str">
        <x:v>WATCH</x:v>
      </x:c>
      <x:c r="G396" s="50"/>
      <x:c r="H396" s="50" t="str">
        <x:v>LONG</x:v>
      </x:c>
      <x:c r="I396" s="71" t="n">
        <x:v>106.88</x:v>
      </x:c>
      <x:c r="J396" s="76" t="str">
        <x:v>SIP</x:v>
      </x:c>
    </x:row>
    <x:row r="397">
      <x:c r="A397" s="50" t="str">
        <x:v>019fdc87-0469-790f-ba7e-d26bb5a5dd5b</x:v>
      </x:c>
      <x:c r="B397" s="50" t="str">
        <x:v>DLR</x:v>
      </x:c>
      <x:c r="C397" s="70" t="n">
        <x:v>46241.58407232639</x:v>
      </x:c>
      <x:c r="D397" s="50" t="str">
        <x:v>SWING_SETUP</x:v>
      </x:c>
      <x:c r="E397" s="50" t="str">
        <x:v>DLR SWING SETUP</x:v>
      </x:c>
      <x:c r="F397" s="50" t="str">
        <x:v>WATCH</x:v>
      </x:c>
      <x:c r="G397" s="50"/>
      <x:c r="H397" s="50" t="str">
        <x:v>LONG</x:v>
      </x:c>
      <x:c r="I397" s="71" t="n">
        <x:v>193.83</x:v>
      </x:c>
      <x:c r="J397" s="76" t="str">
        <x:v>SIP</x:v>
      </x:c>
    </x:row>
    <x:row r="398">
      <x:c r="A398" s="50" t="str">
        <x:v>019fdc87-0476-783d-b35b-fddbf2f58f34</x:v>
      </x:c>
      <x:c r="B398" s="50" t="str">
        <x:v>BKNG</x:v>
      </x:c>
      <x:c r="C398" s="70" t="n">
        <x:v>46241.58407247685</x:v>
      </x:c>
      <x:c r="D398" s="50" t="str">
        <x:v>SWING_SETUP</x:v>
      </x:c>
      <x:c r="E398" s="50" t="str">
        <x:v>BKNG SWING SETUP</x:v>
      </x:c>
      <x:c r="F398" s="50" t="str">
        <x:v>WATCH</x:v>
      </x:c>
      <x:c r="G398" s="50"/>
      <x:c r="H398" s="50" t="str">
        <x:v>LONG</x:v>
      </x:c>
      <x:c r="I398" s="71" t="n">
        <x:v>212.725</x:v>
      </x:c>
      <x:c r="J398" s="76" t="str">
        <x:v>SIP</x:v>
      </x:c>
    </x:row>
    <x:row r="399">
      <x:c r="A399" s="50" t="str">
        <x:v>019fdc87-0493-7dc5-888e-952c183871ba</x:v>
      </x:c>
      <x:c r="B399" s="50" t="str">
        <x:v>RDW</x:v>
      </x:c>
      <x:c r="C399" s="70" t="n">
        <x:v>46241.5840728125</x:v>
      </x:c>
      <x:c r="D399" s="50" t="str">
        <x:v>SWING_SETUP</x:v>
      </x:c>
      <x:c r="E399" s="50" t="str">
        <x:v>RDW SWING SETUP</x:v>
      </x:c>
      <x:c r="F399" s="50" t="str">
        <x:v>WATCH</x:v>
      </x:c>
      <x:c r="G399" s="50"/>
      <x:c r="H399" s="50" t="str">
        <x:v>LONG</x:v>
      </x:c>
      <x:c r="I399" s="71" t="n">
        <x:v>13.04</x:v>
      </x:c>
      <x:c r="J399" s="76" t="str">
        <x:v>SIP</x:v>
      </x:c>
    </x:row>
    <x:row r="400">
      <x:c r="A400" s="50" t="str">
        <x:v>019fdc87-04e3-7dc9-a8f2-a72a3bb83e5a</x:v>
      </x:c>
      <x:c r="B400" s="50" t="str">
        <x:v>CEG</x:v>
      </x:c>
      <x:c r="C400" s="70" t="n">
        <x:v>46241.58407373843</x:v>
      </x:c>
      <x:c r="D400" s="50" t="str">
        <x:v>SWING_SETUP</x:v>
      </x:c>
      <x:c r="E400" s="50" t="str">
        <x:v>CEG SWING SETUP</x:v>
      </x:c>
      <x:c r="F400" s="50" t="str">
        <x:v>WATCH</x:v>
      </x:c>
      <x:c r="G400" s="50"/>
      <x:c r="H400" s="50" t="str">
        <x:v>LONG</x:v>
      </x:c>
      <x:c r="I400" s="71" t="n">
        <x:v>264.91</x:v>
      </x:c>
      <x:c r="J400" s="76" t="str">
        <x:v>SIP</x:v>
      </x:c>
    </x:row>
    <x:row r="401">
      <x:c r="A401" s="50" t="str">
        <x:v>019fdc87-06bf-75b6-9fb9-cd49b4b35b6d</x:v>
      </x:c>
      <x:c r="B401" s="50" t="str">
        <x:v>HRL</x:v>
      </x:c>
      <x:c r="C401" s="70" t="n">
        <x:v>46241.58407924769</x:v>
      </x:c>
      <x:c r="D401" s="50" t="str">
        <x:v>LONG_BUY_ZONE</x:v>
      </x:c>
      <x:c r="E401" s="50" t="str">
        <x:v>HRL LONG BUY ZONE</x:v>
      </x:c>
      <x:c r="F401" s="50" t="str">
        <x:v>WATCH</x:v>
      </x:c>
      <x:c r="G401" s="50"/>
      <x:c r="H401" s="50" t="str">
        <x:v>LONG</x:v>
      </x:c>
      <x:c r="I401" s="71" t="n">
        <x:v>25.2</x:v>
      </x:c>
      <x:c r="J401" s="76" t="str">
        <x:v>SIP</x:v>
      </x:c>
    </x:row>
    <x:row r="402">
      <x:c r="A402" s="50" t="str">
        <x:v>019fdc87-e5ad-7329-b380-f8b0cb6b78ed</x:v>
      </x:c>
      <x:c r="B402" s="50" t="str">
        <x:v>ECL</x:v>
      </x:c>
      <x:c r="C402" s="70" t="n">
        <x:v>46241.58473978009</x:v>
      </x:c>
      <x:c r="D402" s="50" t="str">
        <x:v>LONG_BUY_ZONE</x:v>
      </x:c>
      <x:c r="E402" s="50" t="str">
        <x:v>ECL LONG BUY ZONE</x:v>
      </x:c>
      <x:c r="F402" s="50" t="str">
        <x:v>WATCH</x:v>
      </x:c>
      <x:c r="G402" s="50"/>
      <x:c r="H402" s="50" t="str">
        <x:v>LONG</x:v>
      </x:c>
      <x:c r="I402" s="71" t="n">
        <x:v>286.14</x:v>
      </x:c>
      <x:c r="J402" s="76" t="str">
        <x:v>SIP</x:v>
      </x:c>
    </x:row>
    <x:row r="403">
      <x:c r="A403" s="50" t="str">
        <x:v>019fdc87-e6f9-7fb7-923b-b7b6117ffe61</x:v>
      </x:c>
      <x:c r="B403" s="50" t="str">
        <x:v>SHW</x:v>
      </x:c>
      <x:c r="C403" s="70" t="n">
        <x:v>46241.58474362268</x:v>
      </x:c>
      <x:c r="D403" s="50" t="str">
        <x:v>SWING_SETUP</x:v>
      </x:c>
      <x:c r="E403" s="50" t="str">
        <x:v>SHW SWING SETUP</x:v>
      </x:c>
      <x:c r="F403" s="50" t="str">
        <x:v>WATCH</x:v>
      </x:c>
      <x:c r="G403" s="50"/>
      <x:c r="H403" s="50" t="str">
        <x:v>LONG</x:v>
      </x:c>
      <x:c r="I403" s="71" t="n">
        <x:v>370.08</x:v>
      </x:c>
      <x:c r="J403" s="76" t="str">
        <x:v>SIP</x:v>
      </x:c>
    </x:row>
    <x:row r="404">
      <x:c r="A404" s="50" t="str">
        <x:v>019fdc87-e7ff-7b90-bfc6-0898e341b0ca</x:v>
      </x:c>
      <x:c r="B404" s="50" t="str">
        <x:v>DE</x:v>
      </x:c>
      <x:c r="C404" s="70" t="n">
        <x:v>46241.58474665509</x:v>
      </x:c>
      <x:c r="D404" s="50" t="str">
        <x:v>SWING_SETUP</x:v>
      </x:c>
      <x:c r="E404" s="50" t="str">
        <x:v>DE SWING SETUP</x:v>
      </x:c>
      <x:c r="F404" s="50" t="str">
        <x:v>WATCH</x:v>
      </x:c>
      <x:c r="G404" s="50"/>
      <x:c r="H404" s="50" t="str">
        <x:v>LONG</x:v>
      </x:c>
      <x:c r="I404" s="71" t="n">
        <x:v>619.33</x:v>
      </x:c>
      <x:c r="J404" s="76" t="str">
        <x:v>SIP</x:v>
      </x:c>
    </x:row>
    <x:row r="405">
      <x:c r="A405" s="50" t="str">
        <x:v>019fdc87-e83a-7341-a5ac-945f93e11c53</x:v>
      </x:c>
      <x:c r="B405" s="50" t="str">
        <x:v>DCTH</x:v>
      </x:c>
      <x:c r="C405" s="70" t="n">
        <x:v>46241.58474733796</x:v>
      </x:c>
      <x:c r="D405" s="50" t="str">
        <x:v>SWING_SETUP</x:v>
      </x:c>
      <x:c r="E405" s="50" t="str">
        <x:v>DCTH SWING SETUP</x:v>
      </x:c>
      <x:c r="F405" s="50" t="str">
        <x:v>WATCH</x:v>
      </x:c>
      <x:c r="G405" s="50"/>
      <x:c r="H405" s="50" t="str">
        <x:v>LONG</x:v>
      </x:c>
      <x:c r="I405" s="71" t="n">
        <x:v>16.08</x:v>
      </x:c>
      <x:c r="J405" s="76" t="str">
        <x:v>SIP</x:v>
      </x:c>
    </x:row>
    <x:row r="406">
      <x:c r="A406" s="50" t="str">
        <x:v>019fdc87-e84c-78e6-9a7f-d9a2ce82dcd7</x:v>
      </x:c>
      <x:c r="B406" s="50" t="str">
        <x:v>PM</x:v>
      </x:c>
      <x:c r="C406" s="70" t="n">
        <x:v>46241.584747546294</x:v>
      </x:c>
      <x:c r="D406" s="50" t="str">
        <x:v>SWING_SETUP</x:v>
      </x:c>
      <x:c r="E406" s="50" t="str">
        <x:v>PM SWING SETUP</x:v>
      </x:c>
      <x:c r="F406" s="50" t="str">
        <x:v>WATCH</x:v>
      </x:c>
      <x:c r="G406" s="50"/>
      <x:c r="H406" s="50" t="str">
        <x:v>LONG</x:v>
      </x:c>
      <x:c r="I406" s="71" t="n">
        <x:v>187.57</x:v>
      </x:c>
      <x:c r="J406" s="76" t="str">
        <x:v>SIP</x:v>
      </x:c>
    </x:row>
    <x:row r="407">
      <x:c r="A407" s="50" t="str">
        <x:v>019fdc87-e899-771c-8a61-d44f9b590cfb</x:v>
      </x:c>
      <x:c r="B407" s="50" t="str">
        <x:v>ACHV</x:v>
      </x:c>
      <x:c r="C407" s="70" t="n">
        <x:v>46241.5847484375</x:v>
      </x:c>
      <x:c r="D407" s="50" t="str">
        <x:v>SWING_SETUP</x:v>
      </x:c>
      <x:c r="E407" s="50" t="str">
        <x:v>ACHV SWING SETUP</x:v>
      </x:c>
      <x:c r="F407" s="50" t="str">
        <x:v>WATCH</x:v>
      </x:c>
      <x:c r="G407" s="50"/>
      <x:c r="H407" s="50" t="str">
        <x:v>LONG</x:v>
      </x:c>
      <x:c r="I407" s="71" t="n">
        <x:v>6.65</x:v>
      </x:c>
      <x:c r="J407" s="76" t="str">
        <x:v>SIP</x:v>
      </x:c>
    </x:row>
    <x:row r="408">
      <x:c r="A408" s="50" t="str">
        <x:v>019fdc87-e8c3-7901-9810-e65734ea8abc</x:v>
      </x:c>
      <x:c r="B408" s="50" t="str">
        <x:v>MMM</x:v>
      </x:c>
      <x:c r="C408" s="70" t="n">
        <x:v>46241.58474892361</x:v>
      </x:c>
      <x:c r="D408" s="50" t="str">
        <x:v>SWING_SETUP</x:v>
      </x:c>
      <x:c r="E408" s="50" t="str">
        <x:v>MMM SWING SETUP</x:v>
      </x:c>
      <x:c r="F408" s="50" t="str">
        <x:v>WATCH</x:v>
      </x:c>
      <x:c r="G408" s="50"/>
      <x:c r="H408" s="50" t="str">
        <x:v>LONG</x:v>
      </x:c>
      <x:c r="I408" s="71" t="n">
        <x:v>181.425</x:v>
      </x:c>
      <x:c r="J408" s="76" t="str">
        <x:v>SIP</x:v>
      </x:c>
    </x:row>
    <x:row r="409">
      <x:c r="A409" s="50" t="str">
        <x:v>019fdc87-e8cc-7eca-afcc-6b4648034f11</x:v>
      </x:c>
      <x:c r="B409" s="50" t="str">
        <x:v>ABT</x:v>
      </x:c>
      <x:c r="C409" s="70" t="n">
        <x:v>46241.58474902778</x:v>
      </x:c>
      <x:c r="D409" s="50" t="str">
        <x:v>SWING_SETUP</x:v>
      </x:c>
      <x:c r="E409" s="50" t="str">
        <x:v>ABT SWING SETUP</x:v>
      </x:c>
      <x:c r="F409" s="50" t="str">
        <x:v>WATCH</x:v>
      </x:c>
      <x:c r="G409" s="50"/>
      <x:c r="H409" s="50" t="str">
        <x:v>LONG</x:v>
      </x:c>
      <x:c r="I409" s="71" t="n">
        <x:v>107.59</x:v>
      </x:c>
      <x:c r="J409" s="76" t="str">
        <x:v>SIP</x:v>
      </x:c>
    </x:row>
    <x:row r="410">
      <x:c r="A410" s="50" t="str">
        <x:v>019fdc87-e905-72eb-a33c-551ef7f38fca</x:v>
      </x:c>
      <x:c r="B410" s="50" t="str">
        <x:v>GD</x:v>
      </x:c>
      <x:c r="C410" s="70" t="n">
        <x:v>46241.5847496875</x:v>
      </x:c>
      <x:c r="D410" s="50" t="str">
        <x:v>SWING_SETUP</x:v>
      </x:c>
      <x:c r="E410" s="50" t="str">
        <x:v>GD SWING SETUP</x:v>
      </x:c>
      <x:c r="F410" s="50" t="str">
        <x:v>WATCH</x:v>
      </x:c>
      <x:c r="G410" s="50"/>
      <x:c r="H410" s="50" t="str">
        <x:v>LONG</x:v>
      </x:c>
      <x:c r="I410" s="71" t="n">
        <x:v>385.38</x:v>
      </x:c>
      <x:c r="J410" s="76" t="str">
        <x:v>SIP</x:v>
      </x:c>
    </x:row>
    <x:row r="411">
      <x:c r="A411" s="50" t="str">
        <x:v>019fdc87-e924-7f88-8448-1766a29f6122</x:v>
      </x:c>
      <x:c r="B411" s="50" t="str">
        <x:v>ADBE</x:v>
      </x:c>
      <x:c r="C411" s="70" t="n">
        <x:v>46241.5847500463</x:v>
      </x:c>
      <x:c r="D411" s="50" t="str">
        <x:v>SWING_SETUP</x:v>
      </x:c>
      <x:c r="E411" s="50" t="str">
        <x:v>ADBE SWING SETUP</x:v>
      </x:c>
      <x:c r="F411" s="50" t="str">
        <x:v>WATCH</x:v>
      </x:c>
      <x:c r="G411" s="50"/>
      <x:c r="H411" s="50" t="str">
        <x:v>LONG</x:v>
      </x:c>
      <x:c r="I411" s="71" t="n">
        <x:v>264.2375</x:v>
      </x:c>
      <x:c r="J411" s="76" t="str">
        <x:v>SIP</x:v>
      </x:c>
    </x:row>
    <x:row r="412">
      <x:c r="A412" s="50" t="str">
        <x:v>019fdc87-e97b-7eb0-b229-c6a88408bbe4</x:v>
      </x:c>
      <x:c r="B412" s="50" t="str">
        <x:v>BLK</x:v>
      </x:c>
      <x:c r="C412" s="70" t="n">
        <x:v>46241.58475105324</x:v>
      </x:c>
      <x:c r="D412" s="50" t="str">
        <x:v>SWING_SETUP</x:v>
      </x:c>
      <x:c r="E412" s="50" t="str">
        <x:v>BLK SWING SETUP</x:v>
      </x:c>
      <x:c r="F412" s="50" t="str">
        <x:v>WATCH</x:v>
      </x:c>
      <x:c r="G412" s="50"/>
      <x:c r="H412" s="50" t="str">
        <x:v>LONG</x:v>
      </x:c>
      <x:c r="I412" s="71" t="n">
        <x:v>1137.18</x:v>
      </x:c>
      <x:c r="J412" s="76" t="str">
        <x:v>SIP</x:v>
      </x:c>
    </x:row>
    <x:row r="413">
      <x:c r="A413" s="50" t="str">
        <x:v>019fdc87-e9f1-7d75-9235-f9f91cec488d</x:v>
      </x:c>
      <x:c r="B413" s="50" t="str">
        <x:v>RCL</x:v>
      </x:c>
      <x:c r="C413" s="70" t="n">
        <x:v>46241.58475241898</x:v>
      </x:c>
      <x:c r="D413" s="50" t="str">
        <x:v>SWING_SETUP</x:v>
      </x:c>
      <x:c r="E413" s="50" t="str">
        <x:v>RCL SWING SETUP</x:v>
      </x:c>
      <x:c r="F413" s="50" t="str">
        <x:v>WATCH</x:v>
      </x:c>
      <x:c r="G413" s="50"/>
      <x:c r="H413" s="50" t="str">
        <x:v>LONG</x:v>
      </x:c>
      <x:c r="I413" s="71" t="n">
        <x:v>318.8725</x:v>
      </x:c>
      <x:c r="J413" s="76" t="str">
        <x:v>SIP</x:v>
      </x:c>
    </x:row>
    <x:row r="414">
      <x:c r="A414" s="50" t="str">
        <x:v>019fdc87-f07c-7c4b-ac33-6469e7614d90</x:v>
      </x:c>
      <x:c r="B414" s="50" t="str">
        <x:v>ABBV</x:v>
      </x:c>
      <x:c r="C414" s="70" t="n">
        <x:v>46241.58477180555</x:v>
      </x:c>
      <x:c r="D414" s="50" t="str">
        <x:v>LONG_BUY_ZONE</x:v>
      </x:c>
      <x:c r="E414" s="50" t="str">
        <x:v>ABBV LONG BUY ZONE</x:v>
      </x:c>
      <x:c r="F414" s="50" t="str">
        <x:v>WATCH</x:v>
      </x:c>
      <x:c r="G414" s="50"/>
      <x:c r="H414" s="50" t="str">
        <x:v>LONG</x:v>
      </x:c>
      <x:c r="I414" s="71" t="n">
        <x:v>246.09</x:v>
      </x:c>
      <x:c r="J414" s="76" t="str">
        <x:v>SIP</x:v>
      </x:c>
    </x:row>
    <x:row r="415">
      <x:c r="A415" s="50" t="str">
        <x:v>019fdc87-f1a3-7d30-940a-289a52598894</x:v>
      </x:c>
      <x:c r="B415" s="50" t="str">
        <x:v>APD</x:v>
      </x:c>
      <x:c r="C415" s="70" t="n">
        <x:v>46241.584775219904</x:v>
      </x:c>
      <x:c r="D415" s="50" t="str">
        <x:v>LONG_BUY_ZONE</x:v>
      </x:c>
      <x:c r="E415" s="50" t="str">
        <x:v>APD LONG BUY ZONE</x:v>
      </x:c>
      <x:c r="F415" s="50" t="str">
        <x:v>WATCH</x:v>
      </x:c>
      <x:c r="G415" s="50"/>
      <x:c r="H415" s="50" t="str">
        <x:v>LONG</x:v>
      </x:c>
      <x:c r="I415" s="71" t="n">
        <x:v>299.1815</x:v>
      </x:c>
      <x:c r="J415" s="76" t="str">
        <x:v>SIP</x:v>
      </x:c>
    </x:row>
    <x:row r="416">
      <x:c r="A416" s="50" t="str">
        <x:v>019fdc88-d148-7b9f-8558-da869e801db7</x:v>
      </x:c>
      <x:c r="B416" s="50" t="str">
        <x:v>XOM</x:v>
      </x:c>
      <x:c r="C416" s="70" t="n">
        <x:v>46241.58543787037</x:v>
      </x:c>
      <x:c r="D416" s="50" t="str">
        <x:v>ENTRY_WATCH</x:v>
      </x:c>
      <x:c r="E416" s="50" t="str">
        <x:v>XOM ENTRY BREAKAWAY WATCH</x:v>
      </x:c>
      <x:c r="F416" s="50" t="str">
        <x:v>WATCH</x:v>
      </x:c>
      <x:c r="G416" s="50"/>
      <x:c r="H416" s="50" t="str">
        <x:v>LONG</x:v>
      </x:c>
      <x:c r="I416" s="71" t="n">
        <x:v>152.45</x:v>
      </x:c>
      <x:c r="J416" s="76" t="str">
        <x:v>SIP</x:v>
      </x:c>
    </x:row>
    <x:row r="417">
      <x:c r="A417" s="50" t="str">
        <x:v>019fdc88-d506-793c-801d-685e5a2074d5</x:v>
      </x:c>
      <x:c r="B417" s="50" t="str">
        <x:v>SBUX</x:v>
      </x:c>
      <x:c r="C417" s="70" t="n">
        <x:v>46241.585448958336</x:v>
      </x:c>
      <x:c r="D417" s="50" t="str">
        <x:v>ENTRY_WATCH</x:v>
      </x:c>
      <x:c r="E417" s="50" t="str">
        <x:v>SBUX ENTRY BREAKAWAY WATCH</x:v>
      </x:c>
      <x:c r="F417" s="50" t="str">
        <x:v>WATCH</x:v>
      </x:c>
      <x:c r="G417" s="50"/>
      <x:c r="H417" s="50" t="str">
        <x:v>LONG</x:v>
      </x:c>
      <x:c r="I417" s="71" t="n">
        <x:v>105.325</x:v>
      </x:c>
      <x:c r="J417" s="76" t="str">
        <x:v>SIP</x:v>
      </x:c>
    </x:row>
    <x:row r="418">
      <x:c r="A418" s="50" t="str">
        <x:v>019fdc88-d57c-73c7-9c3e-2bf19ffdc3fa</x:v>
      </x:c>
      <x:c r="B418" s="50" t="str">
        <x:v>SBUX</x:v>
      </x:c>
      <x:c r="C418" s="70" t="n">
        <x:v>46241.58545032408</x:v>
      </x:c>
      <x:c r="D418" s="50" t="str">
        <x:v>ENTRY_OPPORTUNITY_PROGRESS</x:v>
      </x:c>
      <x:c r="E418" s="50" t="str">
        <x:v>SBUX ENTRY ARMED [##--------]</x:v>
      </x:c>
      <x:c r="F418" s="50" t="str">
        <x:v>INFO</x:v>
      </x:c>
      <x:c r="G418" s="50"/>
      <x:c r="H418" s="50" t="str">
        <x:v>LONG</x:v>
      </x:c>
      <x:c r="I418" s="71" t="n">
        <x:v>105.325</x:v>
      </x:c>
      <x:c r="J418" s="76" t="str">
        <x:v>SIP</x:v>
      </x:c>
    </x:row>
    <x:row r="419">
      <x:c r="A419" s="50" t="str">
        <x:v>019fdc88-d5b1-789a-864b-4093190dd04e</x:v>
      </x:c>
      <x:c r="B419" s="50" t="str">
        <x:v>DE</x:v>
      </x:c>
      <x:c r="C419" s="70" t="n">
        <x:v>46241.5854509375</x:v>
      </x:c>
      <x:c r="D419" s="50" t="str">
        <x:v>LONG_BUY_ZONE</x:v>
      </x:c>
      <x:c r="E419" s="50" t="str">
        <x:v>DE LONG BUY ZONE</x:v>
      </x:c>
      <x:c r="F419" s="50" t="str">
        <x:v>WATCH</x:v>
      </x:c>
      <x:c r="G419" s="50"/>
      <x:c r="H419" s="50" t="str">
        <x:v>LONG</x:v>
      </x:c>
      <x:c r="I419" s="71" t="n">
        <x:v>621</x:v>
      </x:c>
      <x:c r="J419" s="76" t="str">
        <x:v>SIP</x:v>
      </x:c>
    </x:row>
    <x:row r="420">
      <x:c r="A420" s="50" t="str">
        <x:v>019fdc88-d7e7-7909-a2cb-6a227d2d7387</x:v>
      </x:c>
      <x:c r="B420" s="50" t="str">
        <x:v>GS</x:v>
      </x:c>
      <x:c r="C420" s="70" t="n">
        <x:v>46241.58545748843</x:v>
      </x:c>
      <x:c r="D420" s="50" t="str">
        <x:v>LONG_BUY_ZONE</x:v>
      </x:c>
      <x:c r="E420" s="50" t="str">
        <x:v>GS LONG BUY ZONE</x:v>
      </x:c>
      <x:c r="F420" s="50" t="str">
        <x:v>WATCH</x:v>
      </x:c>
      <x:c r="G420" s="50"/>
      <x:c r="H420" s="50" t="str">
        <x:v>LONG</x:v>
      </x:c>
      <x:c r="I420" s="71" t="n">
        <x:v>1038.71</x:v>
      </x:c>
      <x:c r="J420" s="76" t="str">
        <x:v>SIP</x:v>
      </x:c>
    </x:row>
    <x:row r="421">
      <x:c r="A421" s="50" t="str">
        <x:v>019fdc89-bd1b-7160-aaac-9cd3c4e15986</x:v>
      </x:c>
      <x:c r="B421" s="50" t="str">
        <x:v>XOM</x:v>
      </x:c>
      <x:c r="C421" s="70" t="n">
        <x:v>46241.5861366088</x:v>
      </x:c>
      <x:c r="D421" s="50" t="str">
        <x:v>ENTRY_WATCH</x:v>
      </x:c>
      <x:c r="E421" s="50" t="str">
        <x:v>XOM ENTRY IN_ZONE EARLY WATCH</x:v>
      </x:c>
      <x:c r="F421" s="50" t="str">
        <x:v>WATCH</x:v>
      </x:c>
      <x:c r="G421" s="50"/>
      <x:c r="H421" s="50" t="str">
        <x:v>LONG</x:v>
      </x:c>
      <x:c r="I421" s="71" t="n">
        <x:v>152.275</x:v>
      </x:c>
      <x:c r="J421" s="76" t="str">
        <x:v>SIP</x:v>
      </x:c>
    </x:row>
    <x:row r="422">
      <x:c r="A422" s="50" t="str">
        <x:v>019fdc89-bf24-777a-9934-42c4a7069022</x:v>
      </x:c>
      <x:c r="B422" s="50" t="str">
        <x:v>INTU</x:v>
      </x:c>
      <x:c r="C422" s="70" t="n">
        <x:v>46241.58614263889</x:v>
      </x:c>
      <x:c r="D422" s="50" t="str">
        <x:v>SWING_SETUP</x:v>
      </x:c>
      <x:c r="E422" s="50" t="str">
        <x:v>INTU SWING SETUP</x:v>
      </x:c>
      <x:c r="F422" s="50" t="str">
        <x:v>WATCH</x:v>
      </x:c>
      <x:c r="G422" s="50"/>
      <x:c r="H422" s="50" t="str">
        <x:v>LONG</x:v>
      </x:c>
      <x:c r="I422" s="71" t="n">
        <x:v>327.7195</x:v>
      </x:c>
      <x:c r="J422" s="76" t="str">
        <x:v>SIP</x:v>
      </x:c>
    </x:row>
    <x:row r="423">
      <x:c r="A423" s="50" t="str">
        <x:v>019fdc8a-aa0b-7d45-96b6-7f693dc08d71</x:v>
      </x:c>
      <x:c r="B423" s="50" t="str">
        <x:v>RIOT</x:v>
      </x:c>
      <x:c r="C423" s="70" t="n">
        <x:v>46241.58683864583</x:v>
      </x:c>
      <x:c r="D423" s="50" t="str">
        <x:v>ENTRY_WATCH</x:v>
      </x:c>
      <x:c r="E423" s="50" t="str">
        <x:v>RIOT ENTRY IN_ZONE EARLY WATCH</x:v>
      </x:c>
      <x:c r="F423" s="50" t="str">
        <x:v>WATCH</x:v>
      </x:c>
      <x:c r="G423" s="50"/>
      <x:c r="H423" s="50" t="str">
        <x:v>LONG</x:v>
      </x:c>
      <x:c r="I423" s="71" t="n">
        <x:v>20.495</x:v>
      </x:c>
      <x:c r="J423" s="76" t="str">
        <x:v>SIP</x:v>
      </x:c>
    </x:row>
    <x:row r="424">
      <x:c r="A424" s="50" t="str">
        <x:v>019fdc8a-aa71-7076-ad3e-0b478e4ee3f5</x:v>
      </x:c>
      <x:c r="B424" s="50" t="str">
        <x:v>RIOT</x:v>
      </x:c>
      <x:c r="C424" s="70" t="n">
        <x:v>46241.58683982639</x:v>
      </x:c>
      <x:c r="D424" s="50" t="str">
        <x:v>ENTRY_OPPORTUNITY_PROGRESS</x:v>
      </x:c>
      <x:c r="E424" s="50" t="str">
        <x:v>RIOT ENTRY IN_ZONE [####------]</x:v>
      </x:c>
      <x:c r="F424" s="50" t="str">
        <x:v>WATCH</x:v>
      </x:c>
      <x:c r="G424" s="50"/>
      <x:c r="H424" s="50" t="str">
        <x:v>LONG</x:v>
      </x:c>
      <x:c r="I424" s="71" t="n">
        <x:v>20.495</x:v>
      </x:c>
      <x:c r="J424" s="76" t="str">
        <x:v>SIP</x:v>
      </x:c>
    </x:row>
    <x:row r="425">
      <x:c r="A425" s="50" t="str">
        <x:v>019fdc8a-ac53-70f6-947a-7427a1be2bf2</x:v>
      </x:c>
      <x:c r="B425" s="50" t="str">
        <x:v>PYPL</x:v>
      </x:c>
      <x:c r="C425" s="70" t="n">
        <x:v>46241.58684539352</x:v>
      </x:c>
      <x:c r="D425" s="50" t="str">
        <x:v>SWING_SETUP</x:v>
      </x:c>
      <x:c r="E425" s="50" t="str">
        <x:v>PYPL SWING SETUP</x:v>
      </x:c>
      <x:c r="F425" s="50" t="str">
        <x:v>WATCH</x:v>
      </x:c>
      <x:c r="G425" s="50"/>
      <x:c r="H425" s="50" t="str">
        <x:v>LONG</x:v>
      </x:c>
      <x:c r="I425" s="71" t="n">
        <x:v>59.82</x:v>
      </x:c>
      <x:c r="J425" s="76" t="str">
        <x:v>SIP</x:v>
      </x:c>
    </x:row>
    <x:row r="426">
      <x:c r="A426" s="50" t="str">
        <x:v>019fdc8a-ac7d-7938-a6bb-a917496ed0da</x:v>
      </x:c>
      <x:c r="B426" s="50" t="str">
        <x:v>RCL</x:v>
      </x:c>
      <x:c r="C426" s="70" t="n">
        <x:v>46241.5868458912</x:v>
      </x:c>
      <x:c r="D426" s="50" t="str">
        <x:v>LONG_BUY_ZONE</x:v>
      </x:c>
      <x:c r="E426" s="50" t="str">
        <x:v>RCL LONG BUY ZONE</x:v>
      </x:c>
      <x:c r="F426" s="50" t="str">
        <x:v>WATCH</x:v>
      </x:c>
      <x:c r="G426" s="50"/>
      <x:c r="H426" s="50" t="str">
        <x:v>LONG</x:v>
      </x:c>
      <x:c r="I426" s="71" t="n">
        <x:v>319.925</x:v>
      </x:c>
      <x:c r="J426" s="76" t="str">
        <x:v>SIP</x:v>
      </x:c>
    </x:row>
    <x:row r="427">
      <x:c r="A427" s="50" t="str">
        <x:v>019fdc8a-b066-7eac-96ba-9f80758b53b2</x:v>
      </x:c>
      <x:c r="B427" s="50" t="str">
        <x:v>VZ</x:v>
      </x:c>
      <x:c r="C427" s="70" t="n">
        <x:v>46241.586857476854</x:v>
      </x:c>
      <x:c r="D427" s="50" t="str">
        <x:v>LONG_BUY_ZONE</x:v>
      </x:c>
      <x:c r="E427" s="50" t="str">
        <x:v>VZ LONG BUY ZONE</x:v>
      </x:c>
      <x:c r="F427" s="50" t="str">
        <x:v>WATCH</x:v>
      </x:c>
      <x:c r="G427" s="50"/>
      <x:c r="H427" s="50" t="str">
        <x:v>LONG</x:v>
      </x:c>
      <x:c r="I427" s="71" t="n">
        <x:v>46.55</x:v>
      </x:c>
      <x:c r="J427" s="76" t="str">
        <x:v>SIP</x:v>
      </x:c>
    </x:row>
    <x:row r="428">
      <x:c r="A428" s="50" t="str">
        <x:v>019fdc8c-7caf-7e41-bb84-989c6fdf4d7e</x:v>
      </x:c>
      <x:c r="B428" s="50" t="str">
        <x:v>KO</x:v>
      </x:c>
      <x:c r="C428" s="70" t="n">
        <x:v>46241.58822128472</x:v>
      </x:c>
      <x:c r="D428" s="50" t="str">
        <x:v>LONG_BUY_ZONE</x:v>
      </x:c>
      <x:c r="E428" s="50" t="str">
        <x:v>KO LONG BUY ZONE</x:v>
      </x:c>
      <x:c r="F428" s="50" t="str">
        <x:v>WATCH</x:v>
      </x:c>
      <x:c r="G428" s="50"/>
      <x:c r="H428" s="50" t="str">
        <x:v>LONG</x:v>
      </x:c>
      <x:c r="I428" s="71" t="n">
        <x:v>86.81</x:v>
      </x:c>
      <x:c r="J428" s="76" t="str">
        <x:v>SIP</x:v>
      </x:c>
    </x:row>
    <x:row r="429">
      <x:c r="A429" s="50" t="str">
        <x:v>019fdc8c-7de5-7bb2-a300-d5b2fae70a74</x:v>
      </x:c>
      <x:c r="B429" s="50" t="str">
        <x:v>RIOT</x:v>
      </x:c>
      <x:c r="C429" s="70" t="n">
        <x:v>46241.588224872685</x:v>
      </x:c>
      <x:c r="D429" s="50" t="str">
        <x:v>ENTRY_WATCH</x:v>
      </x:c>
      <x:c r="E429" s="50" t="str">
        <x:v>RIOT ENTRY BREAKAWAY WATCH</x:v>
      </x:c>
      <x:c r="F429" s="50" t="str">
        <x:v>WATCH</x:v>
      </x:c>
      <x:c r="G429" s="50"/>
      <x:c r="H429" s="50" t="str">
        <x:v>LONG</x:v>
      </x:c>
      <x:c r="I429" s="71" t="n">
        <x:v>20.64</x:v>
      </x:c>
      <x:c r="J429" s="76" t="str">
        <x:v>SIP</x:v>
      </x:c>
    </x:row>
    <x:row r="430">
      <x:c r="A430" s="50" t="str">
        <x:v>019fdc8d-66d5-7ee6-b9b1-8e8b41e20fe4</x:v>
      </x:c>
      <x:c r="B430" s="50" t="str">
        <x:v>RIOT</x:v>
      </x:c>
      <x:c r="C430" s="70" t="n">
        <x:v>46241.58891505787</x:v>
      </x:c>
      <x:c r="D430" s="50" t="str">
        <x:v>ENTRY_WATCH</x:v>
      </x:c>
      <x:c r="E430" s="50" t="str">
        <x:v>RIOT ENTRY IN_ZONE EARLY WATCH</x:v>
      </x:c>
      <x:c r="F430" s="50" t="str">
        <x:v>WATCH</x:v>
      </x:c>
      <x:c r="G430" s="50"/>
      <x:c r="H430" s="50" t="str">
        <x:v>LONG</x:v>
      </x:c>
      <x:c r="I430" s="71" t="n">
        <x:v>20.555</x:v>
      </x:c>
      <x:c r="J430" s="76" t="str">
        <x:v>SIP</x:v>
      </x:c>
    </x:row>
    <x:row r="431">
      <x:c r="A431" s="50" t="str">
        <x:v>019fdc8d-66f0-7c10-b788-07a4614e4ee9</x:v>
      </x:c>
      <x:c r="B431" s="50" t="str">
        <x:v>INTU</x:v>
      </x:c>
      <x:c r="C431" s="70" t="n">
        <x:v>46241.58891537037</x:v>
      </x:c>
      <x:c r="D431" s="50" t="str">
        <x:v>ENTRY_CONFIRMED</x:v>
      </x:c>
      <x:c r="E431" s="50" t="str">
        <x:v>INTU ENTRY CONFIRMED</x:v>
      </x:c>
      <x:c r="F431" s="50" t="str">
        <x:v>ACTION</x:v>
      </x:c>
      <x:c r="G431" s="50" t="str">
        <x:v>L2_SWING_CONFIRMED</x:v>
      </x:c>
      <x:c r="H431" s="50" t="str">
        <x:v>LONG</x:v>
      </x:c>
      <x:c r="I431" s="71" t="n">
        <x:v>329.82</x:v>
      </x:c>
      <x:c r="J431" s="76" t="str">
        <x:v>SIP</x:v>
      </x:c>
    </x:row>
    <x:row r="432">
      <x:c r="A432" s="50" t="str">
        <x:v>019fdc8d-6815-7ea9-8311-66c10d785a6d</x:v>
      </x:c>
      <x:c r="B432" s="50" t="str">
        <x:v>OXY</x:v>
      </x:c>
      <x:c r="C432" s="70" t="n">
        <x:v>46241.588918761576</x:v>
      </x:c>
      <x:c r="D432" s="50" t="str">
        <x:v>LONG_BUY_ZONE</x:v>
      </x:c>
      <x:c r="E432" s="50" t="str">
        <x:v>OXY LONG BUY ZONE</x:v>
      </x:c>
      <x:c r="F432" s="50" t="str">
        <x:v>WATCH</x:v>
      </x:c>
      <x:c r="G432" s="50"/>
      <x:c r="H432" s="50" t="str">
        <x:v>LONG</x:v>
      </x:c>
      <x:c r="I432" s="71" t="n">
        <x:v>55.58</x:v>
      </x:c>
      <x:c r="J432" s="76" t="str">
        <x:v>SIP</x:v>
      </x:c>
    </x:row>
    <x:row r="433">
      <x:c r="A433" s="50" t="str">
        <x:v>019fdc8e-53b6-7674-a36d-aad0efa15f19</x:v>
      </x:c>
      <x:c r="B433" s="50" t="str">
        <x:v>NXE</x:v>
      </x:c>
      <x:c r="C433" s="70" t="n">
        <x:v>46241.589616921294</x:v>
      </x:c>
      <x:c r="D433" s="50" t="str">
        <x:v>SWING_SETUP</x:v>
      </x:c>
      <x:c r="E433" s="50" t="str">
        <x:v>NXE SWING SETUP</x:v>
      </x:c>
      <x:c r="F433" s="50" t="str">
        <x:v>WATCH</x:v>
      </x:c>
      <x:c r="G433" s="50"/>
      <x:c r="H433" s="50" t="str">
        <x:v>LONG</x:v>
      </x:c>
      <x:c r="I433" s="71" t="n">
        <x:v>10.66</x:v>
      </x:c>
      <x:c r="J433" s="76" t="str">
        <x:v>SIP</x:v>
      </x:c>
    </x:row>
    <x:row r="434">
      <x:c r="A434" s="50" t="str">
        <x:v>019fdc8e-56e9-7a7f-bab1-b57379d5add4</x:v>
      </x:c>
      <x:c r="B434" s="50" t="str">
        <x:v>KDP</x:v>
      </x:c>
      <x:c r="C434" s="70" t="n">
        <x:v>46241.58962640046</x:v>
      </x:c>
      <x:c r="D434" s="50" t="str">
        <x:v>LONG_BUY_ZONE</x:v>
      </x:c>
      <x:c r="E434" s="50" t="str">
        <x:v>KDP LONG BUY ZONE</x:v>
      </x:c>
      <x:c r="F434" s="50" t="str">
        <x:v>WATCH</x:v>
      </x:c>
      <x:c r="G434" s="50"/>
      <x:c r="H434" s="50" t="str">
        <x:v>LONG</x:v>
      </x:c>
      <x:c r="I434" s="71" t="n">
        <x:v>29.85</x:v>
      </x:c>
      <x:c r="J434" s="76" t="str">
        <x:v>SIP</x:v>
      </x:c>
    </x:row>
    <x:row r="435">
      <x:c r="A435" s="50" t="str">
        <x:v>019fdc8f-3a09-71a5-a6bf-6962cb2147e7</x:v>
      </x:c>
      <x:c r="B435" s="50" t="str">
        <x:v>MRK</x:v>
      </x:c>
      <x:c r="C435" s="70" t="n">
        <x:v>46241.59029936342</x:v>
      </x:c>
      <x:c r="D435" s="50" t="str">
        <x:v>ENTRY_WATCH</x:v>
      </x:c>
      <x:c r="E435" s="50" t="str">
        <x:v>MRK ENTRY IN_ZONE EARLY WATCH</x:v>
      </x:c>
      <x:c r="F435" s="50" t="str">
        <x:v>WATCH</x:v>
      </x:c>
      <x:c r="G435" s="50"/>
      <x:c r="H435" s="50" t="str">
        <x:v>LONG</x:v>
      </x:c>
      <x:c r="I435" s="71" t="n">
        <x:v>127.46</x:v>
      </x:c>
      <x:c r="J435" s="76" t="str">
        <x:v>SIP</x:v>
      </x:c>
    </x:row>
    <x:row r="436">
      <x:c r="A436" s="50" t="str">
        <x:v>019fdc8f-3ac8-7c3c-9ad9-770614931db9</x:v>
      </x:c>
      <x:c r="B436" s="50" t="str">
        <x:v>XOM</x:v>
      </x:c>
      <x:c r="C436" s="70" t="n">
        <x:v>46241.59030157408</x:v>
      </x:c>
      <x:c r="D436" s="50" t="str">
        <x:v>ENTRY_WATCH</x:v>
      </x:c>
      <x:c r="E436" s="50" t="str">
        <x:v>XOM ENTRY BREAKAWAY WATCH</x:v>
      </x:c>
      <x:c r="F436" s="50" t="str">
        <x:v>WATCH</x:v>
      </x:c>
      <x:c r="G436" s="50"/>
      <x:c r="H436" s="50" t="str">
        <x:v>LONG</x:v>
      </x:c>
      <x:c r="I436" s="71" t="n">
        <x:v>152.53</x:v>
      </x:c>
      <x:c r="J436" s="76" t="str">
        <x:v>SIP</x:v>
      </x:c>
    </x:row>
    <x:row r="437">
      <x:c r="A437" s="50" t="str">
        <x:v>019fdc91-0ea6-7efd-8d1b-99abe8737029</x:v>
      </x:c>
      <x:c r="B437" s="50" t="str">
        <x:v>TTWO</x:v>
      </x:c>
      <x:c r="C437" s="70" t="n">
        <x:v>46241.59168784722</x:v>
      </x:c>
      <x:c r="D437" s="50" t="str">
        <x:v>ENTRY_WATCH</x:v>
      </x:c>
      <x:c r="E437" s="50" t="str">
        <x:v>TTWO ENTRY BREAKAWAY WATCH</x:v>
      </x:c>
      <x:c r="F437" s="50" t="str">
        <x:v>WATCH</x:v>
      </x:c>
      <x:c r="G437" s="50"/>
      <x:c r="H437" s="50" t="str">
        <x:v>LONG</x:v>
      </x:c>
      <x:c r="I437" s="71" t="n">
        <x:v>236.63</x:v>
      </x:c>
      <x:c r="J437" s="76" t="str">
        <x:v>SIP</x:v>
      </x:c>
    </x:row>
    <x:row r="438">
      <x:c r="A438" s="50" t="str">
        <x:v>019fdc91-1a71-7776-8bb1-d12b1151f812</x:v>
      </x:c>
      <x:c r="B438" s="50" t="str">
        <x:v>APA</x:v>
      </x:c>
      <x:c r="C438" s="70" t="n">
        <x:v>46241.59172278935</x:v>
      </x:c>
      <x:c r="D438" s="50" t="str">
        <x:v>LONG_BUY_ZONE</x:v>
      </x:c>
      <x:c r="E438" s="50" t="str">
        <x:v>APA LONG BUY ZONE</x:v>
      </x:c>
      <x:c r="F438" s="50" t="str">
        <x:v>WATCH</x:v>
      </x:c>
      <x:c r="G438" s="50"/>
      <x:c r="H438" s="50" t="str">
        <x:v>LONG</x:v>
      </x:c>
      <x:c r="I438" s="71" t="n">
        <x:v>36.53</x:v>
      </x:c>
      <x:c r="J438" s="76" t="str">
        <x:v>SIP</x:v>
      </x:c>
    </x:row>
    <x:row r="439">
      <x:c r="A439" s="50" t="str">
        <x:v>019fdc91-ff34-7b92-b4d9-d2500075fb7a</x:v>
      </x:c>
      <x:c r="B439" s="50" t="str">
        <x:v>APH</x:v>
      </x:c>
      <x:c r="C439" s="70" t="n">
        <x:v>46241.592400601854</x:v>
      </x:c>
      <x:c r="D439" s="50" t="str">
        <x:v>LONG_BUY_ZONE</x:v>
      </x:c>
      <x:c r="E439" s="50" t="str">
        <x:v>APH LONG BUY ZONE</x:v>
      </x:c>
      <x:c r="F439" s="50" t="str">
        <x:v>WATCH</x:v>
      </x:c>
      <x:c r="G439" s="50"/>
      <x:c r="H439" s="50" t="str">
        <x:v>LONG</x:v>
      </x:c>
      <x:c r="I439" s="71" t="n">
        <x:v>167.89</x:v>
      </x:c>
      <x:c r="J439" s="76" t="str">
        <x:v>SIP</x:v>
      </x:c>
    </x:row>
    <x:row r="440">
      <x:c r="A440" s="50" t="str">
        <x:v>019fdc92-0362-751f-96d3-3b9b29ecebba</x:v>
      </x:c>
      <x:c r="B440" s="50" t="str">
        <x:v>MRK</x:v>
      </x:c>
      <x:c r="C440" s="70" t="n">
        <x:v>46241.59241297454</x:v>
      </x:c>
      <x:c r="D440" s="50" t="str">
        <x:v>LONG_BUY_ZONE</x:v>
      </x:c>
      <x:c r="E440" s="50" t="str">
        <x:v>MRK LONG BUY ZONE</x:v>
      </x:c>
      <x:c r="F440" s="50" t="str">
        <x:v>WATCH</x:v>
      </x:c>
      <x:c r="G440" s="50"/>
      <x:c r="H440" s="50" t="str">
        <x:v>LONG</x:v>
      </x:c>
      <x:c r="I440" s="71" t="n">
        <x:v>127.4401</x:v>
      </x:c>
      <x:c r="J440" s="76" t="str">
        <x:v>SIP</x:v>
      </x:c>
    </x:row>
    <x:row r="441">
      <x:c r="A441" s="50" t="str">
        <x:v>019fdc92-041c-746e-ba49-db97f2f8fe83</x:v>
      </x:c>
      <x:c r="B441" s="50" t="str">
        <x:v>SBUX</x:v>
      </x:c>
      <x:c r="C441" s="70" t="n">
        <x:v>46241.59241513889</x:v>
      </x:c>
      <x:c r="D441" s="50" t="str">
        <x:v>LONG_BUY_ZONE</x:v>
      </x:c>
      <x:c r="E441" s="50" t="str">
        <x:v>SBUX LONG BUY ZONE</x:v>
      </x:c>
      <x:c r="F441" s="50" t="str">
        <x:v>WATCH</x:v>
      </x:c>
      <x:c r="G441" s="50"/>
      <x:c r="H441" s="50" t="str">
        <x:v>LONG</x:v>
      </x:c>
      <x:c r="I441" s="71" t="n">
        <x:v>105.615</x:v>
      </x:c>
      <x:c r="J441" s="76" t="str">
        <x:v>SIP</x:v>
      </x:c>
    </x:row>
    <x:row r="442">
      <x:c r="A442" s="50" t="str">
        <x:v>019fdc92-e637-73f3-a0bb-010c80e44e40</x:v>
      </x:c>
      <x:c r="B442" s="50" t="str">
        <x:v>UEC</x:v>
      </x:c>
      <x:c r="C442" s="70" t="n">
        <x:v>46241.59308508102</x:v>
      </x:c>
      <x:c r="D442" s="50" t="str">
        <x:v>SWING_SETUP</x:v>
      </x:c>
      <x:c r="E442" s="50" t="str">
        <x:v>UEC SWING SETUP</x:v>
      </x:c>
      <x:c r="F442" s="50" t="str">
        <x:v>WATCH</x:v>
      </x:c>
      <x:c r="G442" s="50"/>
      <x:c r="H442" s="50" t="str">
        <x:v>LONG</x:v>
      </x:c>
      <x:c r="I442" s="71" t="n">
        <x:v>11.355</x:v>
      </x:c>
      <x:c r="J442" s="76" t="str">
        <x:v>SIP</x:v>
      </x:c>
    </x:row>
    <x:row r="443">
      <x:c r="A443" s="50" t="str">
        <x:v>019fdc92-e6aa-7565-8831-c6bd58aab263</x:v>
      </x:c>
      <x:c r="B443" s="50" t="str">
        <x:v>MRK</x:v>
      </x:c>
      <x:c r="C443" s="70" t="n">
        <x:v>46241.59308641204</x:v>
      </x:c>
      <x:c r="D443" s="50" t="str">
        <x:v>ENTRY_WATCH</x:v>
      </x:c>
      <x:c r="E443" s="50" t="str">
        <x:v>MRK ENTRY BREAKAWAY WATCH</x:v>
      </x:c>
      <x:c r="F443" s="50" t="str">
        <x:v>WATCH</x:v>
      </x:c>
      <x:c r="G443" s="50"/>
      <x:c r="H443" s="50" t="str">
        <x:v>LONG</x:v>
      </x:c>
      <x:c r="I443" s="71" t="n">
        <x:v>127.53</x:v>
      </x:c>
      <x:c r="J443" s="76" t="str">
        <x:v>SIP</x:v>
      </x:c>
    </x:row>
    <x:row r="444">
      <x:c r="A444" s="50" t="str">
        <x:v>019fdc93-d087-7c50-8a45-05a70dc5e589</x:v>
      </x:c>
      <x:c r="B444" s="50" t="str">
        <x:v>HRL</x:v>
      </x:c>
      <x:c r="C444" s="70" t="n">
        <x:v>46241.59377934028</x:v>
      </x:c>
      <x:c r="D444" s="50" t="str">
        <x:v>ENTRY_WATCH</x:v>
      </x:c>
      <x:c r="E444" s="50" t="str">
        <x:v>HRL ENTRY BREAKAWAY WATCH</x:v>
      </x:c>
      <x:c r="F444" s="50" t="str">
        <x:v>WATCH</x:v>
      </x:c>
      <x:c r="G444" s="50"/>
      <x:c r="H444" s="50" t="str">
        <x:v>LONG</x:v>
      </x:c>
      <x:c r="I444" s="71" t="n">
        <x:v>25.3</x:v>
      </x:c>
      <x:c r="J444" s="76" t="str">
        <x:v>SIP</x:v>
      </x:c>
    </x:row>
    <x:row r="445">
      <x:c r="A445" s="50" t="str">
        <x:v>019fdc93-d0f9-7ab0-b11f-c1e509814dd8</x:v>
      </x:c>
      <x:c r="B445" s="50" t="str">
        <x:v>HRL</x:v>
      </x:c>
      <x:c r="C445" s="70" t="n">
        <x:v>46241.59378065972</x:v>
      </x:c>
      <x:c r="D445" s="50" t="str">
        <x:v>ENTRY_OPPORTUNITY_PROGRESS</x:v>
      </x:c>
      <x:c r="E445" s="50" t="str">
        <x:v>HRL ENTRY ARMED [##--------]</x:v>
      </x:c>
      <x:c r="F445" s="50" t="str">
        <x:v>INFO</x:v>
      </x:c>
      <x:c r="G445" s="50"/>
      <x:c r="H445" s="50" t="str">
        <x:v>LONG</x:v>
      </x:c>
      <x:c r="I445" s="71" t="n">
        <x:v>25.3</x:v>
      </x:c>
      <x:c r="J445" s="76" t="str">
        <x:v>SIP</x:v>
      </x:c>
    </x:row>
    <x:row r="446">
      <x:c r="A446" s="50" t="str">
        <x:v>019fdc93-d130-7237-b480-7fff08fcb006</x:v>
      </x:c>
      <x:c r="B446" s="50" t="str">
        <x:v>MRK</x:v>
      </x:c>
      <x:c r="C446" s="70" t="n">
        <x:v>46241.593781296295</x:v>
      </x:c>
      <x:c r="D446" s="50" t="str">
        <x:v>ENTRY_WATCH</x:v>
      </x:c>
      <x:c r="E446" s="50" t="str">
        <x:v>MRK ENTRY IN_ZONE EARLY WATCH</x:v>
      </x:c>
      <x:c r="F446" s="50" t="str">
        <x:v>WATCH</x:v>
      </x:c>
      <x:c r="G446" s="50"/>
      <x:c r="H446" s="50" t="str">
        <x:v>LONG</x:v>
      </x:c>
      <x:c r="I446" s="71" t="n">
        <x:v>127.49</x:v>
      </x:c>
      <x:c r="J446" s="76" t="str">
        <x:v>SIP</x:v>
      </x:c>
    </x:row>
    <x:row r="447">
      <x:c r="A447" s="50" t="str">
        <x:v>019fdc94-b72c-748e-a701-77379d2355c9</x:v>
      </x:c>
      <x:c r="B447" s="50" t="str">
        <x:v>APA</x:v>
      </x:c>
      <x:c r="C447" s="70" t="n">
        <x:v>46241.59446273148</x:v>
      </x:c>
      <x:c r="D447" s="50" t="str">
        <x:v>SWING_SETUP</x:v>
      </x:c>
      <x:c r="E447" s="50" t="str">
        <x:v>APA SWING SETUP</x:v>
      </x:c>
      <x:c r="F447" s="50" t="str">
        <x:v>WATCH</x:v>
      </x:c>
      <x:c r="G447" s="50"/>
      <x:c r="H447" s="50" t="str">
        <x:v>LONG</x:v>
      </x:c>
      <x:c r="I447" s="71" t="n">
        <x:v>36.575</x:v>
      </x:c>
      <x:c r="J447" s="76" t="str">
        <x:v>SIP</x:v>
      </x:c>
    </x:row>
    <x:row r="448">
      <x:c r="A448" s="50" t="str">
        <x:v>019fdc94-b8c9-77c3-9e5a-1ab0f9d00906</x:v>
      </x:c>
      <x:c r="B448" s="50" t="str">
        <x:v>ONTO</x:v>
      </x:c>
      <x:c r="C448" s="70" t="n">
        <x:v>46241.594467511575</x:v>
      </x:c>
      <x:c r="D448" s="50" t="str">
        <x:v>SWING_SETUP</x:v>
      </x:c>
      <x:c r="E448" s="50" t="str">
        <x:v>ONTO SWING SETUP</x:v>
      </x:c>
      <x:c r="F448" s="50" t="str">
        <x:v>WATCH</x:v>
      </x:c>
      <x:c r="G448" s="50"/>
      <x:c r="H448" s="50" t="str">
        <x:v>LONG</x:v>
      </x:c>
      <x:c r="I448" s="71" t="n">
        <x:v>301.1325</x:v>
      </x:c>
      <x:c r="J448" s="76" t="str">
        <x:v>SIP</x:v>
      </x:c>
    </x:row>
    <x:row r="449">
      <x:c r="A449" s="50" t="str">
        <x:v>019fdc94-b902-7a85-b1e3-d32dae3c8ad3</x:v>
      </x:c>
      <x:c r="B449" s="50" t="str">
        <x:v>OXY</x:v>
      </x:c>
      <x:c r="C449" s="70" t="n">
        <x:v>46241.59446817129</x:v>
      </x:c>
      <x:c r="D449" s="50" t="str">
        <x:v>SWING_SETUP</x:v>
      </x:c>
      <x:c r="E449" s="50" t="str">
        <x:v>OXY SWING SETUP</x:v>
      </x:c>
      <x:c r="F449" s="50" t="str">
        <x:v>WATCH</x:v>
      </x:c>
      <x:c r="G449" s="50"/>
      <x:c r="H449" s="50" t="str">
        <x:v>LONG</x:v>
      </x:c>
      <x:c r="I449" s="71" t="n">
        <x:v>55.75</x:v>
      </x:c>
      <x:c r="J449" s="76" t="str">
        <x:v>SIP</x:v>
      </x:c>
    </x:row>
    <x:row r="450">
      <x:c r="A450" s="50" t="str">
        <x:v>019fdc94-bafc-7c05-9fcc-9abb5d99b157</x:v>
      </x:c>
      <x:c r="B450" s="50" t="str">
        <x:v>COP</x:v>
      </x:c>
      <x:c r="C450" s="70" t="n">
        <x:v>46241.59447402778</x:v>
      </x:c>
      <x:c r="D450" s="50" t="str">
        <x:v>SWING_SETUP</x:v>
      </x:c>
      <x:c r="E450" s="50" t="str">
        <x:v>COP SWING SETUP</x:v>
      </x:c>
      <x:c r="F450" s="50" t="str">
        <x:v>WATCH</x:v>
      </x:c>
      <x:c r="G450" s="50"/>
      <x:c r="H450" s="50" t="str">
        <x:v>LONG</x:v>
      </x:c>
      <x:c r="I450" s="71" t="n">
        <x:v>116.695</x:v>
      </x:c>
      <x:c r="J450" s="76" t="str">
        <x:v>SIP</x:v>
      </x:c>
    </x:row>
    <x:row r="451">
      <x:c r="A451" s="50" t="str">
        <x:v>019fdc94-bba0-7827-a14b-8134eed701d6</x:v>
      </x:c>
      <x:c r="B451" s="50" t="str">
        <x:v>V</x:v>
      </x:c>
      <x:c r="C451" s="70" t="n">
        <x:v>46241.59447592593</x:v>
      </x:c>
      <x:c r="D451" s="50" t="str">
        <x:v>SWING_SETUP</x:v>
      </x:c>
      <x:c r="E451" s="50" t="str">
        <x:v>V SWING SETUP</x:v>
      </x:c>
      <x:c r="F451" s="50" t="str">
        <x:v>WATCH</x:v>
      </x:c>
      <x:c r="G451" s="50"/>
      <x:c r="H451" s="50" t="str">
        <x:v>LONG</x:v>
      </x:c>
      <x:c r="I451" s="71" t="n">
        <x:v>367.43</x:v>
      </x:c>
      <x:c r="J451" s="76" t="str">
        <x:v>SIP</x:v>
      </x:c>
    </x:row>
    <x:row r="452">
      <x:c r="A452" s="50" t="str">
        <x:v>019fdc94-bbc5-72f7-bdb4-b0e31067e9c8</x:v>
      </x:c>
      <x:c r="B452" s="50" t="str">
        <x:v>BABA</x:v>
      </x:c>
      <x:c r="C452" s="70" t="n">
        <x:v>46241.59447635417</x:v>
      </x:c>
      <x:c r="D452" s="50" t="str">
        <x:v>SWING_SETUP</x:v>
      </x:c>
      <x:c r="E452" s="50" t="str">
        <x:v>BABA SWING SETUP</x:v>
      </x:c>
      <x:c r="F452" s="50" t="str">
        <x:v>WATCH</x:v>
      </x:c>
      <x:c r="G452" s="50"/>
      <x:c r="H452" s="50" t="str">
        <x:v>LONG</x:v>
      </x:c>
      <x:c r="I452" s="71" t="n">
        <x:v>126.3</x:v>
      </x:c>
      <x:c r="J452" s="76" t="str">
        <x:v>SIP</x:v>
      </x:c>
    </x:row>
    <x:row r="453">
      <x:c r="A453" s="50" t="str">
        <x:v>019fdc94-bbdb-7677-802d-c11dda65c514</x:v>
      </x:c>
      <x:c r="B453" s="50" t="str">
        <x:v>ABNB</x:v>
      </x:c>
      <x:c r="C453" s="70" t="n">
        <x:v>46241.5944766088</x:v>
      </x:c>
      <x:c r="D453" s="50" t="str">
        <x:v>SWING_SETUP</x:v>
      </x:c>
      <x:c r="E453" s="50" t="str">
        <x:v>ABNB SWING SETUP</x:v>
      </x:c>
      <x:c r="F453" s="50" t="str">
        <x:v>WATCH</x:v>
      </x:c>
      <x:c r="G453" s="50"/>
      <x:c r="H453" s="50" t="str">
        <x:v>LONG</x:v>
      </x:c>
      <x:c r="I453" s="71" t="n">
        <x:v>175.76</x:v>
      </x:c>
      <x:c r="J453" s="76" t="str">
        <x:v>SIP</x:v>
      </x:c>
    </x:row>
    <x:row r="454">
      <x:c r="A454" s="50" t="str">
        <x:v>019fdc94-bbea-7007-b97e-8cdf79c28bed</x:v>
      </x:c>
      <x:c r="B454" s="50" t="str">
        <x:v>HRL</x:v>
      </x:c>
      <x:c r="C454" s="70" t="n">
        <x:v>46241.594476770835</x:v>
      </x:c>
      <x:c r="D454" s="50" t="str">
        <x:v>ENTRY_WATCH</x:v>
      </x:c>
      <x:c r="E454" s="50" t="str">
        <x:v>HRL ENTRY IN_ZONE EARLY WATCH</x:v>
      </x:c>
      <x:c r="F454" s="50" t="str">
        <x:v>WATCH</x:v>
      </x:c>
      <x:c r="G454" s="50"/>
      <x:c r="H454" s="50" t="str">
        <x:v>LONG</x:v>
      </x:c>
      <x:c r="I454" s="71" t="n">
        <x:v>25.27</x:v>
      </x:c>
      <x:c r="J454" s="76" t="str">
        <x:v>SIP</x:v>
      </x:c>
    </x:row>
    <x:row r="455">
      <x:c r="A455" s="50" t="str">
        <x:v>019fdc94-bc3a-7818-9fc8-60158f13a496</x:v>
      </x:c>
      <x:c r="B455" s="50" t="str">
        <x:v>PM</x:v>
      </x:c>
      <x:c r="C455" s="70" t="n">
        <x:v>46241.594477708335</x:v>
      </x:c>
      <x:c r="D455" s="50" t="str">
        <x:v>LONG_BUY_ZONE</x:v>
      </x:c>
      <x:c r="E455" s="50" t="str">
        <x:v>PM LONG BUY ZONE</x:v>
      </x:c>
      <x:c r="F455" s="50" t="str">
        <x:v>WATCH</x:v>
      </x:c>
      <x:c r="G455" s="50"/>
      <x:c r="H455" s="50" t="str">
        <x:v>LONG</x:v>
      </x:c>
      <x:c r="I455" s="71" t="n">
        <x:v>188.96</x:v>
      </x:c>
      <x:c r="J455" s="76" t="str">
        <x:v>SIP</x:v>
      </x:c>
    </x:row>
    <x:row r="456">
      <x:c r="A456" s="50" t="str">
        <x:v>019fdc94-bc58-7864-ad96-43f483975564</x:v>
      </x:c>
      <x:c r="B456" s="50" t="str">
        <x:v>MA</x:v>
      </x:c>
      <x:c r="C456" s="70" t="n">
        <x:v>46241.59447805556</x:v>
      </x:c>
      <x:c r="D456" s="50" t="str">
        <x:v>SWING_SETUP</x:v>
      </x:c>
      <x:c r="E456" s="50" t="str">
        <x:v>MA SWING SETUP</x:v>
      </x:c>
      <x:c r="F456" s="50" t="str">
        <x:v>WATCH</x:v>
      </x:c>
      <x:c r="G456" s="50"/>
      <x:c r="H456" s="50" t="str">
        <x:v>LONG</x:v>
      </x:c>
      <x:c r="I456" s="71" t="n">
        <x:v>569.63</x:v>
      </x:c>
      <x:c r="J456" s="76" t="str">
        <x:v>SIP</x:v>
      </x:c>
    </x:row>
    <x:row r="457">
      <x:c r="A457" s="50" t="str">
        <x:v>019fdc94-bd21-7a8c-8be9-695d74bc62c9</x:v>
      </x:c>
      <x:c r="B457" s="50" t="str">
        <x:v>NVDA</x:v>
      </x:c>
      <x:c r="C457" s="70" t="n">
        <x:v>46241.59448037037</x:v>
      </x:c>
      <x:c r="D457" s="50" t="str">
        <x:v>SWING_SETUP</x:v>
      </x:c>
      <x:c r="E457" s="50" t="str">
        <x:v>NVDA SWING SETUP</x:v>
      </x:c>
      <x:c r="F457" s="50" t="str">
        <x:v>WATCH</x:v>
      </x:c>
      <x:c r="G457" s="50"/>
      <x:c r="H457" s="50" t="str">
        <x:v>LONG</x:v>
      </x:c>
      <x:c r="I457" s="71" t="n">
        <x:v>221.4101</x:v>
      </x:c>
      <x:c r="J457" s="76" t="str">
        <x:v>SIP</x:v>
      </x:c>
    </x:row>
    <x:row r="458">
      <x:c r="A458" s="50" t="str">
        <x:v>019fdc94-bd57-7206-a7cf-ebe6cb72dfe3</x:v>
      </x:c>
      <x:c r="B458" s="50" t="str">
        <x:v>BAC</x:v>
      </x:c>
      <x:c r="C458" s="70" t="n">
        <x:v>46241.59448100694</x:v>
      </x:c>
      <x:c r="D458" s="50" t="str">
        <x:v>SWING_SETUP</x:v>
      </x:c>
      <x:c r="E458" s="50" t="str">
        <x:v>BAC SWING SETUP</x:v>
      </x:c>
      <x:c r="F458" s="50" t="str">
        <x:v>WATCH</x:v>
      </x:c>
      <x:c r="G458" s="50"/>
      <x:c r="H458" s="50" t="str">
        <x:v>LONG</x:v>
      </x:c>
      <x:c r="I458" s="71" t="n">
        <x:v>62.82</x:v>
      </x:c>
      <x:c r="J458" s="76" t="str">
        <x:v>SIP</x:v>
      </x:c>
    </x:row>
    <x:row r="459">
      <x:c r="A459" s="50" t="str">
        <x:v>019fdc94-bd76-7316-9c25-d015990bd6cf</x:v>
      </x:c>
      <x:c r="B459" s="50" t="str">
        <x:v>VZ</x:v>
      </x:c>
      <x:c r="C459" s="70" t="n">
        <x:v>46241.59448136574</x:v>
      </x:c>
      <x:c r="D459" s="50" t="str">
        <x:v>SWING_SETUP</x:v>
      </x:c>
      <x:c r="E459" s="50" t="str">
        <x:v>VZ SWING SETUP</x:v>
      </x:c>
      <x:c r="F459" s="50" t="str">
        <x:v>WATCH</x:v>
      </x:c>
      <x:c r="G459" s="50"/>
      <x:c r="H459" s="50" t="str">
        <x:v>LONG</x:v>
      </x:c>
      <x:c r="I459" s="71" t="n">
        <x:v>46.52</x:v>
      </x:c>
      <x:c r="J459" s="76" t="str">
        <x:v>SIP</x:v>
      </x:c>
    </x:row>
    <x:row r="460">
      <x:c r="A460" s="50" t="str">
        <x:v>019fdc94-bd8f-7e60-b563-667dc6b55e10</x:v>
      </x:c>
      <x:c r="B460" s="50" t="str">
        <x:v>PLTR</x:v>
      </x:c>
      <x:c r="C460" s="70" t="n">
        <x:v>46241.59448165509</x:v>
      </x:c>
      <x:c r="D460" s="50" t="str">
        <x:v>SWING_SETUP</x:v>
      </x:c>
      <x:c r="E460" s="50" t="str">
        <x:v>PLTR SWING SETUP</x:v>
      </x:c>
      <x:c r="F460" s="50" t="str">
        <x:v>WATCH</x:v>
      </x:c>
      <x:c r="G460" s="50"/>
      <x:c r="H460" s="50" t="str">
        <x:v>LONG</x:v>
      </x:c>
      <x:c r="I460" s="71" t="n">
        <x:v>167.69</x:v>
      </x:c>
      <x:c r="J460" s="76" t="str">
        <x:v>SIP</x:v>
      </x:c>
    </x:row>
    <x:row r="461">
      <x:c r="A461" s="50" t="str">
        <x:v>019fdc94-be36-7929-8f35-0d75de1e085d</x:v>
      </x:c>
      <x:c r="B461" s="50" t="str">
        <x:v>SOUN</x:v>
      </x:c>
      <x:c r="C461" s="70" t="n">
        <x:v>46241.59448358796</x:v>
      </x:c>
      <x:c r="D461" s="50" t="str">
        <x:v>SWING_SETUP</x:v>
      </x:c>
      <x:c r="E461" s="50" t="str">
        <x:v>SOUN SWING SETUP</x:v>
      </x:c>
      <x:c r="F461" s="50" t="str">
        <x:v>WATCH</x:v>
      </x:c>
      <x:c r="G461" s="50"/>
      <x:c r="H461" s="50" t="str">
        <x:v>LONG</x:v>
      </x:c>
      <x:c r="I461" s="71" t="n">
        <x:v>7.52</x:v>
      </x:c>
      <x:c r="J461" s="76" t="str">
        <x:v>SIP</x:v>
      </x:c>
    </x:row>
    <x:row r="462">
      <x:c r="A462" s="50" t="str">
        <x:v>019fdc94-be8d-7164-8006-7e9c69cac11e</x:v>
      </x:c>
      <x:c r="B462" s="50" t="str">
        <x:v>CROX</x:v>
      </x:c>
      <x:c r="C462" s="70" t="n">
        <x:v>46241.594484594905</x:v>
      </x:c>
      <x:c r="D462" s="50" t="str">
        <x:v>SWING_SETUP</x:v>
      </x:c>
      <x:c r="E462" s="50" t="str">
        <x:v>CROX SWING SETUP</x:v>
      </x:c>
      <x:c r="F462" s="50" t="str">
        <x:v>WATCH</x:v>
      </x:c>
      <x:c r="G462" s="50"/>
      <x:c r="H462" s="50" t="str">
        <x:v>LONG</x:v>
      </x:c>
      <x:c r="I462" s="71" t="n">
        <x:v>135.5</x:v>
      </x:c>
      <x:c r="J462" s="76" t="str">
        <x:v>SIP</x:v>
      </x:c>
    </x:row>
    <x:row r="463">
      <x:c r="A463" s="50" t="str">
        <x:v>019fdc94-beb6-7265-9a46-56f74f772b80</x:v>
      </x:c>
      <x:c r="B463" s="50" t="str">
        <x:v>HRL</x:v>
      </x:c>
      <x:c r="C463" s="70" t="n">
        <x:v>46241.59448506944</x:v>
      </x:c>
      <x:c r="D463" s="50" t="str">
        <x:v>SWING_SETUP</x:v>
      </x:c>
      <x:c r="E463" s="50" t="str">
        <x:v>HRL SWING SETUP</x:v>
      </x:c>
      <x:c r="F463" s="50" t="str">
        <x:v>WATCH</x:v>
      </x:c>
      <x:c r="G463" s="50"/>
      <x:c r="H463" s="50" t="str">
        <x:v>LONG</x:v>
      </x:c>
      <x:c r="I463" s="71" t="n">
        <x:v>25.3</x:v>
      </x:c>
      <x:c r="J463" s="76" t="str">
        <x:v>SIP</x:v>
      </x:c>
    </x:row>
    <x:row r="464">
      <x:c r="A464" s="50" t="str">
        <x:v>019fdc94-bebd-7214-8b0f-68ad0fb7d02c</x:v>
      </x:c>
      <x:c r="B464" s="50" t="str">
        <x:v>APH</x:v>
      </x:c>
      <x:c r="C464" s="70" t="n">
        <x:v>46241.59448515046</x:v>
      </x:c>
      <x:c r="D464" s="50" t="str">
        <x:v>SWING_SETUP</x:v>
      </x:c>
      <x:c r="E464" s="50" t="str">
        <x:v>APH SWING SETUP</x:v>
      </x:c>
      <x:c r="F464" s="50" t="str">
        <x:v>WATCH</x:v>
      </x:c>
      <x:c r="G464" s="50"/>
      <x:c r="H464" s="50" t="str">
        <x:v>LONG</x:v>
      </x:c>
      <x:c r="I464" s="71" t="n">
        <x:v>167.67</x:v>
      </x:c>
      <x:c r="J464" s="76" t="str">
        <x:v>SIP</x:v>
      </x:c>
    </x:row>
    <x:row r="465">
      <x:c r="A465" s="50" t="str">
        <x:v>019fdc94-bf48-7e0d-8c1f-09ebeb1cb86e</x:v>
      </x:c>
      <x:c r="B465" s="50" t="str">
        <x:v>DASH</x:v>
      </x:c>
      <x:c r="C465" s="70" t="n">
        <x:v>46241.59448675926</x:v>
      </x:c>
      <x:c r="D465" s="50" t="str">
        <x:v>SWING_SETUP</x:v>
      </x:c>
      <x:c r="E465" s="50" t="str">
        <x:v>DASH SWING SETUP</x:v>
      </x:c>
      <x:c r="F465" s="50" t="str">
        <x:v>WATCH</x:v>
      </x:c>
      <x:c r="G465" s="50"/>
      <x:c r="H465" s="50" t="str">
        <x:v>LONG</x:v>
      </x:c>
      <x:c r="I465" s="71" t="n">
        <x:v>219.265</x:v>
      </x:c>
      <x:c r="J465" s="76" t="str">
        <x:v>SIP</x:v>
      </x:c>
    </x:row>
    <x:row r="466">
      <x:c r="A466" s="50" t="str">
        <x:v>019fdc94-bf8b-74ed-b68f-8572d4d8d13e</x:v>
      </x:c>
      <x:c r="B466" s="50" t="str">
        <x:v>SNOW</x:v>
      </x:c>
      <x:c r="C466" s="70" t="n">
        <x:v>46241.59448753472</x:v>
      </x:c>
      <x:c r="D466" s="50" t="str">
        <x:v>SWING_SETUP</x:v>
      </x:c>
      <x:c r="E466" s="50" t="str">
        <x:v>SNOW SWING SETUP</x:v>
      </x:c>
      <x:c r="F466" s="50" t="str">
        <x:v>WATCH</x:v>
      </x:c>
      <x:c r="G466" s="50"/>
      <x:c r="H466" s="50" t="str">
        <x:v>LONG</x:v>
      </x:c>
      <x:c r="I466" s="71" t="n">
        <x:v>325.835</x:v>
      </x:c>
      <x:c r="J466" s="76" t="str">
        <x:v>SIP</x:v>
      </x:c>
    </x:row>
    <x:row r="467">
      <x:c r="A467" s="50" t="str">
        <x:v>019fdc94-bfa4-73cf-b254-d07effbb8574</x:v>
      </x:c>
      <x:c r="B467" s="50" t="str">
        <x:v>MDLZ</x:v>
      </x:c>
      <x:c r="C467" s="70" t="n">
        <x:v>46241.59448782408</x:v>
      </x:c>
      <x:c r="D467" s="50" t="str">
        <x:v>SWING_SETUP</x:v>
      </x:c>
      <x:c r="E467" s="50" t="str">
        <x:v>MDLZ SWING SETUP</x:v>
      </x:c>
      <x:c r="F467" s="50" t="str">
        <x:v>WATCH</x:v>
      </x:c>
      <x:c r="G467" s="50"/>
      <x:c r="H467" s="50" t="str">
        <x:v>LONG</x:v>
      </x:c>
      <x:c r="I467" s="71" t="n">
        <x:v>63.05</x:v>
      </x:c>
      <x:c r="J467" s="76" t="str">
        <x:v>SIP</x:v>
      </x:c>
    </x:row>
    <x:row r="468">
      <x:c r="A468" s="50" t="str">
        <x:v>019fdc94-bfe3-7a3f-b3f2-90b241f02cd3</x:v>
      </x:c>
      <x:c r="B468" s="50" t="str">
        <x:v>AMZN</x:v>
      </x:c>
      <x:c r="C468" s="70" t="n">
        <x:v>46241.59448855324</x:v>
      </x:c>
      <x:c r="D468" s="50" t="str">
        <x:v>SWING_SETUP</x:v>
      </x:c>
      <x:c r="E468" s="50" t="str">
        <x:v>AMZN SWING SETUP</x:v>
      </x:c>
      <x:c r="F468" s="50" t="str">
        <x:v>WATCH</x:v>
      </x:c>
      <x:c r="G468" s="50"/>
      <x:c r="H468" s="50" t="str">
        <x:v>LONG</x:v>
      </x:c>
      <x:c r="I468" s="71" t="n">
        <x:v>275.195</x:v>
      </x:c>
      <x:c r="J468" s="76" t="str">
        <x:v>SIP</x:v>
      </x:c>
    </x:row>
    <x:row r="469">
      <x:c r="A469" s="50" t="str">
        <x:v>019fdc94-c037-7dec-bc72-c8b3c64550e2</x:v>
      </x:c>
      <x:c r="B469" s="50" t="str">
        <x:v>WELL</x:v>
      </x:c>
      <x:c r="C469" s="70" t="n">
        <x:v>46241.594489525465</x:v>
      </x:c>
      <x:c r="D469" s="50" t="str">
        <x:v>SWING_SETUP</x:v>
      </x:c>
      <x:c r="E469" s="50" t="str">
        <x:v>WELL SWING SETUP</x:v>
      </x:c>
      <x:c r="F469" s="50" t="str">
        <x:v>WATCH</x:v>
      </x:c>
      <x:c r="G469" s="50"/>
      <x:c r="H469" s="50" t="str">
        <x:v>LONG</x:v>
      </x:c>
      <x:c r="I469" s="71" t="n">
        <x:v>237.31</x:v>
      </x:c>
      <x:c r="J469" s="76" t="str">
        <x:v>SIP</x:v>
      </x:c>
    </x:row>
    <x:row r="470">
      <x:c r="A470" s="50" t="str">
        <x:v>019fdc94-c083-787a-b423-ec33277f56c2</x:v>
      </x:c>
      <x:c r="B470" s="50" t="str">
        <x:v>GRAB</x:v>
      </x:c>
      <x:c r="C470" s="70" t="n">
        <x:v>46241.59449040509</x:v>
      </x:c>
      <x:c r="D470" s="50" t="str">
        <x:v>SWING_SETUP</x:v>
      </x:c>
      <x:c r="E470" s="50" t="str">
        <x:v>GRAB SWING SETUP</x:v>
      </x:c>
      <x:c r="F470" s="50" t="str">
        <x:v>WATCH</x:v>
      </x:c>
      <x:c r="G470" s="50"/>
      <x:c r="H470" s="50" t="str">
        <x:v>LONG</x:v>
      </x:c>
      <x:c r="I470" s="71" t="n">
        <x:v>3.675</x:v>
      </x:c>
      <x:c r="J470" s="76" t="str">
        <x:v>SIP</x:v>
      </x:c>
    </x:row>
    <x:row r="471">
      <x:c r="A471" s="50" t="str">
        <x:v>019fdc94-c08b-79c2-8292-ac94b7010221</x:v>
      </x:c>
      <x:c r="B471" s="50" t="str">
        <x:v>DLR</x:v>
      </x:c>
      <x:c r="C471" s="70" t="n">
        <x:v>46241.594490497686</x:v>
      </x:c>
      <x:c r="D471" s="50" t="str">
        <x:v>SWING_SETUP</x:v>
      </x:c>
      <x:c r="E471" s="50" t="str">
        <x:v>DLR SWING SETUP</x:v>
      </x:c>
      <x:c r="F471" s="50" t="str">
        <x:v>WATCH</x:v>
      </x:c>
      <x:c r="G471" s="50"/>
      <x:c r="H471" s="50" t="str">
        <x:v>LONG</x:v>
      </x:c>
      <x:c r="I471" s="71" t="n">
        <x:v>194.255</x:v>
      </x:c>
      <x:c r="J471" s="76" t="str">
        <x:v>SIP</x:v>
      </x:c>
    </x:row>
    <x:row r="472">
      <x:c r="A472" s="50" t="str">
        <x:v>019fdc94-c0e8-73d7-90b0-63fbb76c8ab8</x:v>
      </x:c>
      <x:c r="B472" s="50" t="str">
        <x:v>NEM</x:v>
      </x:c>
      <x:c r="C472" s="70" t="n">
        <x:v>46241.59449157408</x:v>
      </x:c>
      <x:c r="D472" s="50" t="str">
        <x:v>SWING_SETUP</x:v>
      </x:c>
      <x:c r="E472" s="50" t="str">
        <x:v>NEM SWING SETUP</x:v>
      </x:c>
      <x:c r="F472" s="50" t="str">
        <x:v>WATCH</x:v>
      </x:c>
      <x:c r="G472" s="50"/>
      <x:c r="H472" s="50" t="str">
        <x:v>LONG</x:v>
      </x:c>
      <x:c r="I472" s="71" t="n">
        <x:v>112.325</x:v>
      </x:c>
      <x:c r="J472" s="76" t="str">
        <x:v>SIP</x:v>
      </x:c>
    </x:row>
    <x:row r="473">
      <x:c r="A473" s="50" t="str">
        <x:v>019fdc95-a2a6-743a-b0a9-7399016b6d84</x:v>
      </x:c>
      <x:c r="B473" s="50" t="str">
        <x:v>ANET</x:v>
      </x:c>
      <x:c r="C473" s="70" t="n">
        <x:v>46241.595160439814</x:v>
      </x:c>
      <x:c r="D473" s="50" t="str">
        <x:v>SWING_SETUP</x:v>
      </x:c>
      <x:c r="E473" s="50" t="str">
        <x:v>ANET SWING SETUP</x:v>
      </x:c>
      <x:c r="F473" s="50" t="str">
        <x:v>WATCH</x:v>
      </x:c>
      <x:c r="G473" s="50"/>
      <x:c r="H473" s="50" t="str">
        <x:v>LONG</x:v>
      </x:c>
      <x:c r="I473" s="71" t="n">
        <x:v>189.29</x:v>
      </x:c>
      <x:c r="J473" s="76" t="str">
        <x:v>SIP</x:v>
      </x:c>
    </x:row>
    <x:row r="474">
      <x:c r="A474" s="50" t="str">
        <x:v>019fdc95-a323-7212-84d2-2b6e77350c44</x:v>
      </x:c>
      <x:c r="B474" s="50" t="str">
        <x:v>SBUX</x:v>
      </x:c>
      <x:c r="C474" s="70" t="n">
        <x:v>46241.59516188657</x:v>
      </x:c>
      <x:c r="D474" s="50" t="str">
        <x:v>SWING_SETUP</x:v>
      </x:c>
      <x:c r="E474" s="50" t="str">
        <x:v>SBUX SWING SETUP</x:v>
      </x:c>
      <x:c r="F474" s="50" t="str">
        <x:v>WATCH</x:v>
      </x:c>
      <x:c r="G474" s="50"/>
      <x:c r="H474" s="50" t="str">
        <x:v>LONG</x:v>
      </x:c>
      <x:c r="I474" s="71" t="n">
        <x:v>105.91</x:v>
      </x:c>
      <x:c r="J474" s="76" t="str">
        <x:v>SIP</x:v>
      </x:c>
    </x:row>
    <x:row r="475">
      <x:c r="A475" s="50" t="str">
        <x:v>019fdc95-a34b-7eaa-a41d-a21915e2ceae</x:v>
      </x:c>
      <x:c r="B475" s="50" t="str">
        <x:v>UNP</x:v>
      </x:c>
      <x:c r="C475" s="70" t="n">
        <x:v>46241.595162349535</x:v>
      </x:c>
      <x:c r="D475" s="50" t="str">
        <x:v>SWING_SETUP</x:v>
      </x:c>
      <x:c r="E475" s="50" t="str">
        <x:v>UNP SWING SETUP</x:v>
      </x:c>
      <x:c r="F475" s="50" t="str">
        <x:v>WATCH</x:v>
      </x:c>
      <x:c r="G475" s="50"/>
      <x:c r="H475" s="50" t="str">
        <x:v>LONG</x:v>
      </x:c>
      <x:c r="I475" s="71" t="n">
        <x:v>294.365</x:v>
      </x:c>
      <x:c r="J475" s="76" t="str">
        <x:v>SIP</x:v>
      </x:c>
    </x:row>
    <x:row r="476">
      <x:c r="A476" s="50" t="str">
        <x:v>019fdc95-a3f3-75c0-8fca-3acf5064e04d</x:v>
      </x:c>
      <x:c r="B476" s="50" t="str">
        <x:v>CLPT</x:v>
      </x:c>
      <x:c r="C476" s="70" t="n">
        <x:v>46241.59516429398</x:v>
      </x:c>
      <x:c r="D476" s="50" t="str">
        <x:v>ENTRY_WATCH</x:v>
      </x:c>
      <x:c r="E476" s="50" t="str">
        <x:v>CLPT ENTRY BREAKAWAY WATCH</x:v>
      </x:c>
      <x:c r="F476" s="50" t="str">
        <x:v>WATCH</x:v>
      </x:c>
      <x:c r="G476" s="50"/>
      <x:c r="H476" s="50" t="str">
        <x:v>LONG</x:v>
      </x:c>
      <x:c r="I476" s="71" t="n">
        <x:v>14.25</x:v>
      </x:c>
      <x:c r="J476" s="76" t="str">
        <x:v>SIP</x:v>
      </x:c>
    </x:row>
    <x:row r="477">
      <x:c r="A477" s="50" t="str">
        <x:v>019fdc95-a433-7ab4-8311-9cd480eeb578</x:v>
      </x:c>
      <x:c r="B477" s="50" t="str">
        <x:v>AMGN</x:v>
      </x:c>
      <x:c r="C477" s="70" t="n">
        <x:v>46241.59516503472</x:v>
      </x:c>
      <x:c r="D477" s="50" t="str">
        <x:v>SWING_SETUP</x:v>
      </x:c>
      <x:c r="E477" s="50" t="str">
        <x:v>AMGN SWING SETUP</x:v>
      </x:c>
      <x:c r="F477" s="50" t="str">
        <x:v>WATCH</x:v>
      </x:c>
      <x:c r="G477" s="50"/>
      <x:c r="H477" s="50" t="str">
        <x:v>LONG</x:v>
      </x:c>
      <x:c r="I477" s="71" t="n">
        <x:v>407</x:v>
      </x:c>
      <x:c r="J477" s="76" t="str">
        <x:v>SIP</x:v>
      </x:c>
    </x:row>
    <x:row r="478">
      <x:c r="A478" s="50" t="str">
        <x:v>019fdc95-a478-7c8e-a9d2-ef5f6fc9dd7b</x:v>
      </x:c>
      <x:c r="B478" s="50" t="str">
        <x:v>BLFS</x:v>
      </x:c>
      <x:c r="C478" s="70" t="n">
        <x:v>46241.595165833336</x:v>
      </x:c>
      <x:c r="D478" s="50" t="str">
        <x:v>SWING_SETUP</x:v>
      </x:c>
      <x:c r="E478" s="50" t="str">
        <x:v>BLFS SWING SETUP</x:v>
      </x:c>
      <x:c r="F478" s="50" t="str">
        <x:v>WATCH</x:v>
      </x:c>
      <x:c r="G478" s="50"/>
      <x:c r="H478" s="50" t="str">
        <x:v>LONG</x:v>
      </x:c>
      <x:c r="I478" s="71" t="n">
        <x:v>34.67</x:v>
      </x:c>
      <x:c r="J478" s="76" t="str">
        <x:v>SIP</x:v>
      </x:c>
    </x:row>
    <x:row r="479">
      <x:c r="A479" s="50" t="str">
        <x:v>019fdc95-a48d-7314-a723-09f1445579ed</x:v>
      </x:c>
      <x:c r="B479" s="50" t="str">
        <x:v>HRL</x:v>
      </x:c>
      <x:c r="C479" s="70" t="n">
        <x:v>46241.59516607639</x:v>
      </x:c>
      <x:c r="D479" s="50" t="str">
        <x:v>LONG_BUY_ZONE</x:v>
      </x:c>
      <x:c r="E479" s="50" t="str">
        <x:v>HRL LONG BUY ZONE</x:v>
      </x:c>
      <x:c r="F479" s="50" t="str">
        <x:v>WATCH</x:v>
      </x:c>
      <x:c r="G479" s="50"/>
      <x:c r="H479" s="50" t="str">
        <x:v>LONG</x:v>
      </x:c>
      <x:c r="I479" s="71" t="n">
        <x:v>25.255</x:v>
      </x:c>
      <x:c r="J479" s="76" t="str">
        <x:v>SIP</x:v>
      </x:c>
    </x:row>
    <x:row r="480">
      <x:c r="A480" s="50" t="str">
        <x:v>019fdc95-a501-74b7-bd7c-d02500e2a761</x:v>
      </x:c>
      <x:c r="B480" s="50" t="str">
        <x:v>BMY</x:v>
      </x:c>
      <x:c r="C480" s="70" t="n">
        <x:v>46241.59516741898</x:v>
      </x:c>
      <x:c r="D480" s="50" t="str">
        <x:v>SWING_SETUP</x:v>
      </x:c>
      <x:c r="E480" s="50" t="str">
        <x:v>BMY SWING SETUP</x:v>
      </x:c>
      <x:c r="F480" s="50" t="str">
        <x:v>WATCH</x:v>
      </x:c>
      <x:c r="G480" s="50"/>
      <x:c r="H480" s="50" t="str">
        <x:v>LONG</x:v>
      </x:c>
      <x:c r="I480" s="71" t="n">
        <x:v>64.24</x:v>
      </x:c>
      <x:c r="J480" s="76" t="str">
        <x:v>SIP</x:v>
      </x:c>
    </x:row>
    <x:row r="481">
      <x:c r="A481" s="50" t="str">
        <x:v>019fdc95-a53d-717f-8631-ac0eac7c6f29</x:v>
      </x:c>
      <x:c r="B481" s="50" t="str">
        <x:v>ECL</x:v>
      </x:c>
      <x:c r="C481" s="70" t="n">
        <x:v>46241.59516810185</x:v>
      </x:c>
      <x:c r="D481" s="50" t="str">
        <x:v>SWING_SETUP</x:v>
      </x:c>
      <x:c r="E481" s="50" t="str">
        <x:v>ECL SWING SETUP</x:v>
      </x:c>
      <x:c r="F481" s="50" t="str">
        <x:v>WATCH</x:v>
      </x:c>
      <x:c r="G481" s="50"/>
      <x:c r="H481" s="50" t="str">
        <x:v>LONG</x:v>
      </x:c>
      <x:c r="I481" s="71" t="n">
        <x:v>286.52</x:v>
      </x:c>
      <x:c r="J481" s="76" t="str">
        <x:v>SIP</x:v>
      </x:c>
    </x:row>
    <x:row r="482">
      <x:c r="A482" s="50" t="str">
        <x:v>019fdc95-a54d-7e48-b965-4cf7ef279658</x:v>
      </x:c>
      <x:c r="B482" s="50" t="str">
        <x:v>PFE</x:v>
      </x:c>
      <x:c r="C482" s="70" t="n">
        <x:v>46241.59516829861</x:v>
      </x:c>
      <x:c r="D482" s="50" t="str">
        <x:v>SWING_SETUP</x:v>
      </x:c>
      <x:c r="E482" s="50" t="str">
        <x:v>PFE SWING SETUP</x:v>
      </x:c>
      <x:c r="F482" s="50" t="str">
        <x:v>WATCH</x:v>
      </x:c>
      <x:c r="G482" s="50"/>
      <x:c r="H482" s="50" t="str">
        <x:v>LONG</x:v>
      </x:c>
      <x:c r="I482" s="71" t="n">
        <x:v>26.425</x:v>
      </x:c>
      <x:c r="J482" s="76" t="str">
        <x:v>SIP</x:v>
      </x:c>
    </x:row>
    <x:row r="483">
      <x:c r="A483" s="50" t="str">
        <x:v>019fdc95-a56a-7918-bf23-a07f9038b0c6</x:v>
      </x:c>
      <x:c r="B483" s="50" t="str">
        <x:v>JD</x:v>
      </x:c>
      <x:c r="C483" s="70" t="n">
        <x:v>46241.59516863426</x:v>
      </x:c>
      <x:c r="D483" s="50" t="str">
        <x:v>SWING_SETUP</x:v>
      </x:c>
      <x:c r="E483" s="50" t="str">
        <x:v>JD SWING SETUP</x:v>
      </x:c>
      <x:c r="F483" s="50" t="str">
        <x:v>WATCH</x:v>
      </x:c>
      <x:c r="G483" s="50"/>
      <x:c r="H483" s="50" t="str">
        <x:v>LONG</x:v>
      </x:c>
      <x:c r="I483" s="71" t="n">
        <x:v>32.69</x:v>
      </x:c>
      <x:c r="J483" s="76" t="str">
        <x:v>SIP</x:v>
      </x:c>
    </x:row>
    <x:row r="484">
      <x:c r="A484" s="50" t="str">
        <x:v>019fdc95-a598-723a-86d8-031023f9a216</x:v>
      </x:c>
      <x:c r="B484" s="50" t="str">
        <x:v>JPM</x:v>
      </x:c>
      <x:c r="C484" s="70" t="n">
        <x:v>46241.59516916666</x:v>
      </x:c>
      <x:c r="D484" s="50" t="str">
        <x:v>SWING_SETUP</x:v>
      </x:c>
      <x:c r="E484" s="50" t="str">
        <x:v>JPM SWING SETUP</x:v>
      </x:c>
      <x:c r="F484" s="50" t="str">
        <x:v>WATCH</x:v>
      </x:c>
      <x:c r="G484" s="50"/>
      <x:c r="H484" s="50" t="str">
        <x:v>LONG</x:v>
      </x:c>
      <x:c r="I484" s="71" t="n">
        <x:v>354.395</x:v>
      </x:c>
      <x:c r="J484" s="76" t="str">
        <x:v>SIP</x:v>
      </x:c>
    </x:row>
    <x:row r="485">
      <x:c r="A485" s="50" t="str">
        <x:v>019fdc95-a5a9-79e8-882e-743ea59a2ab6</x:v>
      </x:c>
      <x:c r="B485" s="50" t="str">
        <x:v>ETHA</x:v>
      </x:c>
      <x:c r="C485" s="70" t="n">
        <x:v>46241.59516936343</x:v>
      </x:c>
      <x:c r="D485" s="50" t="str">
        <x:v>SWING_SETUP</x:v>
      </x:c>
      <x:c r="E485" s="50" t="str">
        <x:v>ETHA SWING SETUP</x:v>
      </x:c>
      <x:c r="F485" s="50" t="str">
        <x:v>WATCH</x:v>
      </x:c>
      <x:c r="G485" s="50"/>
      <x:c r="H485" s="50" t="str">
        <x:v>LONG</x:v>
      </x:c>
      <x:c r="I485" s="71" t="n">
        <x:v>14.421</x:v>
      </x:c>
      <x:c r="J485" s="76" t="str">
        <x:v>SIP</x:v>
      </x:c>
    </x:row>
    <x:row r="486">
      <x:c r="A486" s="50" t="str">
        <x:v>019fdc95-a5b7-7326-b526-3b889acfcf11</x:v>
      </x:c>
      <x:c r="B486" s="50" t="str">
        <x:v>TMDX</x:v>
      </x:c>
      <x:c r="C486" s="70" t="n">
        <x:v>46241.59516952546</x:v>
      </x:c>
      <x:c r="D486" s="50" t="str">
        <x:v>SWING_SETUP</x:v>
      </x:c>
      <x:c r="E486" s="50" t="str">
        <x:v>TMDX SWING SETUP</x:v>
      </x:c>
      <x:c r="F486" s="50" t="str">
        <x:v>WATCH</x:v>
      </x:c>
      <x:c r="G486" s="50"/>
      <x:c r="H486" s="50" t="str">
        <x:v>LONG</x:v>
      </x:c>
      <x:c r="I486" s="71" t="n">
        <x:v>80.6</x:v>
      </x:c>
      <x:c r="J486" s="76" t="str">
        <x:v>SIP</x:v>
      </x:c>
    </x:row>
    <x:row r="487">
      <x:c r="A487" s="50" t="str">
        <x:v>019fdc95-a5c0-76a4-987e-128d3bf672e7</x:v>
      </x:c>
      <x:c r="B487" s="50" t="str">
        <x:v>SCHW</x:v>
      </x:c>
      <x:c r="C487" s="70" t="n">
        <x:v>46241.59516962963</x:v>
      </x:c>
      <x:c r="D487" s="50" t="str">
        <x:v>SWING_SETUP</x:v>
      </x:c>
      <x:c r="E487" s="50" t="str">
        <x:v>SCHW SWING SETUP</x:v>
      </x:c>
      <x:c r="F487" s="50" t="str">
        <x:v>WATCH</x:v>
      </x:c>
      <x:c r="G487" s="50"/>
      <x:c r="H487" s="50" t="str">
        <x:v>LONG</x:v>
      </x:c>
      <x:c r="I487" s="71" t="n">
        <x:v>106.76</x:v>
      </x:c>
      <x:c r="J487" s="76" t="str">
        <x:v>SIP</x:v>
      </x:c>
    </x:row>
    <x:row r="488">
      <x:c r="A488" s="50" t="str">
        <x:v>019fdc95-a611-7a8f-ade8-3253d7b6c81f</x:v>
      </x:c>
      <x:c r="B488" s="50" t="str">
        <x:v>BKNG</x:v>
      </x:c>
      <x:c r="C488" s="70" t="n">
        <x:v>46241.59517056713</x:v>
      </x:c>
      <x:c r="D488" s="50" t="str">
        <x:v>SWING_SETUP</x:v>
      </x:c>
      <x:c r="E488" s="50" t="str">
        <x:v>BKNG SWING SETUP</x:v>
      </x:c>
      <x:c r="F488" s="50" t="str">
        <x:v>WATCH</x:v>
      </x:c>
      <x:c r="G488" s="50"/>
      <x:c r="H488" s="50" t="str">
        <x:v>LONG</x:v>
      </x:c>
      <x:c r="I488" s="71" t="n">
        <x:v>215.17</x:v>
      </x:c>
      <x:c r="J488" s="76" t="str">
        <x:v>SIP</x:v>
      </x:c>
    </x:row>
    <x:row r="489">
      <x:c r="A489" s="50" t="str">
        <x:v>019fdc95-a661-79bd-b274-babe89cba9f7</x:v>
      </x:c>
      <x:c r="B489" s="50" t="str">
        <x:v>KO</x:v>
      </x:c>
      <x:c r="C489" s="70" t="n">
        <x:v>46241.595171493056</x:v>
      </x:c>
      <x:c r="D489" s="50" t="str">
        <x:v>SWING_SETUP</x:v>
      </x:c>
      <x:c r="E489" s="50" t="str">
        <x:v>KO SWING SETUP</x:v>
      </x:c>
      <x:c r="F489" s="50" t="str">
        <x:v>WATCH</x:v>
      </x:c>
      <x:c r="G489" s="50"/>
      <x:c r="H489" s="50" t="str">
        <x:v>LONG</x:v>
      </x:c>
      <x:c r="I489" s="71" t="n">
        <x:v>87.05</x:v>
      </x:c>
      <x:c r="J489" s="76" t="str">
        <x:v>SIP</x:v>
      </x:c>
    </x:row>
    <x:row r="490">
      <x:c r="A490" s="50" t="str">
        <x:v>019fdc95-a68f-7f0a-90a6-ed81880f6b4b</x:v>
      </x:c>
      <x:c r="B490" s="50" t="str">
        <x:v>CEG</x:v>
      </x:c>
      <x:c r="C490" s="70" t="n">
        <x:v>46241.59517202546</x:v>
      </x:c>
      <x:c r="D490" s="50" t="str">
        <x:v>SWING_SETUP</x:v>
      </x:c>
      <x:c r="E490" s="50" t="str">
        <x:v>CEG SWING SETUP</x:v>
      </x:c>
      <x:c r="F490" s="50" t="str">
        <x:v>WATCH</x:v>
      </x:c>
      <x:c r="G490" s="50"/>
      <x:c r="H490" s="50" t="str">
        <x:v>LONG</x:v>
      </x:c>
      <x:c r="I490" s="71" t="n">
        <x:v>263.905</x:v>
      </x:c>
      <x:c r="J490" s="76" t="str">
        <x:v>SIP</x:v>
      </x:c>
    </x:row>
    <x:row r="491">
      <x:c r="A491" s="50" t="str">
        <x:v>019fdc95-a6ea-788d-b0b7-2ad540097018</x:v>
      </x:c>
      <x:c r="B491" s="50" t="str">
        <x:v>SHW</x:v>
      </x:c>
      <x:c r="C491" s="70" t="n">
        <x:v>46241.595173078706</x:v>
      </x:c>
      <x:c r="D491" s="50" t="str">
        <x:v>SWING_SETUP</x:v>
      </x:c>
      <x:c r="E491" s="50" t="str">
        <x:v>SHW SWING SETUP</x:v>
      </x:c>
      <x:c r="F491" s="50" t="str">
        <x:v>WATCH</x:v>
      </x:c>
      <x:c r="G491" s="50"/>
      <x:c r="H491" s="50" t="str">
        <x:v>LONG</x:v>
      </x:c>
      <x:c r="I491" s="71" t="n">
        <x:v>370.03</x:v>
      </x:c>
      <x:c r="J491" s="76" t="str">
        <x:v>SIP</x:v>
      </x:c>
    </x:row>
    <x:row r="492">
      <x:c r="A492" s="50" t="str">
        <x:v>019fdc95-ab2d-74b6-821d-8f65e87ece77</x:v>
      </x:c>
      <x:c r="B492" s="50" t="str">
        <x:v>ECL</x:v>
      </x:c>
      <x:c r="C492" s="70" t="n">
        <x:v>46241.59518570602</x:v>
      </x:c>
      <x:c r="D492" s="50" t="str">
        <x:v>LONG_BUY_ZONE</x:v>
      </x:c>
      <x:c r="E492" s="50" t="str">
        <x:v>ECL LONG BUY ZONE</x:v>
      </x:c>
      <x:c r="F492" s="50" t="str">
        <x:v>WATCH</x:v>
      </x:c>
      <x:c r="G492" s="50"/>
      <x:c r="H492" s="50" t="str">
        <x:v>LONG</x:v>
      </x:c>
      <x:c r="I492" s="71" t="n">
        <x:v>286.655</x:v>
      </x:c>
      <x:c r="J492" s="76" t="str">
        <x:v>SIP</x:v>
      </x:c>
    </x:row>
    <x:row r="493">
      <x:c r="A493" s="50" t="str">
        <x:v>019fdc95-ac52-74ef-9021-6529a2ff1ea9</x:v>
      </x:c>
      <x:c r="B493" s="50" t="str">
        <x:v>JNJ</x:v>
      </x:c>
      <x:c r="C493" s="70" t="n">
        <x:v>46241.59518909722</x:v>
      </x:c>
      <x:c r="D493" s="50" t="str">
        <x:v>LONG_BUY_ZONE</x:v>
      </x:c>
      <x:c r="E493" s="50" t="str">
        <x:v>JNJ LONG BUY ZONE</x:v>
      </x:c>
      <x:c r="F493" s="50" t="str">
        <x:v>WATCH</x:v>
      </x:c>
      <x:c r="G493" s="50"/>
      <x:c r="H493" s="50" t="str">
        <x:v>LONG</x:v>
      </x:c>
      <x:c r="I493" s="71" t="n">
        <x:v>256.65</x:v>
      </x:c>
      <x:c r="J493" s="76" t="str">
        <x:v>SIP</x:v>
      </x:c>
    </x:row>
    <x:row r="494">
      <x:c r="A494" s="50" t="str">
        <x:v>019fdc96-8c6b-7b17-95b2-1e946869f298</x:v>
      </x:c>
      <x:c r="B494" s="50" t="str">
        <x:v>BLK</x:v>
      </x:c>
      <x:c r="C494" s="70" t="n">
        <x:v>46241.59585309028</x:v>
      </x:c>
      <x:c r="D494" s="50" t="str">
        <x:v>SWING_SETUP</x:v>
      </x:c>
      <x:c r="E494" s="50" t="str">
        <x:v>BLK SWING SETUP</x:v>
      </x:c>
      <x:c r="F494" s="50" t="str">
        <x:v>WATCH</x:v>
      </x:c>
      <x:c r="G494" s="50"/>
      <x:c r="H494" s="50" t="str">
        <x:v>LONG</x:v>
      </x:c>
      <x:c r="I494" s="71" t="n">
        <x:v>1137.915</x:v>
      </x:c>
      <x:c r="J494" s="76" t="str">
        <x:v>SIP</x:v>
      </x:c>
    </x:row>
    <x:row r="495">
      <x:c r="A495" s="50" t="str">
        <x:v>019fdc96-8d1c-7c81-82fb-eb0c913f2837</x:v>
      </x:c>
      <x:c r="B495" s="50" t="str">
        <x:v>RCL</x:v>
      </x:c>
      <x:c r="C495" s="70" t="n">
        <x:v>46241.59585513889</x:v>
      </x:c>
      <x:c r="D495" s="50" t="str">
        <x:v>SWING_SETUP</x:v>
      </x:c>
      <x:c r="E495" s="50" t="str">
        <x:v>RCL SWING SETUP</x:v>
      </x:c>
      <x:c r="F495" s="50" t="str">
        <x:v>WATCH</x:v>
      </x:c>
      <x:c r="G495" s="50"/>
      <x:c r="H495" s="50" t="str">
        <x:v>LONG</x:v>
      </x:c>
      <x:c r="I495" s="71" t="n">
        <x:v>318.66</x:v>
      </x:c>
      <x:c r="J495" s="76" t="str">
        <x:v>SIP</x:v>
      </x:c>
    </x:row>
    <x:row r="496">
      <x:c r="A496" s="50" t="str">
        <x:v>019fdc96-90aa-784c-80d5-8ee284b9f351</x:v>
      </x:c>
      <x:c r="B496" s="50" t="str">
        <x:v>DE</x:v>
      </x:c>
      <x:c r="C496" s="70" t="n">
        <x:v>46241.5958656713</x:v>
      </x:c>
      <x:c r="D496" s="50" t="str">
        <x:v>SWING_SETUP</x:v>
      </x:c>
      <x:c r="E496" s="50" t="str">
        <x:v>DE SWING SETUP</x:v>
      </x:c>
      <x:c r="F496" s="50" t="str">
        <x:v>WATCH</x:v>
      </x:c>
      <x:c r="G496" s="50"/>
      <x:c r="H496" s="50" t="str">
        <x:v>LONG</x:v>
      </x:c>
      <x:c r="I496" s="71" t="n">
        <x:v>619.725</x:v>
      </x:c>
      <x:c r="J496" s="76" t="str">
        <x:v>SIP</x:v>
      </x:c>
    </x:row>
    <x:row r="497">
      <x:c r="A497" s="50" t="str">
        <x:v>019fdc96-90f1-73b5-9fc1-42d700cae3dc</x:v>
      </x:c>
      <x:c r="B497" s="50" t="str">
        <x:v>DCTH</x:v>
      </x:c>
      <x:c r="C497" s="70" t="n">
        <x:v>46241.59586648148</x:v>
      </x:c>
      <x:c r="D497" s="50" t="str">
        <x:v>SWING_SETUP</x:v>
      </x:c>
      <x:c r="E497" s="50" t="str">
        <x:v>DCTH SWING SETUP</x:v>
      </x:c>
      <x:c r="F497" s="50" t="str">
        <x:v>WATCH</x:v>
      </x:c>
      <x:c r="G497" s="50"/>
      <x:c r="H497" s="50" t="str">
        <x:v>LONG</x:v>
      </x:c>
      <x:c r="I497" s="71" t="n">
        <x:v>15.87</x:v>
      </x:c>
      <x:c r="J497" s="76" t="str">
        <x:v>SIP</x:v>
      </x:c>
    </x:row>
    <x:row r="498">
      <x:c r="A498" s="50" t="str">
        <x:v>019fdc96-90ff-73fc-99dc-27eceb7c180e</x:v>
      </x:c>
      <x:c r="B498" s="50" t="str">
        <x:v>PM</x:v>
      </x:c>
      <x:c r="C498" s="70" t="n">
        <x:v>46241.595866655094</x:v>
      </x:c>
      <x:c r="D498" s="50" t="str">
        <x:v>SWING_SETUP</x:v>
      </x:c>
      <x:c r="E498" s="50" t="str">
        <x:v>PM SWING SETUP</x:v>
      </x:c>
      <x:c r="F498" s="50" t="str">
        <x:v>WATCH</x:v>
      </x:c>
      <x:c r="G498" s="50"/>
      <x:c r="H498" s="50" t="str">
        <x:v>LONG</x:v>
      </x:c>
      <x:c r="I498" s="71" t="n">
        <x:v>189.07</x:v>
      </x:c>
      <x:c r="J498" s="76" t="str">
        <x:v>SIP</x:v>
      </x:c>
    </x:row>
    <x:row r="499">
      <x:c r="A499" s="50" t="str">
        <x:v>019fdc96-9148-7a28-a523-9cf2faffdb4e</x:v>
      </x:c>
      <x:c r="B499" s="50" t="str">
        <x:v>ACHV</x:v>
      </x:c>
      <x:c r="C499" s="70" t="n">
        <x:v>46241.5958675</x:v>
      </x:c>
      <x:c r="D499" s="50" t="str">
        <x:v>SWING_SETUP</x:v>
      </x:c>
      <x:c r="E499" s="50" t="str">
        <x:v>ACHV SWING SETUP</x:v>
      </x:c>
      <x:c r="F499" s="50" t="str">
        <x:v>WATCH</x:v>
      </x:c>
      <x:c r="G499" s="50"/>
      <x:c r="H499" s="50" t="str">
        <x:v>LONG</x:v>
      </x:c>
      <x:c r="I499" s="71" t="n">
        <x:v>6.615</x:v>
      </x:c>
      <x:c r="J499" s="76" t="str">
        <x:v>SIP</x:v>
      </x:c>
    </x:row>
    <x:row r="500">
      <x:c r="A500" s="50" t="str">
        <x:v>019fdc96-916b-7c1e-9612-5f3a338ed711</x:v>
      </x:c>
      <x:c r="B500" s="50" t="str">
        <x:v>MMM</x:v>
      </x:c>
      <x:c r="C500" s="70" t="n">
        <x:v>46241.59586790509</x:v>
      </x:c>
      <x:c r="D500" s="50" t="str">
        <x:v>SWING_SETUP</x:v>
      </x:c>
      <x:c r="E500" s="50" t="str">
        <x:v>MMM SWING SETUP</x:v>
      </x:c>
      <x:c r="F500" s="50" t="str">
        <x:v>WATCH</x:v>
      </x:c>
      <x:c r="G500" s="50"/>
      <x:c r="H500" s="50" t="str">
        <x:v>LONG</x:v>
      </x:c>
      <x:c r="I500" s="71" t="n">
        <x:v>181.83</x:v>
      </x:c>
      <x:c r="J500" s="76" t="str">
        <x:v>SIP</x:v>
      </x:c>
    </x:row>
    <x:row r="501">
      <x:c r="A501" s="50" t="str">
        <x:v>019fdc96-9174-7811-b426-2a37a7bac2fe</x:v>
      </x:c>
      <x:c r="B501" s="50" t="str">
        <x:v>ABT</x:v>
      </x:c>
      <x:c r="C501" s="70" t="n">
        <x:v>46241.59586800926</x:v>
      </x:c>
      <x:c r="D501" s="50" t="str">
        <x:v>SWING_SETUP</x:v>
      </x:c>
      <x:c r="E501" s="50" t="str">
        <x:v>ABT SWING SETUP</x:v>
      </x:c>
      <x:c r="F501" s="50" t="str">
        <x:v>WATCH</x:v>
      </x:c>
      <x:c r="G501" s="50"/>
      <x:c r="H501" s="50" t="str">
        <x:v>LONG</x:v>
      </x:c>
      <x:c r="I501" s="71" t="n">
        <x:v>107.89</x:v>
      </x:c>
      <x:c r="J501" s="76" t="str">
        <x:v>SIP</x:v>
      </x:c>
    </x:row>
    <x:row r="502">
      <x:c r="A502" s="50" t="str">
        <x:v>019fdc96-918d-74af-9101-baad62545020</x:v>
      </x:c>
      <x:c r="B502" s="50" t="str">
        <x:v>GD</x:v>
      </x:c>
      <x:c r="C502" s="70" t="n">
        <x:v>46241.59586829861</x:v>
      </x:c>
      <x:c r="D502" s="50" t="str">
        <x:v>SWING_SETUP</x:v>
      </x:c>
      <x:c r="E502" s="50" t="str">
        <x:v>GD SWING SETUP</x:v>
      </x:c>
      <x:c r="F502" s="50" t="str">
        <x:v>WATCH</x:v>
      </x:c>
      <x:c r="G502" s="50"/>
      <x:c r="H502" s="50" t="str">
        <x:v>LONG</x:v>
      </x:c>
      <x:c r="I502" s="71" t="n">
        <x:v>383.99</x:v>
      </x:c>
      <x:c r="J502" s="76" t="str">
        <x:v>SIP</x:v>
      </x:c>
    </x:row>
    <x:row r="503">
      <x:c r="A503" s="50" t="str">
        <x:v>019fdc96-9197-7909-a3fd-b949e749f990</x:v>
      </x:c>
      <x:c r="B503" s="50" t="str">
        <x:v>CLPT</x:v>
      </x:c>
      <x:c r="C503" s="70" t="n">
        <x:v>46241.595868414355</x:v>
      </x:c>
      <x:c r="D503" s="50" t="str">
        <x:v>ENTRY_WATCH</x:v>
      </x:c>
      <x:c r="E503" s="50" t="str">
        <x:v>CLPT ENTRY IN_ZONE EARLY WATCH</x:v>
      </x:c>
      <x:c r="F503" s="50" t="str">
        <x:v>WATCH</x:v>
      </x:c>
      <x:c r="G503" s="50"/>
      <x:c r="H503" s="50" t="str">
        <x:v>LONG</x:v>
      </x:c>
      <x:c r="I503" s="71" t="n">
        <x:v>14.18</x:v>
      </x:c>
      <x:c r="J503" s="76" t="str">
        <x:v>SIP</x:v>
      </x:c>
    </x:row>
    <x:row r="504">
      <x:c r="A504" s="50" t="str">
        <x:v>019fdc96-91e3-708c-81e3-7949e8fdceeb</x:v>
      </x:c>
      <x:c r="B504" s="50" t="str">
        <x:v>ABBV</x:v>
      </x:c>
      <x:c r="C504" s="70" t="n">
        <x:v>46241.59586929398</x:v>
      </x:c>
      <x:c r="D504" s="50" t="str">
        <x:v>LONG_BUY_ZONE</x:v>
      </x:c>
      <x:c r="E504" s="50" t="str">
        <x:v>ABBV LONG BUY ZONE</x:v>
      </x:c>
      <x:c r="F504" s="50" t="str">
        <x:v>WATCH</x:v>
      </x:c>
      <x:c r="G504" s="50"/>
      <x:c r="H504" s="50" t="str">
        <x:v>LONG</x:v>
      </x:c>
      <x:c r="I504" s="71" t="n">
        <x:v>244.74</x:v>
      </x:c>
      <x:c r="J504" s="76" t="str">
        <x:v>SIP</x:v>
      </x:c>
    </x:row>
    <x:row r="505">
      <x:c r="A505" s="50" t="str">
        <x:v>019fdc96-91f8-74b0-b5ec-0c0e15429654</x:v>
      </x:c>
      <x:c r="B505" s="50" t="str">
        <x:v>APD</x:v>
      </x:c>
      <x:c r="C505" s="70" t="n">
        <x:v>46241.59586952546</x:v>
      </x:c>
      <x:c r="D505" s="50" t="str">
        <x:v>LONG_BUY_ZONE</x:v>
      </x:c>
      <x:c r="E505" s="50" t="str">
        <x:v>APD LONG BUY ZONE</x:v>
      </x:c>
      <x:c r="F505" s="50" t="str">
        <x:v>WATCH</x:v>
      </x:c>
      <x:c r="G505" s="50"/>
      <x:c r="H505" s="50" t="str">
        <x:v>LONG</x:v>
      </x:c>
      <x:c r="I505" s="71" t="n">
        <x:v>299.64</x:v>
      </x:c>
      <x:c r="J505" s="76" t="str">
        <x:v>SIP</x:v>
      </x:c>
    </x:row>
    <x:row r="506">
      <x:c r="A506" s="50" t="str">
        <x:v>019fdc96-920e-7781-9ae0-61e55b32d5b1</x:v>
      </x:c>
      <x:c r="B506" s="50" t="str">
        <x:v>CLPT</x:v>
      </x:c>
      <x:c r="C506" s="70" t="n">
        <x:v>46241.595869791665</x:v>
      </x:c>
      <x:c r="D506" s="50" t="str">
        <x:v>ENTRY_OPPORTUNITY_PROGRESS</x:v>
      </x:c>
      <x:c r="E506" s="50" t="str">
        <x:v>CLPT ENTRY IN_ZONE [####------]</x:v>
      </x:c>
      <x:c r="F506" s="50" t="str">
        <x:v>WATCH</x:v>
      </x:c>
      <x:c r="G506" s="50"/>
      <x:c r="H506" s="50" t="str">
        <x:v>LONG</x:v>
      </x:c>
      <x:c r="I506" s="71" t="n">
        <x:v>14.18</x:v>
      </x:c>
      <x:c r="J506" s="76" t="str">
        <x:v>SIP</x:v>
      </x:c>
    </x:row>
    <x:row r="507">
      <x:c r="A507" s="50" t="str">
        <x:v>019fdc96-93a2-7fbf-965b-57a3aee992e3</x:v>
      </x:c>
      <x:c r="B507" s="50" t="str">
        <x:v>DE</x:v>
      </x:c>
      <x:c r="C507" s="70" t="n">
        <x:v>46241.595874467595</x:v>
      </x:c>
      <x:c r="D507" s="50" t="str">
        <x:v>LONG_BUY_ZONE</x:v>
      </x:c>
      <x:c r="E507" s="50" t="str">
        <x:v>DE LONG BUY ZONE</x:v>
      </x:c>
      <x:c r="F507" s="50" t="str">
        <x:v>WATCH</x:v>
      </x:c>
      <x:c r="G507" s="50"/>
      <x:c r="H507" s="50" t="str">
        <x:v>LONG</x:v>
      </x:c>
      <x:c r="I507" s="71" t="n">
        <x:v>620.5</x:v>
      </x:c>
      <x:c r="J507" s="76" t="str">
        <x:v>SIP</x:v>
      </x:c>
    </x:row>
    <x:row r="508">
      <x:c r="A508" s="50" t="str">
        <x:v>019fdc97-7a39-76a4-9efe-957cc33c92db</x:v>
      </x:c>
      <x:c r="B508" s="50" t="str">
        <x:v>RIOT</x:v>
      </x:c>
      <x:c r="C508" s="70" t="n">
        <x:v>46241.59655769676</x:v>
      </x:c>
      <x:c r="D508" s="50" t="str">
        <x:v>ENTRY_WATCH</x:v>
      </x:c>
      <x:c r="E508" s="50" t="str">
        <x:v>RIOT ENTRY BREAKAWAY WATCH</x:v>
      </x:c>
      <x:c r="F508" s="50" t="str">
        <x:v>WATCH</x:v>
      </x:c>
      <x:c r="G508" s="50"/>
      <x:c r="H508" s="50" t="str">
        <x:v>LONG</x:v>
      </x:c>
      <x:c r="I508" s="71" t="n">
        <x:v>20.85</x:v>
      </x:c>
      <x:c r="J508" s="76" t="str">
        <x:v>SIP</x:v>
      </x:c>
    </x:row>
    <x:row r="509">
      <x:c r="A509" s="50" t="str">
        <x:v>019fdc97-7b84-78e9-a41c-caf31b6d2cef</x:v>
      </x:c>
      <x:c r="B509" s="50" t="str">
        <x:v>CLPT</x:v>
      </x:c>
      <x:c r="C509" s="70" t="n">
        <x:v>46241.596561527775</x:v>
      </x:c>
      <x:c r="D509" s="50" t="str">
        <x:v>ENTRY_WATCH</x:v>
      </x:c>
      <x:c r="E509" s="50" t="str">
        <x:v>CLPT ENTRY BREAKAWAY WATCH</x:v>
      </x:c>
      <x:c r="F509" s="50" t="str">
        <x:v>WATCH</x:v>
      </x:c>
      <x:c r="G509" s="50"/>
      <x:c r="H509" s="50" t="str">
        <x:v>LONG</x:v>
      </x:c>
      <x:c r="I509" s="71" t="n">
        <x:v>14.21</x:v>
      </x:c>
      <x:c r="J509" s="76" t="str">
        <x:v>SIP</x:v>
      </x:c>
    </x:row>
    <x:row r="510">
      <x:c r="A510" s="50" t="str">
        <x:v>019fdc97-7b90-7d56-bc91-80fe537c2228</x:v>
      </x:c>
      <x:c r="B510" s="50" t="str">
        <x:v>GS</x:v>
      </x:c>
      <x:c r="C510" s="70" t="n">
        <x:v>46241.596561666665</x:v>
      </x:c>
      <x:c r="D510" s="50" t="str">
        <x:v>LONG_BUY_ZONE</x:v>
      </x:c>
      <x:c r="E510" s="50" t="str">
        <x:v>GS LONG BUY ZONE</x:v>
      </x:c>
      <x:c r="F510" s="50" t="str">
        <x:v>WATCH</x:v>
      </x:c>
      <x:c r="G510" s="50"/>
      <x:c r="H510" s="50" t="str">
        <x:v>LONG</x:v>
      </x:c>
      <x:c r="I510" s="71" t="n">
        <x:v>1039.09</x:v>
      </x:c>
      <x:c r="J510" s="76" t="str">
        <x:v>SIP</x:v>
      </x:c>
    </x:row>
    <x:row r="511">
      <x:c r="A511" s="50" t="str">
        <x:v>019fdc98-644d-77c7-8f92-490d366046f8</x:v>
      </x:c>
      <x:c r="B511" s="50" t="str">
        <x:v>INTU</x:v>
      </x:c>
      <x:c r="C511" s="70" t="n">
        <x:v>46241.59725126158</x:v>
      </x:c>
      <x:c r="D511" s="50" t="str">
        <x:v>SWING_SETUP</x:v>
      </x:c>
      <x:c r="E511" s="50" t="str">
        <x:v>INTU SWING SETUP</x:v>
      </x:c>
      <x:c r="F511" s="50" t="str">
        <x:v>WATCH</x:v>
      </x:c>
      <x:c r="G511" s="50"/>
      <x:c r="H511" s="50" t="str">
        <x:v>LONG</x:v>
      </x:c>
      <x:c r="I511" s="71" t="n">
        <x:v>331.96</x:v>
      </x:c>
      <x:c r="J511" s="76" t="str">
        <x:v>SIP</x:v>
      </x:c>
    </x:row>
    <x:row r="512">
      <x:c r="A512" s="50" t="str">
        <x:v>019fdc98-6a35-741d-b60f-28fde5ce9c01</x:v>
      </x:c>
      <x:c r="B512" s="50" t="str">
        <x:v>RCL</x:v>
      </x:c>
      <x:c r="C512" s="70" t="n">
        <x:v>46241.59726876157</x:v>
      </x:c>
      <x:c r="D512" s="50" t="str">
        <x:v>LONG_BUY_ZONE</x:v>
      </x:c>
      <x:c r="E512" s="50" t="str">
        <x:v>RCL LONG BUY ZONE</x:v>
      </x:c>
      <x:c r="F512" s="50" t="str">
        <x:v>WATCH</x:v>
      </x:c>
      <x:c r="G512" s="50"/>
      <x:c r="H512" s="50" t="str">
        <x:v>LONG</x:v>
      </x:c>
      <x:c r="I512" s="71" t="n">
        <x:v>319.755</x:v>
      </x:c>
      <x:c r="J512" s="76" t="str">
        <x:v>SIP</x:v>
      </x:c>
    </x:row>
    <x:row r="513">
      <x:c r="A513" s="50" t="str">
        <x:v>019fdc98-6c60-7180-b3a9-17e2a0f4c2e5</x:v>
      </x:c>
      <x:c r="B513" s="50" t="str">
        <x:v>VZ</x:v>
      </x:c>
      <x:c r="C513" s="70" t="n">
        <x:v>46241.59727518519</x:v>
      </x:c>
      <x:c r="D513" s="50" t="str">
        <x:v>LONG_BUY_ZONE</x:v>
      </x:c>
      <x:c r="E513" s="50" t="str">
        <x:v>VZ LONG BUY ZONE</x:v>
      </x:c>
      <x:c r="F513" s="50" t="str">
        <x:v>WATCH</x:v>
      </x:c>
      <x:c r="G513" s="50"/>
      <x:c r="H513" s="50" t="str">
        <x:v>LONG</x:v>
      </x:c>
      <x:c r="I513" s="71" t="n">
        <x:v>46.475</x:v>
      </x:c>
      <x:c r="J513" s="76" t="str">
        <x:v>SIP</x:v>
      </x:c>
    </x:row>
    <x:row r="514">
      <x:c r="A514" s="50" t="str">
        <x:v>019fdc99-4de0-7058-affa-eda0531a3e29</x:v>
      </x:c>
      <x:c r="B514" s="50" t="str">
        <x:v>CLPT</x:v>
      </x:c>
      <x:c r="C514" s="70" t="n">
        <x:v>46241.597943333334</x:v>
      </x:c>
      <x:c r="D514" s="50" t="str">
        <x:v>ENTRY_WATCH</x:v>
      </x:c>
      <x:c r="E514" s="50" t="str">
        <x:v>CLPT ENTRY IN_ZONE EARLY WATCH</x:v>
      </x:c>
      <x:c r="F514" s="50" t="str">
        <x:v>WATCH</x:v>
      </x:c>
      <x:c r="G514" s="50"/>
      <x:c r="H514" s="50" t="str">
        <x:v>LONG</x:v>
      </x:c>
      <x:c r="I514" s="71" t="n">
        <x:v>14.16</x:v>
      </x:c>
      <x:c r="J514" s="76" t="str">
        <x:v>SIP</x:v>
      </x:c>
    </x:row>
    <x:row r="515">
      <x:c r="A515" s="50" t="str">
        <x:v>019fdc99-4f6d-7341-b854-b0416f598e8b</x:v>
      </x:c>
      <x:c r="B515" s="50" t="str">
        <x:v>PYPL</x:v>
      </x:c>
      <x:c r="C515" s="70" t="n">
        <x:v>46241.59794791666</x:v>
      </x:c>
      <x:c r="D515" s="50" t="str">
        <x:v>SWING_SETUP</x:v>
      </x:c>
      <x:c r="E515" s="50" t="str">
        <x:v>PYPL SWING SETUP</x:v>
      </x:c>
      <x:c r="F515" s="50" t="str">
        <x:v>WATCH</x:v>
      </x:c>
      <x:c r="G515" s="50"/>
      <x:c r="H515" s="50" t="str">
        <x:v>LONG</x:v>
      </x:c>
      <x:c r="I515" s="71" t="n">
        <x:v>59.91</x:v>
      </x:c>
      <x:c r="J515" s="76" t="str">
        <x:v>SIP</x:v>
      </x:c>
    </x:row>
    <x:row r="516">
      <x:c r="A516" s="50" t="str">
        <x:v>019fdc9b-2099-7ab3-8987-b471d04a9c5d</x:v>
      </x:c>
      <x:c r="B516" s="50" t="str">
        <x:v>HRL</x:v>
      </x:c>
      <x:c r="C516" s="70" t="n">
        <x:v>46241.59932621528</x:v>
      </x:c>
      <x:c r="D516" s="50" t="str">
        <x:v>ENTRY_WATCH</x:v>
      </x:c>
      <x:c r="E516" s="50" t="str">
        <x:v>HRL ENTRY BREAKAWAY WATCH</x:v>
      </x:c>
      <x:c r="F516" s="50" t="str">
        <x:v>WATCH</x:v>
      </x:c>
      <x:c r="G516" s="50"/>
      <x:c r="H516" s="50" t="str">
        <x:v>LONG</x:v>
      </x:c>
      <x:c r="I516" s="71" t="n">
        <x:v>25.3</x:v>
      </x:c>
      <x:c r="J516" s="76" t="str">
        <x:v>SIP</x:v>
      </x:c>
    </x:row>
    <x:row r="517">
      <x:c r="A517" s="50" t="str">
        <x:v>019fdc9b-2294-70a7-ae6e-0226a7ba8d8f</x:v>
      </x:c>
      <x:c r="B517" s="50" t="str">
        <x:v>RIOT</x:v>
      </x:c>
      <x:c r="C517" s="70" t="n">
        <x:v>46241.59933208334</x:v>
      </x:c>
      <x:c r="D517" s="50" t="str">
        <x:v>ENTRY_WATCH</x:v>
      </x:c>
      <x:c r="E517" s="50" t="str">
        <x:v>RIOT ENTRY IN_ZONE EARLY WATCH</x:v>
      </x:c>
      <x:c r="F517" s="50" t="str">
        <x:v>WATCH</x:v>
      </x:c>
      <x:c r="G517" s="50"/>
      <x:c r="H517" s="50" t="str">
        <x:v>LONG</x:v>
      </x:c>
      <x:c r="I517" s="71" t="n">
        <x:v>20.595</x:v>
      </x:c>
      <x:c r="J517" s="76" t="str">
        <x:v>SIP</x:v>
      </x:c>
    </x:row>
    <x:row r="518">
      <x:c r="A518" s="50" t="str">
        <x:v>019fdc9b-26db-7855-b14c-fd8af5a8f935</x:v>
      </x:c>
      <x:c r="B518" s="50" t="str">
        <x:v>OXY</x:v>
      </x:c>
      <x:c r="C518" s="70" t="n">
        <x:v>46241.59934475694</x:v>
      </x:c>
      <x:c r="D518" s="50" t="str">
        <x:v>LONG_BUY_ZONE</x:v>
      </x:c>
      <x:c r="E518" s="50" t="str">
        <x:v>OXY LONG BUY ZONE</x:v>
      </x:c>
      <x:c r="F518" s="50" t="str">
        <x:v>WATCH</x:v>
      </x:c>
      <x:c r="G518" s="50"/>
      <x:c r="H518" s="50" t="str">
        <x:v>LONG</x:v>
      </x:c>
      <x:c r="I518" s="71" t="n">
        <x:v>55.8</x:v>
      </x:c>
      <x:c r="J518" s="76" t="str">
        <x:v>SIP</x:v>
      </x:c>
    </x:row>
    <x:row r="519">
      <x:c r="A519" s="50" t="str">
        <x:v>019fdc9c-0e39-772c-9807-2b11853395fe</x:v>
      </x:c>
      <x:c r="B519" s="50" t="str">
        <x:v>CRM</x:v>
      </x:c>
      <x:c r="C519" s="70" t="n">
        <x:v>46241.60003028935</x:v>
      </x:c>
      <x:c r="D519" s="50" t="str">
        <x:v>SWING_SETUP</x:v>
      </x:c>
      <x:c r="E519" s="50" t="str">
        <x:v>CRM SWING SETUP</x:v>
      </x:c>
      <x:c r="F519" s="50" t="str">
        <x:v>WATCH</x:v>
      </x:c>
      <x:c r="G519" s="50"/>
      <x:c r="H519" s="50" t="str">
        <x:v>LONG</x:v>
      </x:c>
      <x:c r="I519" s="71" t="n">
        <x:v>192.465</x:v>
      </x:c>
      <x:c r="J519" s="76" t="str">
        <x:v>SIP</x:v>
      </x:c>
    </x:row>
    <x:row r="520">
      <x:c r="A520" s="50" t="str">
        <x:v>019fdc9c-0ff9-77bc-9f0f-727a3f014e8a</x:v>
      </x:c>
      <x:c r="B520" s="50" t="str">
        <x:v>RIOT</x:v>
      </x:c>
      <x:c r="C520" s="70" t="n">
        <x:v>46241.600035474534</x:v>
      </x:c>
      <x:c r="D520" s="50" t="str">
        <x:v>ENTRY_WATCH</x:v>
      </x:c>
      <x:c r="E520" s="50" t="str">
        <x:v>RIOT ENTRY BREAKAWAY WATCH</x:v>
      </x:c>
      <x:c r="F520" s="50" t="str">
        <x:v>WATCH</x:v>
      </x:c>
      <x:c r="G520" s="50"/>
      <x:c r="H520" s="50" t="str">
        <x:v>LONG</x:v>
      </x:c>
      <x:c r="I520" s="71" t="n">
        <x:v>20.67</x:v>
      </x:c>
      <x:c r="J520" s="76" t="str">
        <x:v>SIP</x:v>
      </x:c>
    </x:row>
    <x:row r="521">
      <x:c r="A521" s="50" t="str">
        <x:v>019fdc9c-f916-7bf6-862d-72f4e0df0cef</x:v>
      </x:c>
      <x:c r="B521" s="50" t="str">
        <x:v>KDP</x:v>
      </x:c>
      <x:c r="C521" s="70" t="n">
        <x:v>46241.60072618056</x:v>
      </x:c>
      <x:c r="D521" s="50" t="str">
        <x:v>LONG_BUY_ZONE</x:v>
      </x:c>
      <x:c r="E521" s="50" t="str">
        <x:v>KDP LONG BUY ZONE</x:v>
      </x:c>
      <x:c r="F521" s="50" t="str">
        <x:v>WATCH</x:v>
      </x:c>
      <x:c r="G521" s="50"/>
      <x:c r="H521" s="50" t="str">
        <x:v>LONG</x:v>
      </x:c>
      <x:c r="I521" s="71" t="n">
        <x:v>29.86</x:v>
      </x:c>
      <x:c r="J521" s="76" t="str">
        <x:v>SIP</x:v>
      </x:c>
    </x:row>
    <x:row r="522">
      <x:c r="A522" s="50" t="str">
        <x:v>019fdc9d-def6-7ca4-bcc6-5d4957714a4b</x:v>
      </x:c>
      <x:c r="B522" s="50" t="str">
        <x:v>HRL</x:v>
      </x:c>
      <x:c r="C522" s="70" t="n">
        <x:v>46241.601407291666</x:v>
      </x:c>
      <x:c r="D522" s="50" t="str">
        <x:v>ENTRY_WATCH</x:v>
      </x:c>
      <x:c r="E522" s="50" t="str">
        <x:v>HRL ENTRY IN_ZONE EARLY WATCH</x:v>
      </x:c>
      <x:c r="F522" s="50" t="str">
        <x:v>WATCH</x:v>
      </x:c>
      <x:c r="G522" s="50"/>
      <x:c r="H522" s="50" t="str">
        <x:v>LONG</x:v>
      </x:c>
      <x:c r="I522" s="71" t="n">
        <x:v>25.28</x:v>
      </x:c>
      <x:c r="J522" s="76" t="str">
        <x:v>SIP</x:v>
      </x:c>
    </x:row>
    <x:row r="523">
      <x:c r="A523" s="50" t="str">
        <x:v>019fdc9d-e188-7f6e-87f3-0da883e1c23b</x:v>
      </x:c>
      <x:c r="B523" s="50" t="str">
        <x:v>KO</x:v>
      </x:c>
      <x:c r="C523" s="70" t="n">
        <x:v>46241.60141490741</x:v>
      </x:c>
      <x:c r="D523" s="50" t="str">
        <x:v>LONG_BUY_ZONE</x:v>
      </x:c>
      <x:c r="E523" s="50" t="str">
        <x:v>KO LONG BUY ZONE</x:v>
      </x:c>
      <x:c r="F523" s="50" t="str">
        <x:v>WATCH</x:v>
      </x:c>
      <x:c r="G523" s="50"/>
      <x:c r="H523" s="50" t="str">
        <x:v>LONG</x:v>
      </x:c>
      <x:c r="I523" s="71" t="n">
        <x:v>86.795</x:v>
      </x:c>
      <x:c r="J523" s="76" t="str">
        <x:v>SIP</x:v>
      </x:c>
    </x:row>
    <x:row r="524">
      <x:c r="A524" s="50" t="str">
        <x:v>019fdc9f-bf36-7120-b49c-4992fb5107d6</x:v>
      </x:c>
      <x:c r="B524" s="50" t="str">
        <x:v>APA</x:v>
      </x:c>
      <x:c r="C524" s="70" t="n">
        <x:v>46241.60283025463</x:v>
      </x:c>
      <x:c r="D524" s="50" t="str">
        <x:v>LONG_BUY_ZONE</x:v>
      </x:c>
      <x:c r="E524" s="50" t="str">
        <x:v>APA LONG BUY ZONE</x:v>
      </x:c>
      <x:c r="F524" s="50" t="str">
        <x:v>WATCH</x:v>
      </x:c>
      <x:c r="G524" s="50"/>
      <x:c r="H524" s="50" t="str">
        <x:v>LONG</x:v>
      </x:c>
      <x:c r="I524" s="71" t="n">
        <x:v>36.63</x:v>
      </x:c>
      <x:c r="J524" s="76" t="str">
        <x:v>SIP</x:v>
      </x:c>
    </x:row>
    <x:row r="525">
      <x:c r="A525" s="50" t="str">
        <x:v>019fdc9f-bf83-7829-b620-15cf1eef4911</x:v>
      </x:c>
      <x:c r="B525" s="50" t="str">
        <x:v>APH</x:v>
      </x:c>
      <x:c r="C525" s="70" t="n">
        <x:v>46241.602831145836</x:v>
      </x:c>
      <x:c r="D525" s="50" t="str">
        <x:v>LONG_BUY_ZONE</x:v>
      </x:c>
      <x:c r="E525" s="50" t="str">
        <x:v>APH LONG BUY ZONE</x:v>
      </x:c>
      <x:c r="F525" s="50" t="str">
        <x:v>WATCH</x:v>
      </x:c>
      <x:c r="G525" s="50"/>
      <x:c r="H525" s="50" t="str">
        <x:v>LONG</x:v>
      </x:c>
      <x:c r="I525" s="71" t="n">
        <x:v>169.45</x:v>
      </x:c>
      <x:c r="J525" s="76" t="str">
        <x:v>SIP</x:v>
      </x:c>
    </x:row>
    <x:row r="526">
      <x:c r="A526" s="50" t="str">
        <x:v>019fdca0-a288-7e70-b1d1-9ace56634b98</x:v>
      </x:c>
      <x:c r="B526" s="50" t="str">
        <x:v>MRK</x:v>
      </x:c>
      <x:c r="C526" s="70" t="n">
        <x:v>46241.603503796294</x:v>
      </x:c>
      <x:c r="D526" s="50" t="str">
        <x:v>LONG_BUY_ZONE</x:v>
      </x:c>
      <x:c r="E526" s="50" t="str">
        <x:v>MRK LONG BUY ZONE</x:v>
      </x:c>
      <x:c r="F526" s="50" t="str">
        <x:v>WATCH</x:v>
      </x:c>
      <x:c r="G526" s="50"/>
      <x:c r="H526" s="50" t="str">
        <x:v>LONG</x:v>
      </x:c>
      <x:c r="I526" s="71" t="n">
        <x:v>126.79</x:v>
      </x:c>
      <x:c r="J526" s="76" t="str">
        <x:v>SIP</x:v>
      </x:c>
    </x:row>
    <x:row r="527">
      <x:c r="A527" s="50" t="str">
        <x:v>019fdca0-a2d7-71b8-8845-e382cc23db96</x:v>
      </x:c>
      <x:c r="B527" s="50" t="str">
        <x:v>SBUX</x:v>
      </x:c>
      <x:c r="C527" s="70" t="n">
        <x:v>46241.60350471065</x:v>
      </x:c>
      <x:c r="D527" s="50" t="str">
        <x:v>LONG_BUY_ZONE</x:v>
      </x:c>
      <x:c r="E527" s="50" t="str">
        <x:v>SBUX LONG BUY ZONE</x:v>
      </x:c>
      <x:c r="F527" s="50" t="str">
        <x:v>WATCH</x:v>
      </x:c>
      <x:c r="G527" s="50"/>
      <x:c r="H527" s="50" t="str">
        <x:v>LONG</x:v>
      </x:c>
      <x:c r="I527" s="71" t="n">
        <x:v>105.8</x:v>
      </x:c>
      <x:c r="J527" s="76" t="str">
        <x:v>SIP</x:v>
      </x:c>
    </x:row>
    <x:row r="528">
      <x:c r="A528" s="50" t="str">
        <x:v>019fdca2-7326-7241-abee-e43fd0444611</x:v>
      </x:c>
      <x:c r="B528" s="50" t="str">
        <x:v>RIOT</x:v>
      </x:c>
      <x:c r="C528" s="70" t="n">
        <x:v>46241.604880439816</x:v>
      </x:c>
      <x:c r="D528" s="50" t="str">
        <x:v>ENTRY_WATCH</x:v>
      </x:c>
      <x:c r="E528" s="50" t="str">
        <x:v>RIOT ENTRY IN_ZONE EARLY WATCH</x:v>
      </x:c>
      <x:c r="F528" s="50" t="str">
        <x:v>WATCH</x:v>
      </x:c>
      <x:c r="G528" s="50"/>
      <x:c r="H528" s="50" t="str">
        <x:v>LONG</x:v>
      </x:c>
      <x:c r="I528" s="71" t="n">
        <x:v>20.6022</x:v>
      </x:c>
      <x:c r="J528" s="76" t="str">
        <x:v>SIP</x:v>
      </x:c>
    </x:row>
    <x:row r="529">
      <x:c r="A529" s="50" t="str">
        <x:v>019fdca2-7344-7afd-b663-9b97c4e8397c</x:v>
      </x:c>
      <x:c r="B529" s="50" t="str">
        <x:v>WFC</x:v>
      </x:c>
      <x:c r="C529" s="70" t="n">
        <x:v>46241.60488077546</x:v>
      </x:c>
      <x:c r="D529" s="50" t="str">
        <x:v>SWING_SETUP</x:v>
      </x:c>
      <x:c r="E529" s="50" t="str">
        <x:v>WFC SWING SETUP</x:v>
      </x:c>
      <x:c r="F529" s="50" t="str">
        <x:v>WATCH</x:v>
      </x:c>
      <x:c r="G529" s="50"/>
      <x:c r="H529" s="50" t="str">
        <x:v>LONG</x:v>
      </x:c>
      <x:c r="I529" s="71" t="n">
        <x:v>86.96</x:v>
      </x:c>
      <x:c r="J529" s="76" t="str">
        <x:v>SIP</x:v>
      </x:c>
    </x:row>
    <x:row r="530">
      <x:c r="A530" s="50" t="str">
        <x:v>019fdca2-73a8-74cd-b81f-28fb6b6c94da</x:v>
      </x:c>
      <x:c r="B530" s="50" t="str">
        <x:v>ETN</x:v>
      </x:c>
      <x:c r="C530" s="70" t="n">
        <x:v>46241.60488194445</x:v>
      </x:c>
      <x:c r="D530" s="50" t="str">
        <x:v>SWING_SETUP</x:v>
      </x:c>
      <x:c r="E530" s="50" t="str">
        <x:v>ETN SWING SETUP</x:v>
      </x:c>
      <x:c r="F530" s="50" t="str">
        <x:v>WATCH</x:v>
      </x:c>
      <x:c r="G530" s="50"/>
      <x:c r="H530" s="50" t="str">
        <x:v>LONG</x:v>
      </x:c>
      <x:c r="I530" s="71" t="n">
        <x:v>449.775</x:v>
      </x:c>
      <x:c r="J530" s="76" t="str">
        <x:v>SIP</x:v>
      </x:c>
    </x:row>
    <x:row r="531">
      <x:c r="A531" s="50" t="str">
        <x:v>019fdca2-73ca-7281-a315-28d765f9c645</x:v>
      </x:c>
      <x:c r="B531" s="50" t="str">
        <x:v>UNP</x:v>
      </x:c>
      <x:c r="C531" s="70" t="n">
        <x:v>46241.60488233796</x:v>
      </x:c>
      <x:c r="D531" s="50" t="str">
        <x:v>ENTRY_CONFIRMED</x:v>
      </x:c>
      <x:c r="E531" s="50" t="str">
        <x:v>UNP ENTRY CONFIRMED</x:v>
      </x:c>
      <x:c r="F531" s="50" t="str">
        <x:v>ACTION</x:v>
      </x:c>
      <x:c r="G531" s="50" t="str">
        <x:v>L2_SWING_CONFIRMED</x:v>
      </x:c>
      <x:c r="H531" s="50" t="str">
        <x:v>LONG</x:v>
      </x:c>
      <x:c r="I531" s="71" t="n">
        <x:v>294.76</x:v>
      </x:c>
      <x:c r="J531" s="76" t="str">
        <x:v>SIP</x:v>
      </x:c>
    </x:row>
    <x:row r="532">
      <x:c r="A532" s="50" t="str">
        <x:v>019fdca2-7560-74aa-a5a0-ddc96888c052</x:v>
      </x:c>
      <x:c r="B532" s="50" t="str">
        <x:v>LMT</x:v>
      </x:c>
      <x:c r="C532" s="70" t="n">
        <x:v>46241.60488702546</x:v>
      </x:c>
      <x:c r="D532" s="50" t="str">
        <x:v>SWING_SETUP</x:v>
      </x:c>
      <x:c r="E532" s="50" t="str">
        <x:v>LMT SWING SETUP</x:v>
      </x:c>
      <x:c r="F532" s="50" t="str">
        <x:v>WATCH</x:v>
      </x:c>
      <x:c r="G532" s="50"/>
      <x:c r="H532" s="50" t="str">
        <x:v>LONG</x:v>
      </x:c>
      <x:c r="I532" s="71" t="n">
        <x:v>580.34</x:v>
      </x:c>
      <x:c r="J532" s="76" t="str">
        <x:v>SIP</x:v>
      </x:c>
    </x:row>
    <x:row r="533">
      <x:c r="A533" s="50" t="str">
        <x:v>019fdca2-766c-7ae9-917f-afa7b5e9d2df</x:v>
      </x:c>
      <x:c r="B533" s="50" t="str">
        <x:v>ONTO</x:v>
      </x:c>
      <x:c r="C533" s="70" t="n">
        <x:v>46241.60489012732</x:v>
      </x:c>
      <x:c r="D533" s="50" t="str">
        <x:v>SWING_SETUP</x:v>
      </x:c>
      <x:c r="E533" s="50" t="str">
        <x:v>ONTO SWING SETUP</x:v>
      </x:c>
      <x:c r="F533" s="50" t="str">
        <x:v>WATCH</x:v>
      </x:c>
      <x:c r="G533" s="50"/>
      <x:c r="H533" s="50" t="str">
        <x:v>LONG</x:v>
      </x:c>
      <x:c r="I533" s="71" t="n">
        <x:v>301.1325</x:v>
      </x:c>
      <x:c r="J533" s="76" t="str">
        <x:v>SIP</x:v>
      </x:c>
    </x:row>
    <x:row r="534">
      <x:c r="A534" s="50" t="str">
        <x:v>019fdca2-7878-768e-844e-cf4ebfe6dc94</x:v>
      </x:c>
      <x:c r="B534" s="50" t="str">
        <x:v>SE</x:v>
      </x:c>
      <x:c r="C534" s="70" t="n">
        <x:v>46241.6048962037</x:v>
      </x:c>
      <x:c r="D534" s="50" t="str">
        <x:v>SWING_SETUP</x:v>
      </x:c>
      <x:c r="E534" s="50" t="str">
        <x:v>SE SWING SETUP</x:v>
      </x:c>
      <x:c r="F534" s="50" t="str">
        <x:v>WATCH</x:v>
      </x:c>
      <x:c r="G534" s="50"/>
      <x:c r="H534" s="50" t="str">
        <x:v>LONG</x:v>
      </x:c>
      <x:c r="I534" s="71" t="n">
        <x:v>112.84</x:v>
      </x:c>
      <x:c r="J534" s="76" t="str">
        <x:v>SIP</x:v>
      </x:c>
    </x:row>
    <x:row r="535">
      <x:c r="A535" s="50" t="str">
        <x:v>019fdca2-7888-7ace-be5d-22c704d7879a</x:v>
      </x:c>
      <x:c r="B535" s="50" t="str">
        <x:v>ADBE</x:v>
      </x:c>
      <x:c r="C535" s="70" t="n">
        <x:v>46241.60489638889</x:v>
      </x:c>
      <x:c r="D535" s="50" t="str">
        <x:v>SWING_SETUP</x:v>
      </x:c>
      <x:c r="E535" s="50" t="str">
        <x:v>ADBE SWING SETUP</x:v>
      </x:c>
      <x:c r="F535" s="50" t="str">
        <x:v>WATCH</x:v>
      </x:c>
      <x:c r="G535" s="50"/>
      <x:c r="H535" s="50" t="str">
        <x:v>LONG</x:v>
      </x:c>
      <x:c r="I535" s="71" t="n">
        <x:v>268.73</x:v>
      </x:c>
      <x:c r="J535" s="76" t="str">
        <x:v>SIP</x:v>
      </x:c>
    </x:row>
    <x:row r="536">
      <x:c r="A536" s="50" t="str">
        <x:v>019fdca2-78e3-7ed8-a185-d03100b865c9</x:v>
      </x:c>
      <x:c r="B536" s="50" t="str">
        <x:v>CLPT</x:v>
      </x:c>
      <x:c r="C536" s="70" t="n">
        <x:v>46241.60489743055</x:v>
      </x:c>
      <x:c r="D536" s="50" t="str">
        <x:v>ENTRY_WATCH</x:v>
      </x:c>
      <x:c r="E536" s="50" t="str">
        <x:v>CLPT ENTRY BREAKAWAY WATCH</x:v>
      </x:c>
      <x:c r="F536" s="50" t="str">
        <x:v>WATCH</x:v>
      </x:c>
      <x:c r="G536" s="50"/>
      <x:c r="H536" s="50" t="str">
        <x:v>LONG</x:v>
      </x:c>
      <x:c r="I536" s="71" t="n">
        <x:v>14.22</x:v>
      </x:c>
      <x:c r="J536" s="76" t="str">
        <x:v>SIP</x:v>
      </x:c>
    </x:row>
    <x:row r="537">
      <x:c r="A537" s="50" t="str">
        <x:v>019fdca2-79c9-7e19-b2c5-3a156994b245</x:v>
      </x:c>
      <x:c r="B537" s="50" t="str">
        <x:v>APA</x:v>
      </x:c>
      <x:c r="C537" s="70" t="n">
        <x:v>46241.60490010417</x:v>
      </x:c>
      <x:c r="D537" s="50" t="str">
        <x:v>SWING_SETUP</x:v>
      </x:c>
      <x:c r="E537" s="50" t="str">
        <x:v>APA SWING SETUP</x:v>
      </x:c>
      <x:c r="F537" s="50" t="str">
        <x:v>WATCH</x:v>
      </x:c>
      <x:c r="G537" s="50"/>
      <x:c r="H537" s="50" t="str">
        <x:v>LONG</x:v>
      </x:c>
      <x:c r="I537" s="71" t="n">
        <x:v>36.68</x:v>
      </x:c>
      <x:c r="J537" s="76" t="str">
        <x:v>SIP</x:v>
      </x:c>
    </x:row>
    <x:row r="538">
      <x:c r="A538" s="50" t="str">
        <x:v>019fdca2-79e7-76ba-b509-84d39f18538e</x:v>
      </x:c>
      <x:c r="B538" s="50" t="str">
        <x:v>PLTR</x:v>
      </x:c>
      <x:c r="C538" s="70" t="n">
        <x:v>46241.60490045139</x:v>
      </x:c>
      <x:c r="D538" s="50" t="str">
        <x:v>SWING_SETUP</x:v>
      </x:c>
      <x:c r="E538" s="50" t="str">
        <x:v>PLTR SWING SETUP</x:v>
      </x:c>
      <x:c r="F538" s="50" t="str">
        <x:v>WATCH</x:v>
      </x:c>
      <x:c r="G538" s="50"/>
      <x:c r="H538" s="50" t="str">
        <x:v>LONG</x:v>
      </x:c>
      <x:c r="I538" s="71" t="n">
        <x:v>170.33</x:v>
      </x:c>
      <x:c r="J538" s="76" t="str">
        <x:v>SIP</x:v>
      </x:c>
    </x:row>
    <x:row r="539">
      <x:c r="A539" s="50" t="str">
        <x:v>019fdca2-7a54-7c97-8e8c-c0c5c26a433b</x:v>
      </x:c>
      <x:c r="B539" s="50" t="str">
        <x:v>CROX</x:v>
      </x:c>
      <x:c r="C539" s="70" t="n">
        <x:v>46241.60490171296</x:v>
      </x:c>
      <x:c r="D539" s="50" t="str">
        <x:v>SWING_SETUP</x:v>
      </x:c>
      <x:c r="E539" s="50" t="str">
        <x:v>CROX SWING SETUP</x:v>
      </x:c>
      <x:c r="F539" s="50" t="str">
        <x:v>WATCH</x:v>
      </x:c>
      <x:c r="G539" s="50"/>
      <x:c r="H539" s="50" t="str">
        <x:v>LONG</x:v>
      </x:c>
      <x:c r="I539" s="71" t="n">
        <x:v>138.34</x:v>
      </x:c>
      <x:c r="J539" s="76" t="str">
        <x:v>SIP</x:v>
      </x:c>
    </x:row>
    <x:row r="540">
      <x:c r="A540" s="50" t="str">
        <x:v>019fdca2-7a8b-78ad-941a-be0994081c36</x:v>
      </x:c>
      <x:c r="B540" s="50" t="str">
        <x:v>MSFT</x:v>
      </x:c>
      <x:c r="C540" s="70" t="n">
        <x:v>46241.604902349536</x:v>
      </x:c>
      <x:c r="D540" s="50" t="str">
        <x:v>SWING_SETUP</x:v>
      </x:c>
      <x:c r="E540" s="50" t="str">
        <x:v>MSFT SWING SETUP</x:v>
      </x:c>
      <x:c r="F540" s="50" t="str">
        <x:v>WATCH</x:v>
      </x:c>
      <x:c r="G540" s="50"/>
      <x:c r="H540" s="50" t="str">
        <x:v>LONG</x:v>
      </x:c>
      <x:c r="I540" s="71" t="n">
        <x:v>504.1</x:v>
      </x:c>
      <x:c r="J540" s="76" t="str">
        <x:v>SIP</x:v>
      </x:c>
    </x:row>
    <x:row r="541">
      <x:c r="A541" s="50" t="str">
        <x:v>019fdca2-7aca-7dc3-95db-8ae5e3dc3699</x:v>
      </x:c>
      <x:c r="B541" s="50" t="str">
        <x:v>BABA</x:v>
      </x:c>
      <x:c r="C541" s="70" t="n">
        <x:v>46241.6049030787</x:v>
      </x:c>
      <x:c r="D541" s="50" t="str">
        <x:v>SWING_SETUP</x:v>
      </x:c>
      <x:c r="E541" s="50" t="str">
        <x:v>BABA SWING SETUP</x:v>
      </x:c>
      <x:c r="F541" s="50" t="str">
        <x:v>WATCH</x:v>
      </x:c>
      <x:c r="G541" s="50"/>
      <x:c r="H541" s="50" t="str">
        <x:v>LONG</x:v>
      </x:c>
      <x:c r="I541" s="71" t="n">
        <x:v>127.44</x:v>
      </x:c>
      <x:c r="J541" s="76" t="str">
        <x:v>SIP</x:v>
      </x:c>
    </x:row>
    <x:row r="542">
      <x:c r="A542" s="50" t="str">
        <x:v>019fdca2-7b55-7ea0-b99c-e689df881958</x:v>
      </x:c>
      <x:c r="B542" s="50" t="str">
        <x:v>OXY</x:v>
      </x:c>
      <x:c r="C542" s="70" t="n">
        <x:v>46241.6049046875</x:v>
      </x:c>
      <x:c r="D542" s="50" t="str">
        <x:v>SWING_SETUP</x:v>
      </x:c>
      <x:c r="E542" s="50" t="str">
        <x:v>OXY SWING SETUP</x:v>
      </x:c>
      <x:c r="F542" s="50" t="str">
        <x:v>WATCH</x:v>
      </x:c>
      <x:c r="G542" s="50"/>
      <x:c r="H542" s="50" t="str">
        <x:v>LONG</x:v>
      </x:c>
      <x:c r="I542" s="71" t="n">
        <x:v>55.83</x:v>
      </x:c>
      <x:c r="J542" s="76" t="str">
        <x:v>SIP</x:v>
      </x:c>
    </x:row>
    <x:row r="543">
      <x:c r="A543" s="50" t="str">
        <x:v>019fdca2-7b7b-7149-aaa0-90decb5b6087</x:v>
      </x:c>
      <x:c r="B543" s="50" t="str">
        <x:v>VZ</x:v>
      </x:c>
      <x:c r="C543" s="70" t="n">
        <x:v>46241.60490511574</x:v>
      </x:c>
      <x:c r="D543" s="50" t="str">
        <x:v>SWING_SETUP</x:v>
      </x:c>
      <x:c r="E543" s="50" t="str">
        <x:v>VZ SWING SETUP</x:v>
      </x:c>
      <x:c r="F543" s="50" t="str">
        <x:v>WATCH</x:v>
      </x:c>
      <x:c r="G543" s="50"/>
      <x:c r="H543" s="50" t="str">
        <x:v>LONG</x:v>
      </x:c>
      <x:c r="I543" s="71" t="n">
        <x:v>46.66</x:v>
      </x:c>
      <x:c r="J543" s="76" t="str">
        <x:v>SIP</x:v>
      </x:c>
    </x:row>
    <x:row r="544">
      <x:c r="A544" s="50" t="str">
        <x:v>019fdca2-7baa-7a75-83c6-448b1b00980d</x:v>
      </x:c>
      <x:c r="B544" s="50" t="str">
        <x:v>DASH</x:v>
      </x:c>
      <x:c r="C544" s="70" t="n">
        <x:v>46241.604905671295</x:v>
      </x:c>
      <x:c r="D544" s="50" t="str">
        <x:v>SWING_SETUP</x:v>
      </x:c>
      <x:c r="E544" s="50" t="str">
        <x:v>DASH SWING SETUP</x:v>
      </x:c>
      <x:c r="F544" s="50" t="str">
        <x:v>WATCH</x:v>
      </x:c>
      <x:c r="G544" s="50"/>
      <x:c r="H544" s="50" t="str">
        <x:v>LONG</x:v>
      </x:c>
      <x:c r="I544" s="71" t="n">
        <x:v>220.35</x:v>
      </x:c>
      <x:c r="J544" s="76" t="str">
        <x:v>SIP</x:v>
      </x:c>
    </x:row>
    <x:row r="545">
      <x:c r="A545" s="50" t="str">
        <x:v>019fdca2-7bc3-75d2-a175-39d5c09037bd</x:v>
      </x:c>
      <x:c r="B545" s="50" t="str">
        <x:v>ABNB</x:v>
      </x:c>
      <x:c r="C545" s="70" t="n">
        <x:v>46241.604905960645</x:v>
      </x:c>
      <x:c r="D545" s="50" t="str">
        <x:v>SWING_SETUP</x:v>
      </x:c>
      <x:c r="E545" s="50" t="str">
        <x:v>ABNB SWING SETUP</x:v>
      </x:c>
      <x:c r="F545" s="50" t="str">
        <x:v>WATCH</x:v>
      </x:c>
      <x:c r="G545" s="50"/>
      <x:c r="H545" s="50" t="str">
        <x:v>LONG</x:v>
      </x:c>
      <x:c r="I545" s="71" t="n">
        <x:v>175.6351</x:v>
      </x:c>
      <x:c r="J545" s="76" t="str">
        <x:v>SIP</x:v>
      </x:c>
    </x:row>
    <x:row r="546">
      <x:c r="A546" s="50" t="str">
        <x:v>019fdca2-7c1d-7fe7-a704-e7276bec9d21</x:v>
      </x:c>
      <x:c r="B546" s="50" t="str">
        <x:v>RDW</x:v>
      </x:c>
      <x:c r="C546" s="70" t="n">
        <x:v>46241.604907002315</x:v>
      </x:c>
      <x:c r="D546" s="50" t="str">
        <x:v>SWING_SETUP</x:v>
      </x:c>
      <x:c r="E546" s="50" t="str">
        <x:v>RDW SWING SETUP</x:v>
      </x:c>
      <x:c r="F546" s="50" t="str">
        <x:v>WATCH</x:v>
      </x:c>
      <x:c r="G546" s="50"/>
      <x:c r="H546" s="50" t="str">
        <x:v>LONG</x:v>
      </x:c>
      <x:c r="I546" s="71" t="n">
        <x:v>13.05</x:v>
      </x:c>
      <x:c r="J546" s="76" t="str">
        <x:v>SIP</x:v>
      </x:c>
    </x:row>
    <x:row r="547">
      <x:c r="A547" s="50" t="str">
        <x:v>019fdca2-7c36-7b9f-bb88-081101f667c3</x:v>
      </x:c>
      <x:c r="B547" s="50" t="str">
        <x:v>WELL</x:v>
      </x:c>
      <x:c r="C547" s="70" t="n">
        <x:v>46241.604907291665</x:v>
      </x:c>
      <x:c r="D547" s="50" t="str">
        <x:v>SWING_SETUP</x:v>
      </x:c>
      <x:c r="E547" s="50" t="str">
        <x:v>WELL SWING SETUP</x:v>
      </x:c>
      <x:c r="F547" s="50" t="str">
        <x:v>WATCH</x:v>
      </x:c>
      <x:c r="G547" s="50"/>
      <x:c r="H547" s="50" t="str">
        <x:v>LONG</x:v>
      </x:c>
      <x:c r="I547" s="71" t="n">
        <x:v>237.045</x:v>
      </x:c>
      <x:c r="J547" s="76" t="str">
        <x:v>SIP</x:v>
      </x:c>
    </x:row>
    <x:row r="548">
      <x:c r="A548" s="50" t="str">
        <x:v>019fdca2-7cd5-7fb3-b7f9-def4ae8c3f10</x:v>
      </x:c>
      <x:c r="B548" s="50" t="str">
        <x:v>NVDA</x:v>
      </x:c>
      <x:c r="C548" s="70" t="n">
        <x:v>46241.604909131944</x:v>
      </x:c>
      <x:c r="D548" s="50" t="str">
        <x:v>SWING_SETUP</x:v>
      </x:c>
      <x:c r="E548" s="50" t="str">
        <x:v>NVDA SWING SETUP</x:v>
      </x:c>
      <x:c r="F548" s="50" t="str">
        <x:v>WATCH</x:v>
      </x:c>
      <x:c r="G548" s="50"/>
      <x:c r="H548" s="50" t="str">
        <x:v>LONG</x:v>
      </x:c>
      <x:c r="I548" s="71" t="n">
        <x:v>223.3499</x:v>
      </x:c>
      <x:c r="J548" s="76" t="str">
        <x:v>SIP</x:v>
      </x:c>
    </x:row>
    <x:row r="549">
      <x:c r="A549" s="50" t="str">
        <x:v>019fdca2-7d4b-7ce1-9dea-898189a3873f</x:v>
      </x:c>
      <x:c r="B549" s="50" t="str">
        <x:v>PM</x:v>
      </x:c>
      <x:c r="C549" s="70" t="n">
        <x:v>46241.604910497685</x:v>
      </x:c>
      <x:c r="D549" s="50" t="str">
        <x:v>LONG_BUY_ZONE</x:v>
      </x:c>
      <x:c r="E549" s="50" t="str">
        <x:v>PM LONG BUY ZONE</x:v>
      </x:c>
      <x:c r="F549" s="50" t="str">
        <x:v>WATCH</x:v>
      </x:c>
      <x:c r="G549" s="50"/>
      <x:c r="H549" s="50" t="str">
        <x:v>LONG</x:v>
      </x:c>
      <x:c r="I549" s="71" t="n">
        <x:v>188.99</x:v>
      </x:c>
      <x:c r="J549" s="76" t="str">
        <x:v>SIP</x:v>
      </x:c>
    </x:row>
    <x:row r="550">
      <x:c r="A550" s="50" t="str">
        <x:v>019fdca3-5d4a-7e4d-bcae-81f32f1b85a9</x:v>
      </x:c>
      <x:c r="B550" s="50" t="str">
        <x:v>NOVT</x:v>
      </x:c>
      <x:c r="C550" s="70" t="n">
        <x:v>46241.60557417824</x:v>
      </x:c>
      <x:c r="D550" s="50" t="str">
        <x:v>SWING_SETUP</x:v>
      </x:c>
      <x:c r="E550" s="50" t="str">
        <x:v>NOVT SWING SETUP</x:v>
      </x:c>
      <x:c r="F550" s="50" t="str">
        <x:v>WATCH</x:v>
      </x:c>
      <x:c r="G550" s="50"/>
      <x:c r="H550" s="50" t="str">
        <x:v>LONG</x:v>
      </x:c>
      <x:c r="I550" s="71" t="n">
        <x:v>169.565</x:v>
      </x:c>
      <x:c r="J550" s="76" t="str">
        <x:v>SIP</x:v>
      </x:c>
    </x:row>
    <x:row r="551">
      <x:c r="A551" s="50" t="str">
        <x:v>019fdca3-5df1-794e-ab2c-583b2a2a178e</x:v>
      </x:c>
      <x:c r="B551" s="50" t="str">
        <x:v>CLPT</x:v>
      </x:c>
      <x:c r="C551" s="70" t="n">
        <x:v>46241.60557611111</x:v>
      </x:c>
      <x:c r="D551" s="50" t="str">
        <x:v>ENTRY_WATCH</x:v>
      </x:c>
      <x:c r="E551" s="50" t="str">
        <x:v>CLPT ENTRY IN_ZONE EARLY WATCH</x:v>
      </x:c>
      <x:c r="F551" s="50" t="str">
        <x:v>WATCH</x:v>
      </x:c>
      <x:c r="G551" s="50"/>
      <x:c r="H551" s="50" t="str">
        <x:v>LONG</x:v>
      </x:c>
      <x:c r="I551" s="71" t="n">
        <x:v>14.17</x:v>
      </x:c>
      <x:c r="J551" s="76" t="str">
        <x:v>SIP</x:v>
      </x:c>
    </x:row>
    <x:row r="552">
      <x:c r="A552" s="50" t="str">
        <x:v>019fdca3-5ea2-7081-a72c-96759604f95a</x:v>
      </x:c>
      <x:c r="B552" s="50" t="str">
        <x:v>HRL</x:v>
      </x:c>
      <x:c r="C552" s="70" t="n">
        <x:v>46241.60557817129</x:v>
      </x:c>
      <x:c r="D552" s="50" t="str">
        <x:v>SWING_SETUP</x:v>
      </x:c>
      <x:c r="E552" s="50" t="str">
        <x:v>HRL SWING SETUP</x:v>
      </x:c>
      <x:c r="F552" s="50" t="str">
        <x:v>WATCH</x:v>
      </x:c>
      <x:c r="G552" s="50"/>
      <x:c r="H552" s="50" t="str">
        <x:v>LONG</x:v>
      </x:c>
      <x:c r="I552" s="71" t="n">
        <x:v>25.285</x:v>
      </x:c>
      <x:c r="J552" s="76" t="str">
        <x:v>SIP</x:v>
      </x:c>
    </x:row>
    <x:row r="553">
      <x:c r="A553" s="50" t="str">
        <x:v>019fdca3-5f46-72dc-b489-fee26ba8a9f1</x:v>
      </x:c>
      <x:c r="B553" s="50" t="str">
        <x:v>AMZN</x:v>
      </x:c>
      <x:c r="C553" s="70" t="n">
        <x:v>46241.60558005787</x:v>
      </x:c>
      <x:c r="D553" s="50" t="str">
        <x:v>SWING_SETUP</x:v>
      </x:c>
      <x:c r="E553" s="50" t="str">
        <x:v>AMZN SWING SETUP</x:v>
      </x:c>
      <x:c r="F553" s="50" t="str">
        <x:v>WATCH</x:v>
      </x:c>
      <x:c r="G553" s="50"/>
      <x:c r="H553" s="50" t="str">
        <x:v>LONG</x:v>
      </x:c>
      <x:c r="I553" s="71" t="n">
        <x:v>276.15</x:v>
      </x:c>
      <x:c r="J553" s="76" t="str">
        <x:v>SIP</x:v>
      </x:c>
    </x:row>
    <x:row r="554">
      <x:c r="A554" s="50" t="str">
        <x:v>019fdca3-5fad-7d50-9ff1-2ad04d3574a5</x:v>
      </x:c>
      <x:c r="B554" s="50" t="str">
        <x:v>DLR</x:v>
      </x:c>
      <x:c r="C554" s="70" t="n">
        <x:v>46241.605581261574</x:v>
      </x:c>
      <x:c r="D554" s="50" t="str">
        <x:v>SWING_SETUP</x:v>
      </x:c>
      <x:c r="E554" s="50" t="str">
        <x:v>DLR SWING SETUP</x:v>
      </x:c>
      <x:c r="F554" s="50" t="str">
        <x:v>WATCH</x:v>
      </x:c>
      <x:c r="G554" s="50"/>
      <x:c r="H554" s="50" t="str">
        <x:v>LONG</x:v>
      </x:c>
      <x:c r="I554" s="71" t="n">
        <x:v>195.25</x:v>
      </x:c>
      <x:c r="J554" s="76" t="str">
        <x:v>SIP</x:v>
      </x:c>
    </x:row>
    <x:row r="555">
      <x:c r="A555" s="50" t="str">
        <x:v>019fdca3-6012-7167-be7e-8c7076d932dc</x:v>
      </x:c>
      <x:c r="B555" s="50" t="str">
        <x:v>NEM</x:v>
      </x:c>
      <x:c r="C555" s="70" t="n">
        <x:v>46241.60558243056</x:v>
      </x:c>
      <x:c r="D555" s="50" t="str">
        <x:v>SWING_SETUP</x:v>
      </x:c>
      <x:c r="E555" s="50" t="str">
        <x:v>NEM SWING SETUP</x:v>
      </x:c>
      <x:c r="F555" s="50" t="str">
        <x:v>WATCH</x:v>
      </x:c>
      <x:c r="G555" s="50"/>
      <x:c r="H555" s="50" t="str">
        <x:v>LONG</x:v>
      </x:c>
      <x:c r="I555" s="71" t="n">
        <x:v>113.1005</x:v>
      </x:c>
      <x:c r="J555" s="76" t="str">
        <x:v>SIP</x:v>
      </x:c>
    </x:row>
    <x:row r="556">
      <x:c r="A556" s="50" t="str">
        <x:v>019fdca3-601a-7127-93ca-da5bac877b9c</x:v>
      </x:c>
      <x:c r="B556" s="50" t="str">
        <x:v>GRAB</x:v>
      </x:c>
      <x:c r="C556" s="70" t="n">
        <x:v>46241.605582523145</x:v>
      </x:c>
      <x:c r="D556" s="50" t="str">
        <x:v>SWING_SETUP</x:v>
      </x:c>
      <x:c r="E556" s="50" t="str">
        <x:v>GRAB SWING SETUP</x:v>
      </x:c>
      <x:c r="F556" s="50" t="str">
        <x:v>WATCH</x:v>
      </x:c>
      <x:c r="G556" s="50"/>
      <x:c r="H556" s="50" t="str">
        <x:v>LONG</x:v>
      </x:c>
      <x:c r="I556" s="71" t="n">
        <x:v>3.69</x:v>
      </x:c>
      <x:c r="J556" s="76" t="str">
        <x:v>SIP</x:v>
      </x:c>
    </x:row>
    <x:row r="557">
      <x:c r="A557" s="50" t="str">
        <x:v>019fdca3-60ea-7b9e-a266-8838ffe39c46</x:v>
      </x:c>
      <x:c r="B557" s="50" t="str">
        <x:v>ANET</x:v>
      </x:c>
      <x:c r="C557" s="70" t="n">
        <x:v>46241.605584930556</x:v>
      </x:c>
      <x:c r="D557" s="50" t="str">
        <x:v>SWING_SETUP</x:v>
      </x:c>
      <x:c r="E557" s="50" t="str">
        <x:v>ANET SWING SETUP</x:v>
      </x:c>
      <x:c r="F557" s="50" t="str">
        <x:v>WATCH</x:v>
      </x:c>
      <x:c r="G557" s="50"/>
      <x:c r="H557" s="50" t="str">
        <x:v>LONG</x:v>
      </x:c>
      <x:c r="I557" s="71" t="n">
        <x:v>191.155</x:v>
      </x:c>
      <x:c r="J557" s="76" t="str">
        <x:v>SIP</x:v>
      </x:c>
    </x:row>
    <x:row r="558">
      <x:c r="A558" s="50" t="str">
        <x:v>019fdca3-6101-768c-a5c3-eafdebb81036</x:v>
      </x:c>
      <x:c r="B558" s="50" t="str">
        <x:v>UNP</x:v>
      </x:c>
      <x:c r="C558" s="70" t="n">
        <x:v>46241.60558519676</x:v>
      </x:c>
      <x:c r="D558" s="50" t="str">
        <x:v>SWING_SETUP</x:v>
      </x:c>
      <x:c r="E558" s="50" t="str">
        <x:v>UNP SWING SETUP</x:v>
      </x:c>
      <x:c r="F558" s="50" t="str">
        <x:v>WATCH</x:v>
      </x:c>
      <x:c r="G558" s="50"/>
      <x:c r="H558" s="50" t="str">
        <x:v>LONG</x:v>
      </x:c>
      <x:c r="I558" s="71" t="n">
        <x:v>294.315</x:v>
      </x:c>
      <x:c r="J558" s="76" t="str">
        <x:v>SIP</x:v>
      </x:c>
    </x:row>
    <x:row r="559">
      <x:c r="A559" s="50" t="str">
        <x:v>019fdca3-6125-7ddc-9272-2d8f073b0fbd</x:v>
      </x:c>
      <x:c r="B559" s="50" t="str">
        <x:v>COP</x:v>
      </x:c>
      <x:c r="C559" s="70" t="n">
        <x:v>46241.605585613426</x:v>
      </x:c>
      <x:c r="D559" s="50" t="str">
        <x:v>SWING_SETUP</x:v>
      </x:c>
      <x:c r="E559" s="50" t="str">
        <x:v>COP SWING SETUP</x:v>
      </x:c>
      <x:c r="F559" s="50" t="str">
        <x:v>WATCH</x:v>
      </x:c>
      <x:c r="G559" s="50"/>
      <x:c r="H559" s="50" t="str">
        <x:v>LONG</x:v>
      </x:c>
      <x:c r="I559" s="71" t="n">
        <x:v>116.92</x:v>
      </x:c>
      <x:c r="J559" s="76" t="str">
        <x:v>SIP</x:v>
      </x:c>
    </x:row>
    <x:row r="560">
      <x:c r="A560" s="50" t="str">
        <x:v>019fdca3-6145-7544-9972-d07c05496fe0</x:v>
      </x:c>
      <x:c r="B560" s="50" t="str">
        <x:v>SBUX</x:v>
      </x:c>
      <x:c r="C560" s="70" t="n">
        <x:v>46241.605585983794</x:v>
      </x:c>
      <x:c r="D560" s="50" t="str">
        <x:v>SWING_SETUP</x:v>
      </x:c>
      <x:c r="E560" s="50" t="str">
        <x:v>SBUX SWING SETUP</x:v>
      </x:c>
      <x:c r="F560" s="50" t="str">
        <x:v>WATCH</x:v>
      </x:c>
      <x:c r="G560" s="50"/>
      <x:c r="H560" s="50" t="str">
        <x:v>LONG</x:v>
      </x:c>
      <x:c r="I560" s="71" t="n">
        <x:v>105.83</x:v>
      </x:c>
      <x:c r="J560" s="76" t="str">
        <x:v>SIP</x:v>
      </x:c>
    </x:row>
    <x:row r="561">
      <x:c r="A561" s="50" t="str">
        <x:v>019fdca3-6156-737c-b309-657c2bfc425b</x:v>
      </x:c>
      <x:c r="B561" s="50" t="str">
        <x:v>MDLZ</x:v>
      </x:c>
      <x:c r="C561" s="70" t="n">
        <x:v>46241.60558618056</x:v>
      </x:c>
      <x:c r="D561" s="50" t="str">
        <x:v>SWING_SETUP</x:v>
      </x:c>
      <x:c r="E561" s="50" t="str">
        <x:v>MDLZ SWING SETUP</x:v>
      </x:c>
      <x:c r="F561" s="50" t="str">
        <x:v>WATCH</x:v>
      </x:c>
      <x:c r="G561" s="50"/>
      <x:c r="H561" s="50" t="str">
        <x:v>LONG</x:v>
      </x:c>
      <x:c r="I561" s="71" t="n">
        <x:v>62.85</x:v>
      </x:c>
      <x:c r="J561" s="76" t="str">
        <x:v>SIP</x:v>
      </x:c>
    </x:row>
    <x:row r="562">
      <x:c r="A562" s="50" t="str">
        <x:v>019fdca3-629a-7616-afd8-c65990341d46</x:v>
      </x:c>
      <x:c r="B562" s="50" t="str">
        <x:v>BLFS</x:v>
      </x:c>
      <x:c r="C562" s="70" t="n">
        <x:v>46241.60558993056</x:v>
      </x:c>
      <x:c r="D562" s="50" t="str">
        <x:v>SWING_SETUP</x:v>
      </x:c>
      <x:c r="E562" s="50" t="str">
        <x:v>BLFS SWING SETUP</x:v>
      </x:c>
      <x:c r="F562" s="50" t="str">
        <x:v>WATCH</x:v>
      </x:c>
      <x:c r="G562" s="50"/>
      <x:c r="H562" s="50" t="str">
        <x:v>LONG</x:v>
      </x:c>
      <x:c r="I562" s="71" t="n">
        <x:v>34.655</x:v>
      </x:c>
      <x:c r="J562" s="76" t="str">
        <x:v>SIP</x:v>
      </x:c>
    </x:row>
    <x:row r="563">
      <x:c r="A563" s="50" t="str">
        <x:v>019fdca3-62b3-7f03-9c39-a88729194ded</x:v>
      </x:c>
      <x:c r="B563" s="50" t="str">
        <x:v>BMY</x:v>
      </x:c>
      <x:c r="C563" s="70" t="n">
        <x:v>46241.60559021991</x:v>
      </x:c>
      <x:c r="D563" s="50" t="str">
        <x:v>SWING_SETUP</x:v>
      </x:c>
      <x:c r="E563" s="50" t="str">
        <x:v>BMY SWING SETUP</x:v>
      </x:c>
      <x:c r="F563" s="50" t="str">
        <x:v>WATCH</x:v>
      </x:c>
      <x:c r="G563" s="50"/>
      <x:c r="H563" s="50" t="str">
        <x:v>LONG</x:v>
      </x:c>
      <x:c r="I563" s="71" t="n">
        <x:v>64.13</x:v>
      </x:c>
      <x:c r="J563" s="76" t="str">
        <x:v>SIP</x:v>
      </x:c>
    </x:row>
    <x:row r="564">
      <x:c r="A564" s="50" t="str">
        <x:v>019fdca3-62c3-711e-b777-3501a07c9d4c</x:v>
      </x:c>
      <x:c r="B564" s="50" t="str">
        <x:v>MA</x:v>
      </x:c>
      <x:c r="C564" s="70" t="n">
        <x:v>46241.60559039352</x:v>
      </x:c>
      <x:c r="D564" s="50" t="str">
        <x:v>SWING_SETUP</x:v>
      </x:c>
      <x:c r="E564" s="50" t="str">
        <x:v>MA SWING SETUP</x:v>
      </x:c>
      <x:c r="F564" s="50" t="str">
        <x:v>WATCH</x:v>
      </x:c>
      <x:c r="G564" s="50"/>
      <x:c r="H564" s="50" t="str">
        <x:v>LONG</x:v>
      </x:c>
      <x:c r="I564" s="71" t="n">
        <x:v>568.905</x:v>
      </x:c>
      <x:c r="J564" s="76" t="str">
        <x:v>SIP</x:v>
      </x:c>
    </x:row>
    <x:row r="565">
      <x:c r="A565" s="50" t="str">
        <x:v>019fdca3-62d0-721e-b6e2-b0cc5cb7bb15</x:v>
      </x:c>
      <x:c r="B565" s="50" t="str">
        <x:v>SNOW</x:v>
      </x:c>
      <x:c r="C565" s="70" t="n">
        <x:v>46241.605590555555</x:v>
      </x:c>
      <x:c r="D565" s="50" t="str">
        <x:v>SWING_SETUP</x:v>
      </x:c>
      <x:c r="E565" s="50" t="str">
        <x:v>SNOW SWING SETUP</x:v>
      </x:c>
      <x:c r="F565" s="50" t="str">
        <x:v>WATCH</x:v>
      </x:c>
      <x:c r="G565" s="50"/>
      <x:c r="H565" s="50" t="str">
        <x:v>LONG</x:v>
      </x:c>
      <x:c r="I565" s="71" t="n">
        <x:v>326.7</x:v>
      </x:c>
      <x:c r="J565" s="76" t="str">
        <x:v>SIP</x:v>
      </x:c>
    </x:row>
    <x:row r="566">
      <x:c r="A566" s="50" t="str">
        <x:v>019fdca3-6318-7759-9069-45dae8fbca45</x:v>
      </x:c>
      <x:c r="B566" s="50" t="str">
        <x:v>JD</x:v>
      </x:c>
      <x:c r="C566" s="70" t="n">
        <x:v>46241.60559138889</x:v>
      </x:c>
      <x:c r="D566" s="50" t="str">
        <x:v>SWING_SETUP</x:v>
      </x:c>
      <x:c r="E566" s="50" t="str">
        <x:v>JD SWING SETUP</x:v>
      </x:c>
      <x:c r="F566" s="50" t="str">
        <x:v>WATCH</x:v>
      </x:c>
      <x:c r="G566" s="50"/>
      <x:c r="H566" s="50" t="str">
        <x:v>LONG</x:v>
      </x:c>
      <x:c r="I566" s="71" t="n">
        <x:v>32.775</x:v>
      </x:c>
      <x:c r="J566" s="76" t="str">
        <x:v>SIP</x:v>
      </x:c>
    </x:row>
    <x:row r="567">
      <x:c r="A567" s="50" t="str">
        <x:v>019fdca3-6338-7416-95dc-ff5c40219037</x:v>
      </x:c>
      <x:c r="B567" s="50" t="str">
        <x:v>BAC</x:v>
      </x:c>
      <x:c r="C567" s="70" t="n">
        <x:v>46241.605591747684</x:v>
      </x:c>
      <x:c r="D567" s="50" t="str">
        <x:v>SWING_SETUP</x:v>
      </x:c>
      <x:c r="E567" s="50" t="str">
        <x:v>BAC SWING SETUP</x:v>
      </x:c>
      <x:c r="F567" s="50" t="str">
        <x:v>WATCH</x:v>
      </x:c>
      <x:c r="G567" s="50"/>
      <x:c r="H567" s="50" t="str">
        <x:v>LONG</x:v>
      </x:c>
      <x:c r="I567" s="71" t="n">
        <x:v>62.95</x:v>
      </x:c>
      <x:c r="J567" s="76" t="str">
        <x:v>SIP</x:v>
      </x:c>
    </x:row>
    <x:row r="568">
      <x:c r="A568" s="50" t="str">
        <x:v>019fdca3-6345-748f-8867-dbcaa09463b0</x:v>
      </x:c>
      <x:c r="B568" s="50" t="str">
        <x:v>JPM</x:v>
      </x:c>
      <x:c r="C568" s="70" t="n">
        <x:v>46241.60559189815</x:v>
      </x:c>
      <x:c r="D568" s="50" t="str">
        <x:v>SWING_SETUP</x:v>
      </x:c>
      <x:c r="E568" s="50" t="str">
        <x:v>JPM SWING SETUP</x:v>
      </x:c>
      <x:c r="F568" s="50" t="str">
        <x:v>WATCH</x:v>
      </x:c>
      <x:c r="G568" s="50"/>
      <x:c r="H568" s="50" t="str">
        <x:v>LONG</x:v>
      </x:c>
      <x:c r="I568" s="71" t="n">
        <x:v>356.11</x:v>
      </x:c>
      <x:c r="J568" s="76" t="str">
        <x:v>SIP</x:v>
      </x:c>
    </x:row>
    <x:row r="569">
      <x:c r="A569" s="50" t="str">
        <x:v>019fdca3-6356-703a-93f3-d3524a402228</x:v>
      </x:c>
      <x:c r="B569" s="50" t="str">
        <x:v>ECL</x:v>
      </x:c>
      <x:c r="C569" s="70" t="n">
        <x:v>46241.60559210648</x:v>
      </x:c>
      <x:c r="D569" s="50" t="str">
        <x:v>SWING_SETUP</x:v>
      </x:c>
      <x:c r="E569" s="50" t="str">
        <x:v>ECL SWING SETUP</x:v>
      </x:c>
      <x:c r="F569" s="50" t="str">
        <x:v>WATCH</x:v>
      </x:c>
      <x:c r="G569" s="50"/>
      <x:c r="H569" s="50" t="str">
        <x:v>LONG</x:v>
      </x:c>
      <x:c r="I569" s="71" t="n">
        <x:v>286.89</x:v>
      </x:c>
      <x:c r="J569" s="76" t="str">
        <x:v>SIP</x:v>
      </x:c>
    </x:row>
    <x:row r="570">
      <x:c r="A570" s="50" t="str">
        <x:v>019fdca3-6365-7915-a87a-459d69f58507</x:v>
      </x:c>
      <x:c r="B570" s="50" t="str">
        <x:v>PFE</x:v>
      </x:c>
      <x:c r="C570" s="70" t="n">
        <x:v>46241.605592280095</x:v>
      </x:c>
      <x:c r="D570" s="50" t="str">
        <x:v>SWING_SETUP</x:v>
      </x:c>
      <x:c r="E570" s="50" t="str">
        <x:v>PFE SWING SETUP</x:v>
      </x:c>
      <x:c r="F570" s="50" t="str">
        <x:v>WATCH</x:v>
      </x:c>
      <x:c r="G570" s="50"/>
      <x:c r="H570" s="50" t="str">
        <x:v>LONG</x:v>
      </x:c>
      <x:c r="I570" s="71" t="n">
        <x:v>26.44</x:v>
      </x:c>
      <x:c r="J570" s="76" t="str">
        <x:v>SIP</x:v>
      </x:c>
    </x:row>
    <x:row r="571">
      <x:c r="A571" s="50" t="str">
        <x:v>019fdca3-64be-7a3a-a887-ff22a4d7b381</x:v>
      </x:c>
      <x:c r="B571" s="50" t="str">
        <x:v>HRL</x:v>
      </x:c>
      <x:c r="C571" s="70" t="n">
        <x:v>46241.60559627315</x:v>
      </x:c>
      <x:c r="D571" s="50" t="str">
        <x:v>LONG_BUY_ZONE</x:v>
      </x:c>
      <x:c r="E571" s="50" t="str">
        <x:v>HRL LONG BUY ZONE</x:v>
      </x:c>
      <x:c r="F571" s="50" t="str">
        <x:v>WATCH</x:v>
      </x:c>
      <x:c r="G571" s="50"/>
      <x:c r="H571" s="50" t="str">
        <x:v>LONG</x:v>
      </x:c>
      <x:c r="I571" s="71" t="n">
        <x:v>25.295</x:v>
      </x:c>
      <x:c r="J571" s="76" t="str">
        <x:v>SIP</x:v>
      </x:c>
    </x:row>
    <x:row r="572">
      <x:c r="A572" s="50" t="str">
        <x:v>019fdca4-49cf-7f5b-ab58-2262a0be2f07</x:v>
      </x:c>
      <x:c r="B572" s="50" t="str">
        <x:v>ETHA</x:v>
      </x:c>
      <x:c r="C572" s="70" t="n">
        <x:v>46241.60627498843</x:v>
      </x:c>
      <x:c r="D572" s="50" t="str">
        <x:v>SWING_SETUP</x:v>
      </x:c>
      <x:c r="E572" s="50" t="str">
        <x:v>ETHA SWING SETUP</x:v>
      </x:c>
      <x:c r="F572" s="50" t="str">
        <x:v>WATCH</x:v>
      </x:c>
      <x:c r="G572" s="50"/>
      <x:c r="H572" s="50" t="str">
        <x:v>LONG</x:v>
      </x:c>
      <x:c r="I572" s="71" t="n">
        <x:v>14.515</x:v>
      </x:c>
      <x:c r="J572" s="76" t="str">
        <x:v>SIP</x:v>
      </x:c>
    </x:row>
    <x:row r="573">
      <x:c r="A573" s="50" t="str">
        <x:v>019fdca4-49e2-7aa1-8237-748c276a34e9</x:v>
      </x:c>
      <x:c r="B573" s="50" t="str">
        <x:v>TMDX</x:v>
      </x:c>
      <x:c r="C573" s="70" t="n">
        <x:v>46241.60627520833</x:v>
      </x:c>
      <x:c r="D573" s="50" t="str">
        <x:v>SWING_SETUP</x:v>
      </x:c>
      <x:c r="E573" s="50" t="str">
        <x:v>TMDX SWING SETUP</x:v>
      </x:c>
      <x:c r="F573" s="50" t="str">
        <x:v>WATCH</x:v>
      </x:c>
      <x:c r="G573" s="50"/>
      <x:c r="H573" s="50" t="str">
        <x:v>LONG</x:v>
      </x:c>
      <x:c r="I573" s="71" t="n">
        <x:v>80.6176</x:v>
      </x:c>
      <x:c r="J573" s="76" t="str">
        <x:v>SIP</x:v>
      </x:c>
    </x:row>
    <x:row r="574">
      <x:c r="A574" s="50" t="str">
        <x:v>019fdca4-4a48-7db6-bc55-fd87a167d11e</x:v>
      </x:c>
      <x:c r="B574" s="50" t="str">
        <x:v>BKNG</x:v>
      </x:c>
      <x:c r="C574" s="70" t="n">
        <x:v>46241.60627638889</x:v>
      </x:c>
      <x:c r="D574" s="50" t="str">
        <x:v>SWING_SETUP</x:v>
      </x:c>
      <x:c r="E574" s="50" t="str">
        <x:v>BKNG SWING SETUP</x:v>
      </x:c>
      <x:c r="F574" s="50" t="str">
        <x:v>WATCH</x:v>
      </x:c>
      <x:c r="G574" s="50"/>
      <x:c r="H574" s="50" t="str">
        <x:v>LONG</x:v>
      </x:c>
      <x:c r="I574" s="71" t="n">
        <x:v>215.3</x:v>
      </x:c>
      <x:c r="J574" s="76" t="str">
        <x:v>SIP</x:v>
      </x:c>
    </x:row>
    <x:row r="575">
      <x:c r="A575" s="50" t="str">
        <x:v>019fdca4-4aa6-7aee-ab21-c22e6168b076</x:v>
      </x:c>
      <x:c r="B575" s="50" t="str">
        <x:v>KO</x:v>
      </x:c>
      <x:c r="C575" s="70" t="n">
        <x:v>46241.60627747685</x:v>
      </x:c>
      <x:c r="D575" s="50" t="str">
        <x:v>SWING_SETUP</x:v>
      </x:c>
      <x:c r="E575" s="50" t="str">
        <x:v>KO SWING SETUP</x:v>
      </x:c>
      <x:c r="F575" s="50" t="str">
        <x:v>WATCH</x:v>
      </x:c>
      <x:c r="G575" s="50"/>
      <x:c r="H575" s="50" t="str">
        <x:v>LONG</x:v>
      </x:c>
      <x:c r="I575" s="71" t="n">
        <x:v>86.74</x:v>
      </x:c>
      <x:c r="J575" s="76" t="str">
        <x:v>SIP</x:v>
      </x:c>
    </x:row>
    <x:row r="576">
      <x:c r="A576" s="50" t="str">
        <x:v>019fdca4-4ad2-7a2a-bab2-1b60dd5f7f72</x:v>
      </x:c>
      <x:c r="B576" s="50" t="str">
        <x:v>CEG</x:v>
      </x:c>
      <x:c r="C576" s="70" t="n">
        <x:v>46241.60627798611</x:v>
      </x:c>
      <x:c r="D576" s="50" t="str">
        <x:v>SWING_SETUP</x:v>
      </x:c>
      <x:c r="E576" s="50" t="str">
        <x:v>CEG SWING SETUP</x:v>
      </x:c>
      <x:c r="F576" s="50" t="str">
        <x:v>WATCH</x:v>
      </x:c>
      <x:c r="G576" s="50"/>
      <x:c r="H576" s="50" t="str">
        <x:v>LONG</x:v>
      </x:c>
      <x:c r="I576" s="71" t="n">
        <x:v>266.555</x:v>
      </x:c>
      <x:c r="J576" s="76" t="str">
        <x:v>SIP</x:v>
      </x:c>
    </x:row>
    <x:row r="577">
      <x:c r="A577" s="50" t="str">
        <x:v>019fdca4-4b3d-70ac-a266-971ce869b90f</x:v>
      </x:c>
      <x:c r="B577" s="50" t="str">
        <x:v>SHW</x:v>
      </x:c>
      <x:c r="C577" s="70" t="n">
        <x:v>46241.606279224536</x:v>
      </x:c>
      <x:c r="D577" s="50" t="str">
        <x:v>SWING_SETUP</x:v>
      </x:c>
      <x:c r="E577" s="50" t="str">
        <x:v>SHW SWING SETUP</x:v>
      </x:c>
      <x:c r="F577" s="50" t="str">
        <x:v>WATCH</x:v>
      </x:c>
      <x:c r="G577" s="50"/>
      <x:c r="H577" s="50" t="str">
        <x:v>LONG</x:v>
      </x:c>
      <x:c r="I577" s="71" t="n">
        <x:v>371.495</x:v>
      </x:c>
      <x:c r="J577" s="76" t="str">
        <x:v>SIP</x:v>
      </x:c>
    </x:row>
    <x:row r="578">
      <x:c r="A578" s="50" t="str">
        <x:v>019fdca4-4b7f-765d-9775-ff2ae490b919</x:v>
      </x:c>
      <x:c r="B578" s="50" t="str">
        <x:v>ECL</x:v>
      </x:c>
      <x:c r="C578" s="70" t="n">
        <x:v>46241.606279988424</x:v>
      </x:c>
      <x:c r="D578" s="50" t="str">
        <x:v>LONG_BUY_ZONE</x:v>
      </x:c>
      <x:c r="E578" s="50" t="str">
        <x:v>ECL LONG BUY ZONE</x:v>
      </x:c>
      <x:c r="F578" s="50" t="str">
        <x:v>WATCH</x:v>
      </x:c>
      <x:c r="G578" s="50"/>
      <x:c r="H578" s="50" t="str">
        <x:v>LONG</x:v>
      </x:c>
      <x:c r="I578" s="71" t="n">
        <x:v>287.05</x:v>
      </x:c>
      <x:c r="J578" s="76" t="str">
        <x:v>SIP</x:v>
      </x:c>
    </x:row>
    <x:row r="579">
      <x:c r="A579" s="50" t="str">
        <x:v>019fdca4-4d12-7c26-b5b6-f6182b3e0d78</x:v>
      </x:c>
      <x:c r="B579" s="50" t="str">
        <x:v>BLK</x:v>
      </x:c>
      <x:c r="C579" s="70" t="n">
        <x:v>46241.60628465278</x:v>
      </x:c>
      <x:c r="D579" s="50" t="str">
        <x:v>SWING_SETUP</x:v>
      </x:c>
      <x:c r="E579" s="50" t="str">
        <x:v>BLK SWING SETUP</x:v>
      </x:c>
      <x:c r="F579" s="50" t="str">
        <x:v>WATCH</x:v>
      </x:c>
      <x:c r="G579" s="50"/>
      <x:c r="H579" s="50" t="str">
        <x:v>LONG</x:v>
      </x:c>
      <x:c r="I579" s="71" t="n">
        <x:v>1139.5</x:v>
      </x:c>
      <x:c r="J579" s="76" t="str">
        <x:v>SIP</x:v>
      </x:c>
    </x:row>
    <x:row r="580">
      <x:c r="A580" s="50" t="str">
        <x:v>019fdca4-4f81-76ae-a465-92e125d680f4</x:v>
      </x:c>
      <x:c r="B580" s="50" t="str">
        <x:v>APD</x:v>
      </x:c>
      <x:c r="C580" s="70" t="n">
        <x:v>46241.60629186343</x:v>
      </x:c>
      <x:c r="D580" s="50" t="str">
        <x:v>LONG_BUY_ZONE</x:v>
      </x:c>
      <x:c r="E580" s="50" t="str">
        <x:v>APD LONG BUY ZONE</x:v>
      </x:c>
      <x:c r="F580" s="50" t="str">
        <x:v>WATCH</x:v>
      </x:c>
      <x:c r="G580" s="50"/>
      <x:c r="H580" s="50" t="str">
        <x:v>LONG</x:v>
      </x:c>
      <x:c r="I580" s="71" t="n">
        <x:v>300.5</x:v>
      </x:c>
      <x:c r="J580" s="76" t="str">
        <x:v>SIP</x:v>
      </x:c>
    </x:row>
    <x:row r="581">
      <x:c r="A581" s="50" t="str">
        <x:v>019fdca4-4f93-723f-8cfd-93fd3f2874d1</x:v>
      </x:c>
      <x:c r="B581" s="50" t="str">
        <x:v>XOM</x:v>
      </x:c>
      <x:c r="C581" s="70" t="n">
        <x:v>46241.60629207176</x:v>
      </x:c>
      <x:c r="D581" s="50" t="str">
        <x:v>LONG_BUY_ZONE</x:v>
      </x:c>
      <x:c r="E581" s="50" t="str">
        <x:v>XOM LONG BUY ZONE</x:v>
      </x:c>
      <x:c r="F581" s="50" t="str">
        <x:v>WATCH</x:v>
      </x:c>
      <x:c r="G581" s="50"/>
      <x:c r="H581" s="50" t="str">
        <x:v>LONG</x:v>
      </x:c>
      <x:c r="I581" s="71" t="n">
        <x:v>152.47</x:v>
      </x:c>
      <x:c r="J581" s="76" t="str">
        <x:v>SIP</x:v>
      </x:c>
    </x:row>
    <x:row r="582">
      <x:c r="A582" s="50" t="str">
        <x:v>019fdca4-517b-7a81-ae1f-2a9b6f7a2db2</x:v>
      </x:c>
      <x:c r="B582" s="50" t="str">
        <x:v>ABBV</x:v>
      </x:c>
      <x:c r="C582" s="70" t="n">
        <x:v>46241.60629771991</x:v>
      </x:c>
      <x:c r="D582" s="50" t="str">
        <x:v>LONG_BUY_ZONE</x:v>
      </x:c>
      <x:c r="E582" s="50" t="str">
        <x:v>ABBV LONG BUY ZONE</x:v>
      </x:c>
      <x:c r="F582" s="50" t="str">
        <x:v>WATCH</x:v>
      </x:c>
      <x:c r="G582" s="50"/>
      <x:c r="H582" s="50" t="str">
        <x:v>LONG</x:v>
      </x:c>
      <x:c r="I582" s="71" t="n">
        <x:v>243.97</x:v>
      </x:c>
      <x:c r="J582" s="76" t="str">
        <x:v>SIP</x:v>
      </x:c>
    </x:row>
    <x:row r="583">
      <x:c r="A583" s="50" t="str">
        <x:v>019fdca5-32f4-74f8-aae1-6d5378f70e3f</x:v>
      </x:c>
      <x:c r="B583" s="50" t="str">
        <x:v>DE</x:v>
      </x:c>
      <x:c r="C583" s="70" t="n">
        <x:v>46241.60696578704</x:v>
      </x:c>
      <x:c r="D583" s="50" t="str">
        <x:v>SWING_SETUP</x:v>
      </x:c>
      <x:c r="E583" s="50" t="str">
        <x:v>DE SWING SETUP</x:v>
      </x:c>
      <x:c r="F583" s="50" t="str">
        <x:v>WATCH</x:v>
      </x:c>
      <x:c r="G583" s="50"/>
      <x:c r="H583" s="50" t="str">
        <x:v>LONG</x:v>
      </x:c>
      <x:c r="I583" s="71" t="n">
        <x:v>622.255</x:v>
      </x:c>
      <x:c r="J583" s="76" t="str">
        <x:v>SIP</x:v>
      </x:c>
    </x:row>
    <x:row r="584">
      <x:c r="A584" s="50" t="str">
        <x:v>019fdca5-3307-7a26-9a25-090cbbc247db</x:v>
      </x:c>
      <x:c r="B584" s="50" t="str">
        <x:v>DCTH</x:v>
      </x:c>
      <x:c r="C584" s="70" t="n">
        <x:v>46241.60696600695</x:v>
      </x:c>
      <x:c r="D584" s="50" t="str">
        <x:v>SWING_SETUP</x:v>
      </x:c>
      <x:c r="E584" s="50" t="str">
        <x:v>DCTH SWING SETUP</x:v>
      </x:c>
      <x:c r="F584" s="50" t="str">
        <x:v>WATCH</x:v>
      </x:c>
      <x:c r="G584" s="50"/>
      <x:c r="H584" s="50" t="str">
        <x:v>LONG</x:v>
      </x:c>
      <x:c r="I584" s="71" t="n">
        <x:v>15.695</x:v>
      </x:c>
      <x:c r="J584" s="76" t="str">
        <x:v>SIP</x:v>
      </x:c>
    </x:row>
    <x:row r="585">
      <x:c r="A585" s="50" t="str">
        <x:v>019fdca5-331c-7339-9145-76dd16767cce</x:v>
      </x:c>
      <x:c r="B585" s="50" t="str">
        <x:v>PM</x:v>
      </x:c>
      <x:c r="C585" s="70" t="n">
        <x:v>46241.60696625</x:v>
      </x:c>
      <x:c r="D585" s="50" t="str">
        <x:v>SWING_SETUP</x:v>
      </x:c>
      <x:c r="E585" s="50" t="str">
        <x:v>PM SWING SETUP</x:v>
      </x:c>
      <x:c r="F585" s="50" t="str">
        <x:v>WATCH</x:v>
      </x:c>
      <x:c r="G585" s="50"/>
      <x:c r="H585" s="50" t="str">
        <x:v>LONG</x:v>
      </x:c>
      <x:c r="I585" s="71" t="n">
        <x:v>188.765</x:v>
      </x:c>
      <x:c r="J585" s="76" t="str">
        <x:v>SIP</x:v>
      </x:c>
    </x:row>
    <x:row r="586">
      <x:c r="A586" s="50" t="str">
        <x:v>019fdca5-3365-71de-99e9-becfb23dd1ad</x:v>
      </x:c>
      <x:c r="B586" s="50" t="str">
        <x:v>MMM</x:v>
      </x:c>
      <x:c r="C586" s="70" t="n">
        <x:v>46241.60696709491</x:v>
      </x:c>
      <x:c r="D586" s="50" t="str">
        <x:v>SWING_SETUP</x:v>
      </x:c>
      <x:c r="E586" s="50" t="str">
        <x:v>MMM SWING SETUP</x:v>
      </x:c>
      <x:c r="F586" s="50" t="str">
        <x:v>WATCH</x:v>
      </x:c>
      <x:c r="G586" s="50"/>
      <x:c r="H586" s="50" t="str">
        <x:v>LONG</x:v>
      </x:c>
      <x:c r="I586" s="71" t="n">
        <x:v>182.235</x:v>
      </x:c>
      <x:c r="J586" s="76" t="str">
        <x:v>SIP</x:v>
      </x:c>
    </x:row>
    <x:row r="587">
      <x:c r="A587" s="50" t="str">
        <x:v>019fdca5-336f-76e5-bea3-25fe3c4b4f19</x:v>
      </x:c>
      <x:c r="B587" s="50" t="str">
        <x:v>ABT</x:v>
      </x:c>
      <x:c r="C587" s="70" t="n">
        <x:v>46241.606967210646</x:v>
      </x:c>
      <x:c r="D587" s="50" t="str">
        <x:v>SWING_SETUP</x:v>
      </x:c>
      <x:c r="E587" s="50" t="str">
        <x:v>ABT SWING SETUP</x:v>
      </x:c>
      <x:c r="F587" s="50" t="str">
        <x:v>WATCH</x:v>
      </x:c>
      <x:c r="G587" s="50"/>
      <x:c r="H587" s="50" t="str">
        <x:v>LONG</x:v>
      </x:c>
      <x:c r="I587" s="71" t="n">
        <x:v>107.77</x:v>
      </x:c>
      <x:c r="J587" s="76" t="str">
        <x:v>SIP</x:v>
      </x:c>
    </x:row>
    <x:row r="588">
      <x:c r="A588" s="50" t="str">
        <x:v>019fdca5-33be-748f-81b4-8d05cc51352d</x:v>
      </x:c>
      <x:c r="B588" s="50" t="str">
        <x:v>ACHV</x:v>
      </x:c>
      <x:c r="C588" s="70" t="n">
        <x:v>46241.606968125</x:v>
      </x:c>
      <x:c r="D588" s="50" t="str">
        <x:v>SWING_SETUP</x:v>
      </x:c>
      <x:c r="E588" s="50" t="str">
        <x:v>ACHV SWING SETUP</x:v>
      </x:c>
      <x:c r="F588" s="50" t="str">
        <x:v>WATCH</x:v>
      </x:c>
      <x:c r="G588" s="50"/>
      <x:c r="H588" s="50" t="str">
        <x:v>LONG</x:v>
      </x:c>
      <x:c r="I588" s="71" t="n">
        <x:v>6.66</x:v>
      </x:c>
      <x:c r="J588" s="76" t="str">
        <x:v>SIP</x:v>
      </x:c>
    </x:row>
    <x:row r="589">
      <x:c r="A589" s="50" t="str">
        <x:v>019fdca5-33fd-7ba3-9c38-b13600c20f55</x:v>
      </x:c>
      <x:c r="B589" s="50" t="str">
        <x:v>GD</x:v>
      </x:c>
      <x:c r="C589" s="70" t="n">
        <x:v>46241.60696885417</x:v>
      </x:c>
      <x:c r="D589" s="50" t="str">
        <x:v>SWING_SETUP</x:v>
      </x:c>
      <x:c r="E589" s="50" t="str">
        <x:v>GD SWING SETUP</x:v>
      </x:c>
      <x:c r="F589" s="50" t="str">
        <x:v>WATCH</x:v>
      </x:c>
      <x:c r="G589" s="50"/>
      <x:c r="H589" s="50" t="str">
        <x:v>LONG</x:v>
      </x:c>
      <x:c r="I589" s="71" t="n">
        <x:v>385.77</x:v>
      </x:c>
      <x:c r="J589" s="76" t="str">
        <x:v>SIP</x:v>
      </x:c>
    </x:row>
    <x:row r="590">
      <x:c r="A590" s="50" t="str">
        <x:v>019fdca5-34d3-7001-b33b-f8b49af46f7b</x:v>
      </x:c>
      <x:c r="B590" s="50" t="str">
        <x:v>DE</x:v>
      </x:c>
      <x:c r="C590" s="70" t="n">
        <x:v>46241.60697133102</x:v>
      </x:c>
      <x:c r="D590" s="50" t="str">
        <x:v>LONG_BUY_ZONE</x:v>
      </x:c>
      <x:c r="E590" s="50" t="str">
        <x:v>DE LONG BUY ZONE</x:v>
      </x:c>
      <x:c r="F590" s="50" t="str">
        <x:v>WATCH</x:v>
      </x:c>
      <x:c r="G590" s="50"/>
      <x:c r="H590" s="50" t="str">
        <x:v>LONG</x:v>
      </x:c>
      <x:c r="I590" s="71" t="n">
        <x:v>621.51</x:v>
      </x:c>
      <x:c r="J590" s="76" t="str">
        <x:v>SIP</x:v>
      </x:c>
    </x:row>
    <x:row r="591">
      <x:c r="A591" s="50" t="str">
        <x:v>019fdca5-34fc-7c4d-865d-6cb13449581d</x:v>
      </x:c>
      <x:c r="B591" s="50" t="str">
        <x:v>RCL</x:v>
      </x:c>
      <x:c r="C591" s="70" t="n">
        <x:v>46241.60697180556</x:v>
      </x:c>
      <x:c r="D591" s="50" t="str">
        <x:v>SWING_SETUP</x:v>
      </x:c>
      <x:c r="E591" s="50" t="str">
        <x:v>RCL SWING SETUP</x:v>
      </x:c>
      <x:c r="F591" s="50" t="str">
        <x:v>WATCH</x:v>
      </x:c>
      <x:c r="G591" s="50"/>
      <x:c r="H591" s="50" t="str">
        <x:v>LONG</x:v>
      </x:c>
      <x:c r="I591" s="71" t="n">
        <x:v>320.01</x:v>
      </x:c>
      <x:c r="J591" s="76" t="str">
        <x:v>SIP</x:v>
      </x:c>
    </x:row>
    <x:row r="592">
      <x:c r="A592" s="50" t="str">
        <x:v>019fdca5-35cd-7c55-af54-556dcd79dd7d</x:v>
      </x:c>
      <x:c r="B592" s="50" t="str">
        <x:v>HRL</x:v>
      </x:c>
      <x:c r="C592" s="70" t="n">
        <x:v>46241.60697422454</x:v>
      </x:c>
      <x:c r="D592" s="50" t="str">
        <x:v>ENTRY_WATCH</x:v>
      </x:c>
      <x:c r="E592" s="50" t="str">
        <x:v>HRL ENTRY BREAKAWAY WATCH</x:v>
      </x:c>
      <x:c r="F592" s="50" t="str">
        <x:v>WATCH</x:v>
      </x:c>
      <x:c r="G592" s="50"/>
      <x:c r="H592" s="50" t="str">
        <x:v>LONG</x:v>
      </x:c>
      <x:c r="I592" s="71" t="n">
        <x:v>25.305</x:v>
      </x:c>
      <x:c r="J592" s="76" t="str">
        <x:v>SIP</x:v>
      </x:c>
    </x:row>
    <x:row r="593">
      <x:c r="A593" s="50" t="str">
        <x:v>019fdca5-3a16-7892-a427-798c35255cfe</x:v>
      </x:c>
      <x:c r="B593" s="50" t="str">
        <x:v>GS</x:v>
      </x:c>
      <x:c r="C593" s="70" t="n">
        <x:v>46241.606986921295</x:v>
      </x:c>
      <x:c r="D593" s="50" t="str">
        <x:v>LONG_BUY_ZONE</x:v>
      </x:c>
      <x:c r="E593" s="50" t="str">
        <x:v>GS LONG BUY ZONE</x:v>
      </x:c>
      <x:c r="F593" s="50" t="str">
        <x:v>WATCH</x:v>
      </x:c>
      <x:c r="G593" s="50"/>
      <x:c r="H593" s="50" t="str">
        <x:v>LONG</x:v>
      </x:c>
      <x:c r="I593" s="71" t="n">
        <x:v>1041.26</x:v>
      </x:c>
      <x:c r="J593" s="76" t="str">
        <x:v>SIP</x:v>
      </x:c>
    </x:row>
    <x:row r="594">
      <x:c r="A594" s="50" t="str">
        <x:v>019fdca6-1e68-77aa-a425-275a8ecbbe52</x:v>
      </x:c>
      <x:c r="B594" s="50" t="str">
        <x:v>HRL</x:v>
      </x:c>
      <x:c r="C594" s="70" t="n">
        <x:v>46241.60766342592</x:v>
      </x:c>
      <x:c r="D594" s="50" t="str">
        <x:v>ENTRY_WATCH</x:v>
      </x:c>
      <x:c r="E594" s="50" t="str">
        <x:v>HRL ENTRY IN_ZONE EARLY WATCH</x:v>
      </x:c>
      <x:c r="F594" s="50" t="str">
        <x:v>WATCH</x:v>
      </x:c>
      <x:c r="G594" s="50"/>
      <x:c r="H594" s="50" t="str">
        <x:v>LONG</x:v>
      </x:c>
      <x:c r="I594" s="71" t="n">
        <x:v>25.27</x:v>
      </x:c>
      <x:c r="J594" s="76" t="str">
        <x:v>SIP</x:v>
      </x:c>
    </x:row>
    <x:row r="595">
      <x:c r="A595" s="50" t="str">
        <x:v>019fdca6-267a-778d-ab39-edac90142e97</x:v>
      </x:c>
      <x:c r="B595" s="50" t="str">
        <x:v>RCL</x:v>
      </x:c>
      <x:c r="C595" s="70" t="n">
        <x:v>46241.607687337964</x:v>
      </x:c>
      <x:c r="D595" s="50" t="str">
        <x:v>LONG_BUY_ZONE</x:v>
      </x:c>
      <x:c r="E595" s="50" t="str">
        <x:v>RCL LONG BUY ZONE</x:v>
      </x:c>
      <x:c r="F595" s="50" t="str">
        <x:v>WATCH</x:v>
      </x:c>
      <x:c r="G595" s="50"/>
      <x:c r="H595" s="50" t="str">
        <x:v>LONG</x:v>
      </x:c>
      <x:c r="I595" s="71" t="n">
        <x:v>320.39</x:v>
      </x:c>
      <x:c r="J595" s="76" t="str">
        <x:v>SIP</x:v>
      </x:c>
    </x:row>
    <x:row r="596">
      <x:c r="A596" s="50" t="str">
        <x:v>019fdca7-08c9-7136-b139-6da04ddc8ce3</x:v>
      </x:c>
      <x:c r="B596" s="50" t="str">
        <x:v>INTU</x:v>
      </x:c>
      <x:c r="C596" s="70" t="n">
        <x:v>46241.608357881945</x:v>
      </x:c>
      <x:c r="D596" s="50" t="str">
        <x:v>SWING_SETUP</x:v>
      </x:c>
      <x:c r="E596" s="50" t="str">
        <x:v>INTU SWING SETUP</x:v>
      </x:c>
      <x:c r="F596" s="50" t="str">
        <x:v>WATCH</x:v>
      </x:c>
      <x:c r="G596" s="50"/>
      <x:c r="H596" s="50" t="str">
        <x:v>LONG</x:v>
      </x:c>
      <x:c r="I596" s="71" t="n">
        <x:v>334.69</x:v>
      </x:c>
      <x:c r="J596" s="76" t="str">
        <x:v>SIP</x:v>
      </x:c>
    </x:row>
    <x:row r="597">
      <x:c r="A597" s="50" t="str">
        <x:v>019fdca7-0b46-723f-8999-58c01768ae88</x:v>
      </x:c>
      <x:c r="B597" s="50" t="str">
        <x:v>CLPT</x:v>
      </x:c>
      <x:c r="C597" s="70" t="n">
        <x:v>46241.60836525463</x:v>
      </x:c>
      <x:c r="D597" s="50" t="str">
        <x:v>ENTRY_WATCH</x:v>
      </x:c>
      <x:c r="E597" s="50" t="str">
        <x:v>CLPT ENTRY BREAKAWAY WATCH</x:v>
      </x:c>
      <x:c r="F597" s="50" t="str">
        <x:v>WATCH</x:v>
      </x:c>
      <x:c r="G597" s="50"/>
      <x:c r="H597" s="50" t="str">
        <x:v>LONG</x:v>
      </x:c>
      <x:c r="I597" s="71" t="n">
        <x:v>14.21</x:v>
      </x:c>
      <x:c r="J597" s="76" t="str">
        <x:v>SIP</x:v>
      </x:c>
    </x:row>
    <x:row r="598">
      <x:c r="A598" s="50" t="str">
        <x:v>019fdca7-0bdb-7e5c-95be-2a3bd3c3f798</x:v>
      </x:c>
      <x:c r="B598" s="50" t="str">
        <x:v>XOM</x:v>
      </x:c>
      <x:c r="C598" s="70" t="n">
        <x:v>46241.60836697917</x:v>
      </x:c>
      <x:c r="D598" s="50" t="str">
        <x:v>ENTRY_WATCH</x:v>
      </x:c>
      <x:c r="E598" s="50" t="str">
        <x:v>XOM ENTRY IN_ZONE EARLY WATCH</x:v>
      </x:c>
      <x:c r="F598" s="50" t="str">
        <x:v>WATCH</x:v>
      </x:c>
      <x:c r="G598" s="50"/>
      <x:c r="H598" s="50" t="str">
        <x:v>LONG</x:v>
      </x:c>
      <x:c r="I598" s="71" t="n">
        <x:v>152.42</x:v>
      </x:c>
      <x:c r="J598" s="76" t="str">
        <x:v>SIP</x:v>
      </x:c>
    </x:row>
    <x:row r="599">
      <x:c r="A599" s="50" t="str">
        <x:v>019fdca7-125c-7db1-b730-311b0b747f99</x:v>
      </x:c>
      <x:c r="B599" s="50" t="str">
        <x:v>VZ</x:v>
      </x:c>
      <x:c r="C599" s="70" t="n">
        <x:v>46241.60838625</x:v>
      </x:c>
      <x:c r="D599" s="50" t="str">
        <x:v>LONG_BUY_ZONE</x:v>
      </x:c>
      <x:c r="E599" s="50" t="str">
        <x:v>VZ LONG BUY ZONE</x:v>
      </x:c>
      <x:c r="F599" s="50" t="str">
        <x:v>WATCH</x:v>
      </x:c>
      <x:c r="G599" s="50"/>
      <x:c r="H599" s="50" t="str">
        <x:v>LONG</x:v>
      </x:c>
      <x:c r="I599" s="71" t="n">
        <x:v>46.68</x:v>
      </x:c>
      <x:c r="J599" s="76" t="str">
        <x:v>SIP</x:v>
      </x:c>
    </x:row>
    <x:row r="600">
      <x:c r="A600" s="50" t="str">
        <x:v>019fdca7-f5c5-7979-a4e8-1acf27b9c493</x:v>
      </x:c>
      <x:c r="B600" s="50" t="str">
        <x:v>PYPL</x:v>
      </x:c>
      <x:c r="C600" s="70" t="n">
        <x:v>46241.60906005787</x:v>
      </x:c>
      <x:c r="D600" s="50" t="str">
        <x:v>SWING_SETUP</x:v>
      </x:c>
      <x:c r="E600" s="50" t="str">
        <x:v>PYPL SWING SETUP</x:v>
      </x:c>
      <x:c r="F600" s="50" t="str">
        <x:v>WATCH</x:v>
      </x:c>
      <x:c r="G600" s="50"/>
      <x:c r="H600" s="50" t="str">
        <x:v>LONG</x:v>
      </x:c>
      <x:c r="I600" s="71" t="n">
        <x:v>59.85</x:v>
      </x:c>
      <x:c r="J600" s="76" t="str">
        <x:v>SIP</x:v>
      </x:c>
    </x:row>
    <x:row r="601">
      <x:c r="A601" s="50" t="str">
        <x:v>019fdca7-f648-7902-940c-6ccb3d204881</x:v>
      </x:c>
      <x:c r="B601" s="50" t="str">
        <x:v>HRL</x:v>
      </x:c>
      <x:c r="C601" s="70" t="n">
        <x:v>46241.609061574076</x:v>
      </x:c>
      <x:c r="D601" s="50" t="str">
        <x:v>ENTRY_WATCH</x:v>
      </x:c>
      <x:c r="E601" s="50" t="str">
        <x:v>HRL ENTRY BREAKAWAY WATCH</x:v>
      </x:c>
      <x:c r="F601" s="50" t="str">
        <x:v>WATCH</x:v>
      </x:c>
      <x:c r="G601" s="50"/>
      <x:c r="H601" s="50" t="str">
        <x:v>LONG</x:v>
      </x:c>
      <x:c r="I601" s="71" t="n">
        <x:v>25.32</x:v>
      </x:c>
      <x:c r="J601" s="76" t="str">
        <x:v>SIP</x:v>
      </x:c>
    </x:row>
    <x:row r="602">
      <x:c r="A602" s="50" t="str">
        <x:v>019fdca9-ca05-72f0-9155-87e5175b2493</x:v>
      </x:c>
      <x:c r="B602" s="50" t="str">
        <x:v>OXY</x:v>
      </x:c>
      <x:c r="C602" s="70" t="n">
        <x:v>46241.610447465275</x:v>
      </x:c>
      <x:c r="D602" s="50" t="str">
        <x:v>LONG_BUY_ZONE</x:v>
      </x:c>
      <x:c r="E602" s="50" t="str">
        <x:v>OXY LONG BUY ZONE</x:v>
      </x:c>
      <x:c r="F602" s="50" t="str">
        <x:v>WATCH</x:v>
      </x:c>
      <x:c r="G602" s="50"/>
      <x:c r="H602" s="50" t="str">
        <x:v>LONG</x:v>
      </x:c>
      <x:c r="I602" s="71" t="n">
        <x:v>55.72</x:v>
      </x:c>
      <x:c r="J602" s="76" t="str">
        <x:v>SIP</x:v>
      </x:c>
    </x:row>
    <x:row r="603">
      <x:c r="A603" s="50" t="str">
        <x:v>019fdcaa-b295-7618-a6b3-6381a53e5c7b</x:v>
      </x:c>
      <x:c r="B603" s="50" t="str">
        <x:v>XOM</x:v>
      </x:c>
      <x:c r="C603" s="70" t="n">
        <x:v>46241.61113653935</x:v>
      </x:c>
      <x:c r="D603" s="50" t="str">
        <x:v>ENTRY_WATCH</x:v>
      </x:c>
      <x:c r="E603" s="50" t="str">
        <x:v>XOM ENTRY BREAKAWAY WATCH</x:v>
      </x:c>
      <x:c r="F603" s="50" t="str">
        <x:v>WATCH</x:v>
      </x:c>
      <x:c r="G603" s="50"/>
      <x:c r="H603" s="50" t="str">
        <x:v>LONG</x:v>
      </x:c>
      <x:c r="I603" s="71" t="n">
        <x:v>152.475</x:v>
      </x:c>
      <x:c r="J603" s="76" t="str">
        <x:v>SIP</x:v>
      </x:c>
    </x:row>
    <x:row r="604">
      <x:c r="A604" s="50" t="str">
        <x:v>019fdcaa-b463-7554-b978-430a375f22ba</x:v>
      </x:c>
      <x:c r="B604" s="50" t="str">
        <x:v>CRM</x:v>
      </x:c>
      <x:c r="C604" s="70" t="n">
        <x:v>46241.61114188658</x:v>
      </x:c>
      <x:c r="D604" s="50" t="str">
        <x:v>SWING_SETUP</x:v>
      </x:c>
      <x:c r="E604" s="50" t="str">
        <x:v>CRM SWING SETUP</x:v>
      </x:c>
      <x:c r="F604" s="50" t="str">
        <x:v>WATCH</x:v>
      </x:c>
      <x:c r="G604" s="50"/>
      <x:c r="H604" s="50" t="str">
        <x:v>LONG</x:v>
      </x:c>
      <x:c r="I604" s="71" t="n">
        <x:v>193.785</x:v>
      </x:c>
      <x:c r="J604" s="76" t="str">
        <x:v>SIP</x:v>
      </x:c>
    </x:row>
    <x:row r="605">
      <x:c r="A605" s="50" t="str">
        <x:v>019fdcaa-bc62-748e-983e-a151668fcc31</x:v>
      </x:c>
      <x:c r="B605" s="50" t="str">
        <x:v>KDP</x:v>
      </x:c>
      <x:c r="C605" s="70" t="n">
        <x:v>46241.6111655787</x:v>
      </x:c>
      <x:c r="D605" s="50" t="str">
        <x:v>LONG_BUY_ZONE</x:v>
      </x:c>
      <x:c r="E605" s="50" t="str">
        <x:v>KDP LONG BUY ZONE</x:v>
      </x:c>
      <x:c r="F605" s="50" t="str">
        <x:v>WATCH</x:v>
      </x:c>
      <x:c r="G605" s="50"/>
      <x:c r="H605" s="50" t="str">
        <x:v>LONG</x:v>
      </x:c>
      <x:c r="I605" s="71" t="n">
        <x:v>29.86</x:v>
      </x:c>
      <x:c r="J605" s="76" t="str">
        <x:v>SIP</x:v>
      </x:c>
    </x:row>
    <x:row r="606">
      <x:c r="A606" s="50" t="str">
        <x:v>019fdcab-9e13-74ab-bbd2-f5ace7c0de0f</x:v>
      </x:c>
      <x:c r="B606" s="50" t="str">
        <x:v>KO</x:v>
      </x:c>
      <x:c r="C606" s="70" t="n">
        <x:v>46241.61183429398</x:v>
      </x:c>
      <x:c r="D606" s="50" t="str">
        <x:v>LONG_BUY_ZONE</x:v>
      </x:c>
      <x:c r="E606" s="50" t="str">
        <x:v>KO LONG BUY ZONE</x:v>
      </x:c>
      <x:c r="F606" s="50" t="str">
        <x:v>WATCH</x:v>
      </x:c>
      <x:c r="G606" s="50"/>
      <x:c r="H606" s="50" t="str">
        <x:v>LONG</x:v>
      </x:c>
      <x:c r="I606" s="71" t="n">
        <x:v>86.61</x:v>
      </x:c>
      <x:c r="J606" s="76" t="str">
        <x:v>SIP</x:v>
      </x:c>
    </x:row>
    <x:row r="607">
      <x:c r="A607" s="50" t="str">
        <x:v>019fdcad-71ce-7878-920a-fea305274dc9</x:v>
      </x:c>
      <x:c r="B607" s="50" t="str">
        <x:v>PM</x:v>
      </x:c>
      <x:c r="C607" s="70" t="n">
        <x:v>46241.613220162035</x:v>
      </x:c>
      <x:c r="D607" s="50" t="str">
        <x:v>HIGH_CONVICTION_BUY</x:v>
      </x:c>
      <x:c r="E607" s="50" t="str">
        <x:v>PM HIGH CONVICTION BUY</x:v>
      </x:c>
      <x:c r="F607" s="50" t="str">
        <x:v>CRITICAL</x:v>
      </x:c>
      <x:c r="G607" s="50" t="str">
        <x:v>L3_HIGH_CONVICTION</x:v>
      </x:c>
      <x:c r="H607" s="50" t="str">
        <x:v>LONG</x:v>
      </x:c>
      <x:c r="I607" s="71" t="n">
        <x:v>189.48</x:v>
      </x:c>
      <x:c r="J607" s="76" t="str">
        <x:v>SIP</x:v>
      </x:c>
    </x:row>
    <x:row r="608">
      <x:c r="A608" s="50" t="str">
        <x:v>019fdcae-5dc5-70b5-9f55-9587ba78503c</x:v>
      </x:c>
      <x:c r="B608" s="50" t="str">
        <x:v>APA</x:v>
      </x:c>
      <x:c r="C608" s="70" t="n">
        <x:v>46241.61391931713</x:v>
      </x:c>
      <x:c r="D608" s="50" t="str">
        <x:v>LONG_BUY_ZONE</x:v>
      </x:c>
      <x:c r="E608" s="50" t="str">
        <x:v>APA LONG BUY ZONE</x:v>
      </x:c>
      <x:c r="F608" s="50" t="str">
        <x:v>WATCH</x:v>
      </x:c>
      <x:c r="G608" s="50"/>
      <x:c r="H608" s="50" t="str">
        <x:v>LONG</x:v>
      </x:c>
      <x:c r="I608" s="71" t="n">
        <x:v>36.66</x:v>
      </x:c>
      <x:c r="J608" s="76" t="str">
        <x:v>SIP</x:v>
      </x:c>
    </x:row>
    <x:row r="609">
      <x:c r="A609" s="50" t="str">
        <x:v>019fdcae-6166-74c9-b1aa-fb11f5cb7d83</x:v>
      </x:c>
      <x:c r="B609" s="50" t="str">
        <x:v>MRK</x:v>
      </x:c>
      <x:c r="C609" s="70" t="n">
        <x:v>46241.61393006944</x:v>
      </x:c>
      <x:c r="D609" s="50" t="str">
        <x:v>LONG_BUY_ZONE</x:v>
      </x:c>
      <x:c r="E609" s="50" t="str">
        <x:v>MRK LONG BUY ZONE</x:v>
      </x:c>
      <x:c r="F609" s="50" t="str">
        <x:v>WATCH</x:v>
      </x:c>
      <x:c r="G609" s="50"/>
      <x:c r="H609" s="50" t="str">
        <x:v>LONG</x:v>
      </x:c>
      <x:c r="I609" s="71" t="n">
        <x:v>127.245</x:v>
      </x:c>
      <x:c r="J609" s="76" t="str">
        <x:v>SIP</x:v>
      </x:c>
    </x:row>
    <x:row r="610">
      <x:c r="A610" s="50" t="str">
        <x:v>019fdcae-65f3-7b5f-82e2-1581c5f7d8b6</x:v>
      </x:c>
      <x:c r="B610" s="50" t="str">
        <x:v>APH</x:v>
      </x:c>
      <x:c r="C610" s="70" t="n">
        <x:v>46241.61394355324</x:v>
      </x:c>
      <x:c r="D610" s="50" t="str">
        <x:v>LONG_BUY_ZONE</x:v>
      </x:c>
      <x:c r="E610" s="50" t="str">
        <x:v>APH LONG BUY ZONE</x:v>
      </x:c>
      <x:c r="F610" s="50" t="str">
        <x:v>WATCH</x:v>
      </x:c>
      <x:c r="G610" s="50"/>
      <x:c r="H610" s="50" t="str">
        <x:v>LONG</x:v>
      </x:c>
      <x:c r="I610" s="71" t="n">
        <x:v>168.25</x:v>
      </x:c>
      <x:c r="J610" s="76" t="str">
        <x:v>SIP</x:v>
      </x:c>
    </x:row>
    <x:row r="611">
      <x:c r="A611" s="50" t="str">
        <x:v>019fdcaf-4649-75b7-a5a4-e2ddc042c93f</x:v>
      </x:c>
      <x:c r="B611" s="50" t="str">
        <x:v>SBUX</x:v>
      </x:c>
      <x:c r="C611" s="70" t="n">
        <x:v>46241.61460825231</x:v>
      </x:c>
      <x:c r="D611" s="50" t="str">
        <x:v>LONG_BUY_ZONE</x:v>
      </x:c>
      <x:c r="E611" s="50" t="str">
        <x:v>SBUX LONG BUY ZONE</x:v>
      </x:c>
      <x:c r="F611" s="50" t="str">
        <x:v>WATCH</x:v>
      </x:c>
      <x:c r="G611" s="50"/>
      <x:c r="H611" s="50" t="str">
        <x:v>LONG</x:v>
      </x:c>
      <x:c r="I611" s="71" t="n">
        <x:v>105.78</x:v>
      </x:c>
      <x:c r="J611" s="76" t="str">
        <x:v>SIP</x:v>
      </x:c>
    </x:row>
    <x:row r="612">
      <x:c r="A612" s="50" t="str">
        <x:v>019fdcb0-2f9e-79c9-9a2f-a6b12aa18bc8</x:v>
      </x:c>
      <x:c r="B612" s="50" t="str">
        <x:v>ETN</x:v>
      </x:c>
      <x:c r="C612" s="70" t="n">
        <x:v>46241.615299606485</x:v>
      </x:c>
      <x:c r="D612" s="50" t="str">
        <x:v>SWING_SETUP</x:v>
      </x:c>
      <x:c r="E612" s="50" t="str">
        <x:v>ETN SWING SETUP</x:v>
      </x:c>
      <x:c r="F612" s="50" t="str">
        <x:v>WATCH</x:v>
      </x:c>
      <x:c r="G612" s="50"/>
      <x:c r="H612" s="50" t="str">
        <x:v>LONG</x:v>
      </x:c>
      <x:c r="I612" s="71" t="n">
        <x:v>449.775</x:v>
      </x:c>
      <x:c r="J612" s="76" t="str">
        <x:v>SIP</x:v>
      </x:c>
    </x:row>
    <x:row r="613">
      <x:c r="A613" s="50" t="str">
        <x:v>019fdcb0-30c5-7c8d-8bdf-3f54cc323cc1</x:v>
      </x:c>
      <x:c r="B613" s="50" t="str">
        <x:v>AMZN</x:v>
      </x:c>
      <x:c r="C613" s="70" t="n">
        <x:v>46241.61530302083</x:v>
      </x:c>
      <x:c r="D613" s="50" t="str">
        <x:v>ENTRY_CONFIRMED</x:v>
      </x:c>
      <x:c r="E613" s="50" t="str">
        <x:v>AMZN ENTRY CONFIRMED</x:v>
      </x:c>
      <x:c r="F613" s="50" t="str">
        <x:v>ACTION</x:v>
      </x:c>
      <x:c r="G613" s="50" t="str">
        <x:v>L2_SWING_CONFIRMED</x:v>
      </x:c>
      <x:c r="H613" s="50" t="str">
        <x:v>LONG</x:v>
      </x:c>
      <x:c r="I613" s="71" t="n">
        <x:v>276.8</x:v>
      </x:c>
      <x:c r="J613" s="76" t="str">
        <x:v>SIP</x:v>
      </x:c>
    </x:row>
    <x:row r="614">
      <x:c r="A614" s="50" t="str">
        <x:v>019fdcb0-32a1-7c31-a203-3b427df14a94</x:v>
      </x:c>
      <x:c r="B614" s="50" t="str">
        <x:v>TTWO</x:v>
      </x:c>
      <x:c r="C614" s="70" t="n">
        <x:v>46241.61530853009</x:v>
      </x:c>
      <x:c r="D614" s="50" t="str">
        <x:v>SWING_SETUP</x:v>
      </x:c>
      <x:c r="E614" s="50" t="str">
        <x:v>TTWO SWING SETUP</x:v>
      </x:c>
      <x:c r="F614" s="50" t="str">
        <x:v>WATCH</x:v>
      </x:c>
      <x:c r="G614" s="50"/>
      <x:c r="H614" s="50" t="str">
        <x:v>LONG</x:v>
      </x:c>
      <x:c r="I614" s="71" t="n">
        <x:v>242.8525</x:v>
      </x:c>
      <x:c r="J614" s="76" t="str">
        <x:v>SIP</x:v>
      </x:c>
    </x:row>
    <x:row r="615">
      <x:c r="A615" s="50" t="str">
        <x:v>019fdcb0-3433-71f0-89e7-648fde123ac0</x:v>
      </x:c>
      <x:c r="B615" s="50" t="str">
        <x:v>LMT</x:v>
      </x:c>
      <x:c r="C615" s="70" t="n">
        <x:v>46241.61531318287</x:v>
      </x:c>
      <x:c r="D615" s="50" t="str">
        <x:v>SWING_SETUP</x:v>
      </x:c>
      <x:c r="E615" s="50" t="str">
        <x:v>LMT SWING SETUP</x:v>
      </x:c>
      <x:c r="F615" s="50" t="str">
        <x:v>WATCH</x:v>
      </x:c>
      <x:c r="G615" s="50"/>
      <x:c r="H615" s="50" t="str">
        <x:v>LONG</x:v>
      </x:c>
      <x:c r="I615" s="71" t="n">
        <x:v>580.81</x:v>
      </x:c>
      <x:c r="J615" s="76" t="str">
        <x:v>SIP</x:v>
      </x:c>
    </x:row>
    <x:row r="616">
      <x:c r="A616" s="50" t="str">
        <x:v>019fdcb0-35c8-7bc9-bb18-fa0e85cf34ab</x:v>
      </x:c>
      <x:c r="B616" s="50" t="str">
        <x:v>ONTO</x:v>
      </x:c>
      <x:c r="C616" s="70" t="n">
        <x:v>46241.61531787037</x:v>
      </x:c>
      <x:c r="D616" s="50" t="str">
        <x:v>SWING_SETUP</x:v>
      </x:c>
      <x:c r="E616" s="50" t="str">
        <x:v>ONTO SWING SETUP</x:v>
      </x:c>
      <x:c r="F616" s="50" t="str">
        <x:v>WATCH</x:v>
      </x:c>
      <x:c r="G616" s="50"/>
      <x:c r="H616" s="50" t="str">
        <x:v>LONG</x:v>
      </x:c>
      <x:c r="I616" s="71" t="n">
        <x:v>301.24</x:v>
      </x:c>
      <x:c r="J616" s="76" t="str">
        <x:v>SIP</x:v>
      </x:c>
    </x:row>
    <x:row r="617">
      <x:c r="A617" s="50" t="str">
        <x:v>019fdcb0-366e-74d3-bd66-de851a82a1e9</x:v>
      </x:c>
      <x:c r="B617" s="50" t="str">
        <x:v>BABA</x:v>
      </x:c>
      <x:c r="C617" s="70" t="n">
        <x:v>46241.615319791665</x:v>
      </x:c>
      <x:c r="D617" s="50" t="str">
        <x:v>SWING_SETUP</x:v>
      </x:c>
      <x:c r="E617" s="50" t="str">
        <x:v>BABA SWING SETUP</x:v>
      </x:c>
      <x:c r="F617" s="50" t="str">
        <x:v>WATCH</x:v>
      </x:c>
      <x:c r="G617" s="50"/>
      <x:c r="H617" s="50" t="str">
        <x:v>LONG</x:v>
      </x:c>
      <x:c r="I617" s="71" t="n">
        <x:v>127.425</x:v>
      </x:c>
      <x:c r="J617" s="76" t="str">
        <x:v>SIP</x:v>
      </x:c>
    </x:row>
    <x:row r="618">
      <x:c r="A618" s="50" t="str">
        <x:v>019fdcb0-36e9-737c-be6b-497f083bfe00</x:v>
      </x:c>
      <x:c r="B618" s="50" t="str">
        <x:v>CROX</x:v>
      </x:c>
      <x:c r="C618" s="70" t="n">
        <x:v>46241.61532121528</x:v>
      </x:c>
      <x:c r="D618" s="50" t="str">
        <x:v>SWING_SETUP</x:v>
      </x:c>
      <x:c r="E618" s="50" t="str">
        <x:v>CROX SWING SETUP</x:v>
      </x:c>
      <x:c r="F618" s="50" t="str">
        <x:v>WATCH</x:v>
      </x:c>
      <x:c r="G618" s="50"/>
      <x:c r="H618" s="50" t="str">
        <x:v>LONG</x:v>
      </x:c>
      <x:c r="I618" s="71" t="n">
        <x:v>138.08</x:v>
      </x:c>
      <x:c r="J618" s="76" t="str">
        <x:v>SIP</x:v>
      </x:c>
    </x:row>
    <x:row r="619">
      <x:c r="A619" s="50" t="str">
        <x:v>019fdcb0-370a-7028-a667-611267e06cd5</x:v>
      </x:c>
      <x:c r="B619" s="50" t="str">
        <x:v>PLTR</x:v>
      </x:c>
      <x:c r="C619" s="70" t="n">
        <x:v>46241.61532159722</x:v>
      </x:c>
      <x:c r="D619" s="50" t="str">
        <x:v>SWING_SETUP</x:v>
      </x:c>
      <x:c r="E619" s="50" t="str">
        <x:v>PLTR SWING SETUP</x:v>
      </x:c>
      <x:c r="F619" s="50" t="str">
        <x:v>WATCH</x:v>
      </x:c>
      <x:c r="G619" s="50"/>
      <x:c r="H619" s="50" t="str">
        <x:v>LONG</x:v>
      </x:c>
      <x:c r="I619" s="71" t="n">
        <x:v>168.9151</x:v>
      </x:c>
      <x:c r="J619" s="76" t="str">
        <x:v>SIP</x:v>
      </x:c>
    </x:row>
    <x:row r="620">
      <x:c r="A620" s="50" t="str">
        <x:v>019fdcb0-3762-7396-bb1d-6b5948c7e5f5</x:v>
      </x:c>
      <x:c r="B620" s="50" t="str">
        <x:v>SE</x:v>
      </x:c>
      <x:c r="C620" s="70" t="n">
        <x:v>46241.61532261574</x:v>
      </x:c>
      <x:c r="D620" s="50" t="str">
        <x:v>SWING_SETUP</x:v>
      </x:c>
      <x:c r="E620" s="50" t="str">
        <x:v>SE SWING SETUP</x:v>
      </x:c>
      <x:c r="F620" s="50" t="str">
        <x:v>WATCH</x:v>
      </x:c>
      <x:c r="G620" s="50"/>
      <x:c r="H620" s="50" t="str">
        <x:v>LONG</x:v>
      </x:c>
      <x:c r="I620" s="71" t="n">
        <x:v>112.89</x:v>
      </x:c>
      <x:c r="J620" s="76" t="str">
        <x:v>SIP</x:v>
      </x:c>
    </x:row>
    <x:row r="621">
      <x:c r="A621" s="50" t="str">
        <x:v>019fdcb0-379d-7ab5-9e6e-3e3d98940b8e</x:v>
      </x:c>
      <x:c r="B621" s="50" t="str">
        <x:v>AMGN</x:v>
      </x:c>
      <x:c r="C621" s="70" t="n">
        <x:v>46241.61532329861</x:v>
      </x:c>
      <x:c r="D621" s="50" t="str">
        <x:v>SWING_SETUP</x:v>
      </x:c>
      <x:c r="E621" s="50" t="str">
        <x:v>AMGN SWING SETUP</x:v>
      </x:c>
      <x:c r="F621" s="50" t="str">
        <x:v>WATCH</x:v>
      </x:c>
      <x:c r="G621" s="50"/>
      <x:c r="H621" s="50" t="str">
        <x:v>LONG</x:v>
      </x:c>
      <x:c r="I621" s="71" t="n">
        <x:v>406.995</x:v>
      </x:c>
      <x:c r="J621" s="76" t="str">
        <x:v>SIP</x:v>
      </x:c>
    </x:row>
    <x:row r="622">
      <x:c r="A622" s="50" t="str">
        <x:v>019fdcb1-18d5-77f8-89d0-0269b977f4b2</x:v>
      </x:c>
      <x:c r="B622" s="50" t="str">
        <x:v>RIOT</x:v>
      </x:c>
      <x:c r="C622" s="70" t="n">
        <x:v>46241.61599061343</x:v>
      </x:c>
      <x:c r="D622" s="50" t="str">
        <x:v>ENTRY_WATCH</x:v>
      </x:c>
      <x:c r="E622" s="50" t="str">
        <x:v>RIOT ENTRY BREAKAWAY WATCH</x:v>
      </x:c>
      <x:c r="F622" s="50" t="str">
        <x:v>WATCH</x:v>
      </x:c>
      <x:c r="G622" s="50"/>
      <x:c r="H622" s="50" t="str">
        <x:v>LONG</x:v>
      </x:c>
      <x:c r="I622" s="71" t="n">
        <x:v>20.68</x:v>
      </x:c>
      <x:c r="J622" s="76" t="str">
        <x:v>SIP</x:v>
      </x:c>
    </x:row>
    <x:row r="623">
      <x:c r="A623" s="50" t="str">
        <x:v>019fdcb1-1c07-7515-b89e-d2b735202c37</x:v>
      </x:c>
      <x:c r="B623" s="50" t="str">
        <x:v>NOVT</x:v>
      </x:c>
      <x:c r="C623" s="70" t="n">
        <x:v>46241.61600008102</x:v>
      </x:c>
      <x:c r="D623" s="50" t="str">
        <x:v>SWING_SETUP</x:v>
      </x:c>
      <x:c r="E623" s="50" t="str">
        <x:v>NOVT SWING SETUP</x:v>
      </x:c>
      <x:c r="F623" s="50" t="str">
        <x:v>WATCH</x:v>
      </x:c>
      <x:c r="G623" s="50"/>
      <x:c r="H623" s="50" t="str">
        <x:v>LONG</x:v>
      </x:c>
      <x:c r="I623" s="71" t="n">
        <x:v>169.565</x:v>
      </x:c>
      <x:c r="J623" s="76" t="str">
        <x:v>SIP</x:v>
      </x:c>
    </x:row>
    <x:row r="624">
      <x:c r="A624" s="50" t="str">
        <x:v>019fdcb1-1c63-7d56-8bfc-a885e18b0c40</x:v>
      </x:c>
      <x:c r="B624" s="50" t="str">
        <x:v>HRL</x:v>
      </x:c>
      <x:c r="C624" s="70" t="n">
        <x:v>46241.61600113426</x:v>
      </x:c>
      <x:c r="D624" s="50" t="str">
        <x:v>SWING_SETUP</x:v>
      </x:c>
      <x:c r="E624" s="50" t="str">
        <x:v>HRL SWING SETUP</x:v>
      </x:c>
      <x:c r="F624" s="50" t="str">
        <x:v>WATCH</x:v>
      </x:c>
      <x:c r="G624" s="50"/>
      <x:c r="H624" s="50" t="str">
        <x:v>LONG</x:v>
      </x:c>
      <x:c r="I624" s="71" t="n">
        <x:v>25.365</x:v>
      </x:c>
      <x:c r="J624" s="76" t="str">
        <x:v>SIP</x:v>
      </x:c>
    </x:row>
    <x:row r="625">
      <x:c r="A625" s="50" t="str">
        <x:v>019fdcb1-1d07-7f0c-a062-5daa2874143b</x:v>
      </x:c>
      <x:c r="B625" s="50" t="str">
        <x:v>AMZN</x:v>
      </x:c>
      <x:c r="C625" s="70" t="n">
        <x:v>46241.61600304398</x:v>
      </x:c>
      <x:c r="D625" s="50" t="str">
        <x:v>SWING_SETUP</x:v>
      </x:c>
      <x:c r="E625" s="50" t="str">
        <x:v>AMZN SWING SETUP</x:v>
      </x:c>
      <x:c r="F625" s="50" t="str">
        <x:v>WATCH</x:v>
      </x:c>
      <x:c r="G625" s="50"/>
      <x:c r="H625" s="50" t="str">
        <x:v>LONG</x:v>
      </x:c>
      <x:c r="I625" s="71" t="n">
        <x:v>276.65</x:v>
      </x:c>
      <x:c r="J625" s="76" t="str">
        <x:v>SIP</x:v>
      </x:c>
    </x:row>
    <x:row r="626">
      <x:c r="A626" s="50" t="str">
        <x:v>019fdcb1-1d3c-797e-af73-8efbea8fd916</x:v>
      </x:c>
      <x:c r="B626" s="50" t="str">
        <x:v>APA</x:v>
      </x:c>
      <x:c r="C626" s="70" t="n">
        <x:v>46241.61600365741</x:v>
      </x:c>
      <x:c r="D626" s="50" t="str">
        <x:v>SWING_SETUP</x:v>
      </x:c>
      <x:c r="E626" s="50" t="str">
        <x:v>APA SWING SETUP</x:v>
      </x:c>
      <x:c r="F626" s="50" t="str">
        <x:v>WATCH</x:v>
      </x:c>
      <x:c r="G626" s="50"/>
      <x:c r="H626" s="50" t="str">
        <x:v>LONG</x:v>
      </x:c>
      <x:c r="I626" s="71" t="n">
        <x:v>36.62</x:v>
      </x:c>
      <x:c r="J626" s="76" t="str">
        <x:v>SIP</x:v>
      </x:c>
    </x:row>
    <x:row r="627">
      <x:c r="A627" s="50" t="str">
        <x:v>019fdcb1-1d45-709c-98a8-dfec3983502a</x:v>
      </x:c>
      <x:c r="B627" s="50" t="str">
        <x:v>WELL</x:v>
      </x:c>
      <x:c r="C627" s="70" t="n">
        <x:v>46241.61600375</x:v>
      </x:c>
      <x:c r="D627" s="50" t="str">
        <x:v>SWING_SETUP</x:v>
      </x:c>
      <x:c r="E627" s="50" t="str">
        <x:v>WELL SWING SETUP</x:v>
      </x:c>
      <x:c r="F627" s="50" t="str">
        <x:v>WATCH</x:v>
      </x:c>
      <x:c r="G627" s="50"/>
      <x:c r="H627" s="50" t="str">
        <x:v>LONG</x:v>
      </x:c>
      <x:c r="I627" s="71" t="n">
        <x:v>237.12</x:v>
      </x:c>
      <x:c r="J627" s="76" t="str">
        <x:v>SIP</x:v>
      </x:c>
    </x:row>
    <x:row r="628">
      <x:c r="A628" s="50" t="str">
        <x:v>019fdcb1-1d4e-744a-ad67-12fe33ebeba9</x:v>
      </x:c>
      <x:c r="B628" s="50" t="str">
        <x:v>DASH</x:v>
      </x:c>
      <x:c r="C628" s="70" t="n">
        <x:v>46241.616003854164</x:v>
      </x:c>
      <x:c r="D628" s="50" t="str">
        <x:v>SWING_SETUP</x:v>
      </x:c>
      <x:c r="E628" s="50" t="str">
        <x:v>DASH SWING SETUP</x:v>
      </x:c>
      <x:c r="F628" s="50" t="str">
        <x:v>WATCH</x:v>
      </x:c>
      <x:c r="G628" s="50"/>
      <x:c r="H628" s="50" t="str">
        <x:v>LONG</x:v>
      </x:c>
      <x:c r="I628" s="71" t="n">
        <x:v>221.39</x:v>
      </x:c>
      <x:c r="J628" s="76" t="str">
        <x:v>SIP</x:v>
      </x:c>
    </x:row>
    <x:row r="629">
      <x:c r="A629" s="50" t="str">
        <x:v>019fdcb1-1d5e-7c2f-87d2-4c1fe409b2eb</x:v>
      </x:c>
      <x:c r="B629" s="50" t="str">
        <x:v>ABNB</x:v>
      </x:c>
      <x:c r="C629" s="70" t="n">
        <x:v>46241.61600405093</x:v>
      </x:c>
      <x:c r="D629" s="50" t="str">
        <x:v>SWING_SETUP</x:v>
      </x:c>
      <x:c r="E629" s="50" t="str">
        <x:v>ABNB SWING SETUP</x:v>
      </x:c>
      <x:c r="F629" s="50" t="str">
        <x:v>WATCH</x:v>
      </x:c>
      <x:c r="G629" s="50"/>
      <x:c r="H629" s="50" t="str">
        <x:v>LONG</x:v>
      </x:c>
      <x:c r="I629" s="71" t="n">
        <x:v>175.64</x:v>
      </x:c>
      <x:c r="J629" s="76" t="str">
        <x:v>SIP</x:v>
      </x:c>
    </x:row>
    <x:row r="630">
      <x:c r="A630" s="50" t="str">
        <x:v>019fdcb1-1d77-7fc2-be9a-18549f78519d</x:v>
      </x:c>
      <x:c r="B630" s="50" t="str">
        <x:v>DLR</x:v>
      </x:c>
      <x:c r="C630" s="70" t="n">
        <x:v>46241.61600434028</x:v>
      </x:c>
      <x:c r="D630" s="50" t="str">
        <x:v>SWING_SETUP</x:v>
      </x:c>
      <x:c r="E630" s="50" t="str">
        <x:v>DLR SWING SETUP</x:v>
      </x:c>
      <x:c r="F630" s="50" t="str">
        <x:v>WATCH</x:v>
      </x:c>
      <x:c r="G630" s="50"/>
      <x:c r="H630" s="50" t="str">
        <x:v>LONG</x:v>
      </x:c>
      <x:c r="I630" s="71" t="n">
        <x:v>194.79</x:v>
      </x:c>
      <x:c r="J630" s="76" t="str">
        <x:v>SIP</x:v>
      </x:c>
    </x:row>
    <x:row r="631">
      <x:c r="A631" s="50" t="str">
        <x:v>019fdcb1-1dd6-7f0b-8355-04cd26d4284f</x:v>
      </x:c>
      <x:c r="B631" s="50" t="str">
        <x:v>NEM</x:v>
      </x:c>
      <x:c r="C631" s="70" t="n">
        <x:v>46241.61600543981</x:v>
      </x:c>
      <x:c r="D631" s="50" t="str">
        <x:v>SWING_SETUP</x:v>
      </x:c>
      <x:c r="E631" s="50" t="str">
        <x:v>NEM SWING SETUP</x:v>
      </x:c>
      <x:c r="F631" s="50" t="str">
        <x:v>WATCH</x:v>
      </x:c>
      <x:c r="G631" s="50"/>
      <x:c r="H631" s="50" t="str">
        <x:v>LONG</x:v>
      </x:c>
      <x:c r="I631" s="71" t="n">
        <x:v>112.655</x:v>
      </x:c>
      <x:c r="J631" s="76" t="str">
        <x:v>SIP</x:v>
      </x:c>
    </x:row>
    <x:row r="632">
      <x:c r="A632" s="50" t="str">
        <x:v>019fdcb1-1ddd-7776-b3cb-bf5de18d4672</x:v>
      </x:c>
      <x:c r="B632" s="50" t="str">
        <x:v>GRAB</x:v>
      </x:c>
      <x:c r="C632" s="70" t="n">
        <x:v>46241.61600552083</x:v>
      </x:c>
      <x:c r="D632" s="50" t="str">
        <x:v>SWING_SETUP</x:v>
      </x:c>
      <x:c r="E632" s="50" t="str">
        <x:v>GRAB SWING SETUP</x:v>
      </x:c>
      <x:c r="F632" s="50" t="str">
        <x:v>WATCH</x:v>
      </x:c>
      <x:c r="G632" s="50"/>
      <x:c r="H632" s="50" t="str">
        <x:v>LONG</x:v>
      </x:c>
      <x:c r="I632" s="71" t="n">
        <x:v>3.69</x:v>
      </x:c>
      <x:c r="J632" s="76" t="str">
        <x:v>SIP</x:v>
      </x:c>
    </x:row>
    <x:row r="633">
      <x:c r="A633" s="50" t="str">
        <x:v>019fdcb1-1e26-7a5e-b7f8-878cc6847e05</x:v>
      </x:c>
      <x:c r="B633" s="50" t="str">
        <x:v>ANET</x:v>
      </x:c>
      <x:c r="C633" s="70" t="n">
        <x:v>46241.61600636574</x:v>
      </x:c>
      <x:c r="D633" s="50" t="str">
        <x:v>SWING_SETUP</x:v>
      </x:c>
      <x:c r="E633" s="50" t="str">
        <x:v>ANET SWING SETUP</x:v>
      </x:c>
      <x:c r="F633" s="50" t="str">
        <x:v>WATCH</x:v>
      </x:c>
      <x:c r="G633" s="50"/>
      <x:c r="H633" s="50" t="str">
        <x:v>LONG</x:v>
      </x:c>
      <x:c r="I633" s="71" t="n">
        <x:v>189.555</x:v>
      </x:c>
      <x:c r="J633" s="76" t="str">
        <x:v>SIP</x:v>
      </x:c>
    </x:row>
    <x:row r="634">
      <x:c r="A634" s="50" t="str">
        <x:v>019fdcb1-1e3b-727d-b871-afb7875841ab</x:v>
      </x:c>
      <x:c r="B634" s="50" t="str">
        <x:v>NVDA</x:v>
      </x:c>
      <x:c r="C634" s="70" t="n">
        <x:v>46241.6160066088</x:v>
      </x:c>
      <x:c r="D634" s="50" t="str">
        <x:v>SWING_SETUP</x:v>
      </x:c>
      <x:c r="E634" s="50" t="str">
        <x:v>NVDA SWING SETUP</x:v>
      </x:c>
      <x:c r="F634" s="50" t="str">
        <x:v>WATCH</x:v>
      </x:c>
      <x:c r="G634" s="50"/>
      <x:c r="H634" s="50" t="str">
        <x:v>LONG</x:v>
      </x:c>
      <x:c r="I634" s="71" t="n">
        <x:v>222.815</x:v>
      </x:c>
      <x:c r="J634" s="76" t="str">
        <x:v>SIP</x:v>
      </x:c>
    </x:row>
    <x:row r="635">
      <x:c r="A635" s="50" t="str">
        <x:v>019fdcb1-1e90-71d7-a977-5510342bc342</x:v>
      </x:c>
      <x:c r="B635" s="50" t="str">
        <x:v>MDLZ</x:v>
      </x:c>
      <x:c r="C635" s="70" t="n">
        <x:v>46241.616007592595</x:v>
      </x:c>
      <x:c r="D635" s="50" t="str">
        <x:v>SWING_SETUP</x:v>
      </x:c>
      <x:c r="E635" s="50" t="str">
        <x:v>MDLZ SWING SETUP</x:v>
      </x:c>
      <x:c r="F635" s="50" t="str">
        <x:v>WATCH</x:v>
      </x:c>
      <x:c r="G635" s="50"/>
      <x:c r="H635" s="50" t="str">
        <x:v>LONG</x:v>
      </x:c>
      <x:c r="I635" s="71" t="n">
        <x:v>62.965</x:v>
      </x:c>
      <x:c r="J635" s="76" t="str">
        <x:v>SIP</x:v>
      </x:c>
    </x:row>
    <x:row r="636">
      <x:c r="A636" s="50" t="str">
        <x:v>019fdcb1-1e98-707a-9c35-077367d19295</x:v>
      </x:c>
      <x:c r="B636" s="50" t="str">
        <x:v>VZ</x:v>
      </x:c>
      <x:c r="C636" s="70" t="n">
        <x:v>46241.61600768519</x:v>
      </x:c>
      <x:c r="D636" s="50" t="str">
        <x:v>SWING_SETUP</x:v>
      </x:c>
      <x:c r="E636" s="50" t="str">
        <x:v>VZ SWING SETUP</x:v>
      </x:c>
      <x:c r="F636" s="50" t="str">
        <x:v>WATCH</x:v>
      </x:c>
      <x:c r="G636" s="50"/>
      <x:c r="H636" s="50" t="str">
        <x:v>LONG</x:v>
      </x:c>
      <x:c r="I636" s="71" t="n">
        <x:v>46.665</x:v>
      </x:c>
      <x:c r="J636" s="76" t="str">
        <x:v>SIP</x:v>
      </x:c>
    </x:row>
    <x:row r="637">
      <x:c r="A637" s="50" t="str">
        <x:v>019fdcb1-1eaa-7464-99b2-66b27052536e</x:v>
      </x:c>
      <x:c r="B637" s="50" t="str">
        <x:v>UNP</x:v>
      </x:c>
      <x:c r="C637" s="70" t="n">
        <x:v>46241.61600789352</x:v>
      </x:c>
      <x:c r="D637" s="50" t="str">
        <x:v>SWING_SETUP</x:v>
      </x:c>
      <x:c r="E637" s="50" t="str">
        <x:v>UNP SWING SETUP</x:v>
      </x:c>
      <x:c r="F637" s="50" t="str">
        <x:v>WATCH</x:v>
      </x:c>
      <x:c r="G637" s="50"/>
      <x:c r="H637" s="50" t="str">
        <x:v>LONG</x:v>
      </x:c>
      <x:c r="I637" s="71" t="n">
        <x:v>293.74</x:v>
      </x:c>
      <x:c r="J637" s="76" t="str">
        <x:v>SIP</x:v>
      </x:c>
    </x:row>
    <x:row r="638">
      <x:c r="A638" s="50" t="str">
        <x:v>019fdcb1-1eb3-7287-9d52-2927561aad2e</x:v>
      </x:c>
      <x:c r="B638" s="50" t="str">
        <x:v>OXY</x:v>
      </x:c>
      <x:c r="C638" s="70" t="n">
        <x:v>46241.61600799768</x:v>
      </x:c>
      <x:c r="D638" s="50" t="str">
        <x:v>SWING_SETUP</x:v>
      </x:c>
      <x:c r="E638" s="50" t="str">
        <x:v>OXY SWING SETUP</x:v>
      </x:c>
      <x:c r="F638" s="50" t="str">
        <x:v>WATCH</x:v>
      </x:c>
      <x:c r="G638" s="50"/>
      <x:c r="H638" s="50" t="str">
        <x:v>LONG</x:v>
      </x:c>
      <x:c r="I638" s="71" t="n">
        <x:v>55.84</x:v>
      </x:c>
      <x:c r="J638" s="76" t="str">
        <x:v>SIP</x:v>
      </x:c>
    </x:row>
    <x:row r="639">
      <x:c r="A639" s="50" t="str">
        <x:v>019fdcb1-1ebf-7338-8c59-a838a3756026</x:v>
      </x:c>
      <x:c r="B639" s="50" t="str">
        <x:v>ADBE</x:v>
      </x:c>
      <x:c r="C639" s="70" t="n">
        <x:v>46241.616008136574</x:v>
      </x:c>
      <x:c r="D639" s="50" t="str">
        <x:v>SWING_SETUP</x:v>
      </x:c>
      <x:c r="E639" s="50" t="str">
        <x:v>ADBE SWING SETUP</x:v>
      </x:c>
      <x:c r="F639" s="50" t="str">
        <x:v>WATCH</x:v>
      </x:c>
      <x:c r="G639" s="50"/>
      <x:c r="H639" s="50" t="str">
        <x:v>LONG</x:v>
      </x:c>
      <x:c r="I639" s="71" t="n">
        <x:v>269.43</x:v>
      </x:c>
      <x:c r="J639" s="76" t="str">
        <x:v>SIP</x:v>
      </x:c>
    </x:row>
    <x:row r="640">
      <x:c r="A640" s="50" t="str">
        <x:v>019fdcb1-1ec5-7824-a97c-40df4d793621</x:v>
      </x:c>
      <x:c r="B640" s="50" t="str">
        <x:v>COP</x:v>
      </x:c>
      <x:c r="C640" s="70" t="n">
        <x:v>46241.616008206016</x:v>
      </x:c>
      <x:c r="D640" s="50" t="str">
        <x:v>SWING_SETUP</x:v>
      </x:c>
      <x:c r="E640" s="50" t="str">
        <x:v>COP SWING SETUP</x:v>
      </x:c>
      <x:c r="F640" s="50" t="str">
        <x:v>WATCH</x:v>
      </x:c>
      <x:c r="G640" s="50"/>
      <x:c r="H640" s="50" t="str">
        <x:v>LONG</x:v>
      </x:c>
      <x:c r="I640" s="71" t="n">
        <x:v>117.01</x:v>
      </x:c>
      <x:c r="J640" s="76" t="str">
        <x:v>SIP</x:v>
      </x:c>
    </x:row>
    <x:row r="641">
      <x:c r="A641" s="50" t="str">
        <x:v>019fdcb1-1ee0-70b8-a3e7-0ba1bb46c043</x:v>
      </x:c>
      <x:c r="B641" s="50" t="str">
        <x:v>SBUX</x:v>
      </x:c>
      <x:c r="C641" s="70" t="n">
        <x:v>46241.61600851852</x:v>
      </x:c>
      <x:c r="D641" s="50" t="str">
        <x:v>SWING_SETUP</x:v>
      </x:c>
      <x:c r="E641" s="50" t="str">
        <x:v>SBUX SWING SETUP</x:v>
      </x:c>
      <x:c r="F641" s="50" t="str">
        <x:v>WATCH</x:v>
      </x:c>
      <x:c r="G641" s="50"/>
      <x:c r="H641" s="50" t="str">
        <x:v>LONG</x:v>
      </x:c>
      <x:c r="I641" s="71" t="n">
        <x:v>105.78</x:v>
      </x:c>
      <x:c r="J641" s="76" t="str">
        <x:v>SIP</x:v>
      </x:c>
    </x:row>
    <x:row r="642">
      <x:c r="A642" s="50" t="str">
        <x:v>019fdcb1-1f2d-7973-ba78-2e9724920307</x:v>
      </x:c>
      <x:c r="B642" s="50" t="str">
        <x:v>PM</x:v>
      </x:c>
      <x:c r="C642" s="70" t="n">
        <x:v>46241.61600940972</x:v>
      </x:c>
      <x:c r="D642" s="50" t="str">
        <x:v>LONG_BUY_ZONE</x:v>
      </x:c>
      <x:c r="E642" s="50" t="str">
        <x:v>PM LONG BUY ZONE</x:v>
      </x:c>
      <x:c r="F642" s="50" t="str">
        <x:v>WATCH</x:v>
      </x:c>
      <x:c r="G642" s="50"/>
      <x:c r="H642" s="50" t="str">
        <x:v>LONG</x:v>
      </x:c>
      <x:c r="I642" s="71" t="n">
        <x:v>189.35</x:v>
      </x:c>
      <x:c r="J642" s="76" t="str">
        <x:v>SIP</x:v>
      </x:c>
    </x:row>
    <x:row r="643">
      <x:c r="A643" s="50" t="str">
        <x:v>019fdcb2-0763-75d2-ab6b-9a02fb0e9507</x:v>
      </x:c>
      <x:c r="B643" s="50" t="str">
        <x:v>BLFS</x:v>
      </x:c>
      <x:c r="C643" s="70" t="n">
        <x:v>46241.61669744213</x:v>
      </x:c>
      <x:c r="D643" s="50" t="str">
        <x:v>SWING_SETUP</x:v>
      </x:c>
      <x:c r="E643" s="50" t="str">
        <x:v>BLFS SWING SETUP</x:v>
      </x:c>
      <x:c r="F643" s="50" t="str">
        <x:v>WATCH</x:v>
      </x:c>
      <x:c r="G643" s="50"/>
      <x:c r="H643" s="50" t="str">
        <x:v>LONG</x:v>
      </x:c>
      <x:c r="I643" s="71" t="n">
        <x:v>34.55</x:v>
      </x:c>
      <x:c r="J643" s="76" t="str">
        <x:v>SIP</x:v>
      </x:c>
    </x:row>
    <x:row r="644">
      <x:c r="A644" s="50" t="str">
        <x:v>019fdcb2-07e2-7c49-a51c-1200cf3e99a6</x:v>
      </x:c>
      <x:c r="B644" s="50" t="str">
        <x:v>BMY</x:v>
      </x:c>
      <x:c r="C644" s="70" t="n">
        <x:v>46241.61669891204</x:v>
      </x:c>
      <x:c r="D644" s="50" t="str">
        <x:v>SWING_SETUP</x:v>
      </x:c>
      <x:c r="E644" s="50" t="str">
        <x:v>BMY SWING SETUP</x:v>
      </x:c>
      <x:c r="F644" s="50" t="str">
        <x:v>WATCH</x:v>
      </x:c>
      <x:c r="G644" s="50"/>
      <x:c r="H644" s="50" t="str">
        <x:v>LONG</x:v>
      </x:c>
      <x:c r="I644" s="71" t="n">
        <x:v>64.32</x:v>
      </x:c>
      <x:c r="J644" s="76" t="str">
        <x:v>SIP</x:v>
      </x:c>
    </x:row>
    <x:row r="645">
      <x:c r="A645" s="50" t="str">
        <x:v>019fdcb2-07f2-7153-8507-14c8152c0697</x:v>
      </x:c>
      <x:c r="B645" s="50" t="str">
        <x:v>MA</x:v>
      </x:c>
      <x:c r="C645" s="70" t="n">
        <x:v>46241.61669909722</x:v>
      </x:c>
      <x:c r="D645" s="50" t="str">
        <x:v>SWING_SETUP</x:v>
      </x:c>
      <x:c r="E645" s="50" t="str">
        <x:v>MA SWING SETUP</x:v>
      </x:c>
      <x:c r="F645" s="50" t="str">
        <x:v>WATCH</x:v>
      </x:c>
      <x:c r="G645" s="50"/>
      <x:c r="H645" s="50" t="str">
        <x:v>LONG</x:v>
      </x:c>
      <x:c r="I645" s="71" t="n">
        <x:v>567.04</x:v>
      </x:c>
      <x:c r="J645" s="76" t="str">
        <x:v>SIP</x:v>
      </x:c>
    </x:row>
    <x:row r="646">
      <x:c r="A646" s="50" t="str">
        <x:v>019fdcb2-0800-76e5-8d85-aa42bcdb61d8</x:v>
      </x:c>
      <x:c r="B646" s="50" t="str">
        <x:v>SNOW</x:v>
      </x:c>
      <x:c r="C646" s="70" t="n">
        <x:v>46241.61669925926</x:v>
      </x:c>
      <x:c r="D646" s="50" t="str">
        <x:v>SWING_SETUP</x:v>
      </x:c>
      <x:c r="E646" s="50" t="str">
        <x:v>SNOW SWING SETUP</x:v>
      </x:c>
      <x:c r="F646" s="50" t="str">
        <x:v>WATCH</x:v>
      </x:c>
      <x:c r="G646" s="50"/>
      <x:c r="H646" s="50" t="str">
        <x:v>LONG</x:v>
      </x:c>
      <x:c r="I646" s="71" t="n">
        <x:v>324.77</x:v>
      </x:c>
      <x:c r="J646" s="76" t="str">
        <x:v>SIP</x:v>
      </x:c>
    </x:row>
    <x:row r="647">
      <x:c r="A647" s="50" t="str">
        <x:v>019fdcb2-083e-74bf-bd11-33a036d6adc9</x:v>
      </x:c>
      <x:c r="B647" s="50" t="str">
        <x:v>PFE</x:v>
      </x:c>
      <x:c r="C647" s="70" t="n">
        <x:v>46241.616699976854</x:v>
      </x:c>
      <x:c r="D647" s="50" t="str">
        <x:v>SWING_SETUP</x:v>
      </x:c>
      <x:c r="E647" s="50" t="str">
        <x:v>PFE SWING SETUP</x:v>
      </x:c>
      <x:c r="F647" s="50" t="str">
        <x:v>WATCH</x:v>
      </x:c>
      <x:c r="G647" s="50"/>
      <x:c r="H647" s="50" t="str">
        <x:v>LONG</x:v>
      </x:c>
      <x:c r="I647" s="71" t="n">
        <x:v>26.505</x:v>
      </x:c>
      <x:c r="J647" s="76" t="str">
        <x:v>SIP</x:v>
      </x:c>
    </x:row>
    <x:row r="648">
      <x:c r="A648" s="50" t="str">
        <x:v>019fdcb2-0858-7858-85b7-85eacf8639c4</x:v>
      </x:c>
      <x:c r="B648" s="50" t="str">
        <x:v>JD</x:v>
      </x:c>
      <x:c r="C648" s="70" t="n">
        <x:v>46241.61670027778</x:v>
      </x:c>
      <x:c r="D648" s="50" t="str">
        <x:v>SWING_SETUP</x:v>
      </x:c>
      <x:c r="E648" s="50" t="str">
        <x:v>JD SWING SETUP</x:v>
      </x:c>
      <x:c r="F648" s="50" t="str">
        <x:v>WATCH</x:v>
      </x:c>
      <x:c r="G648" s="50"/>
      <x:c r="H648" s="50" t="str">
        <x:v>LONG</x:v>
      </x:c>
      <x:c r="I648" s="71" t="n">
        <x:v>32.815</x:v>
      </x:c>
      <x:c r="J648" s="76" t="str">
        <x:v>SIP</x:v>
      </x:c>
    </x:row>
    <x:row r="649">
      <x:c r="A649" s="50" t="str">
        <x:v>019fdcb2-087d-7834-9d94-cdf9b26984cd</x:v>
      </x:c>
      <x:c r="B649" s="50" t="str">
        <x:v>BAC</x:v>
      </x:c>
      <x:c r="C649" s="70" t="n">
        <x:v>46241.61670070602</x:v>
      </x:c>
      <x:c r="D649" s="50" t="str">
        <x:v>SWING_SETUP</x:v>
      </x:c>
      <x:c r="E649" s="50" t="str">
        <x:v>BAC SWING SETUP</x:v>
      </x:c>
      <x:c r="F649" s="50" t="str">
        <x:v>WATCH</x:v>
      </x:c>
      <x:c r="G649" s="50"/>
      <x:c r="H649" s="50" t="str">
        <x:v>LONG</x:v>
      </x:c>
      <x:c r="I649" s="71" t="n">
        <x:v>62.9</x:v>
      </x:c>
      <x:c r="J649" s="76" t="str">
        <x:v>SIP</x:v>
      </x:c>
    </x:row>
    <x:row r="650">
      <x:c r="A650" s="50" t="str">
        <x:v>019fdcb2-088e-7d81-a100-3b727080e6b7</x:v>
      </x:c>
      <x:c r="B650" s="50" t="str">
        <x:v>JPM</x:v>
      </x:c>
      <x:c r="C650" s="70" t="n">
        <x:v>46241.61670090278</x:v>
      </x:c>
      <x:c r="D650" s="50" t="str">
        <x:v>SWING_SETUP</x:v>
      </x:c>
      <x:c r="E650" s="50" t="str">
        <x:v>JPM SWING SETUP</x:v>
      </x:c>
      <x:c r="F650" s="50" t="str">
        <x:v>WATCH</x:v>
      </x:c>
      <x:c r="G650" s="50"/>
      <x:c r="H650" s="50" t="str">
        <x:v>LONG</x:v>
      </x:c>
      <x:c r="I650" s="71" t="n">
        <x:v>356.29</x:v>
      </x:c>
      <x:c r="J650" s="76" t="str">
        <x:v>SIP</x:v>
      </x:c>
    </x:row>
    <x:row r="651">
      <x:c r="A651" s="50" t="str">
        <x:v>019fdcb2-089e-7f7f-8f92-cb66631b6faa</x:v>
      </x:c>
      <x:c r="B651" s="50" t="str">
        <x:v>ECL</x:v>
      </x:c>
      <x:c r="C651" s="70" t="n">
        <x:v>46241.616701087965</x:v>
      </x:c>
      <x:c r="D651" s="50" t="str">
        <x:v>SWING_SETUP</x:v>
      </x:c>
      <x:c r="E651" s="50" t="str">
        <x:v>ECL SWING SETUP</x:v>
      </x:c>
      <x:c r="F651" s="50" t="str">
        <x:v>WATCH</x:v>
      </x:c>
      <x:c r="G651" s="50"/>
      <x:c r="H651" s="50" t="str">
        <x:v>LONG</x:v>
      </x:c>
      <x:c r="I651" s="71" t="n">
        <x:v>287.255</x:v>
      </x:c>
      <x:c r="J651" s="76" t="str">
        <x:v>SIP</x:v>
      </x:c>
    </x:row>
    <x:row r="652">
      <x:c r="A652" s="50" t="str">
        <x:v>019fdcb2-08ce-755e-8ded-427a5504aee5</x:v>
      </x:c>
      <x:c r="B652" s="50" t="str">
        <x:v>ETHA</x:v>
      </x:c>
      <x:c r="C652" s="70" t="n">
        <x:v>46241.61670164352</x:v>
      </x:c>
      <x:c r="D652" s="50" t="str">
        <x:v>SWING_SETUP</x:v>
      </x:c>
      <x:c r="E652" s="50" t="str">
        <x:v>ETHA SWING SETUP</x:v>
      </x:c>
      <x:c r="F652" s="50" t="str">
        <x:v>WATCH</x:v>
      </x:c>
      <x:c r="G652" s="50"/>
      <x:c r="H652" s="50" t="str">
        <x:v>LONG</x:v>
      </x:c>
      <x:c r="I652" s="71" t="n">
        <x:v>14.47</x:v>
      </x:c>
      <x:c r="J652" s="76" t="str">
        <x:v>SIP</x:v>
      </x:c>
    </x:row>
    <x:row r="653">
      <x:c r="A653" s="50" t="str">
        <x:v>019fdcb2-08db-77c9-bda7-66a1978b4e23</x:v>
      </x:c>
      <x:c r="B653" s="50" t="str">
        <x:v>TMDX</x:v>
      </x:c>
      <x:c r="C653" s="70" t="n">
        <x:v>46241.61670179398</x:v>
      </x:c>
      <x:c r="D653" s="50" t="str">
        <x:v>SWING_SETUP</x:v>
      </x:c>
      <x:c r="E653" s="50" t="str">
        <x:v>TMDX SWING SETUP</x:v>
      </x:c>
      <x:c r="F653" s="50" t="str">
        <x:v>WATCH</x:v>
      </x:c>
      <x:c r="G653" s="50"/>
      <x:c r="H653" s="50" t="str">
        <x:v>LONG</x:v>
      </x:c>
      <x:c r="I653" s="71" t="n">
        <x:v>80.545</x:v>
      </x:c>
      <x:c r="J653" s="76" t="str">
        <x:v>SIP</x:v>
      </x:c>
    </x:row>
    <x:row r="654">
      <x:c r="A654" s="50" t="str">
        <x:v>019fdcb2-0904-7363-97ec-500be083441a</x:v>
      </x:c>
      <x:c r="B654" s="50" t="str">
        <x:v>BKNG</x:v>
      </x:c>
      <x:c r="C654" s="70" t="n">
        <x:v>46241.61670225694</x:v>
      </x:c>
      <x:c r="D654" s="50" t="str">
        <x:v>SWING_SETUP</x:v>
      </x:c>
      <x:c r="E654" s="50" t="str">
        <x:v>BKNG SWING SETUP</x:v>
      </x:c>
      <x:c r="F654" s="50" t="str">
        <x:v>WATCH</x:v>
      </x:c>
      <x:c r="G654" s="50"/>
      <x:c r="H654" s="50" t="str">
        <x:v>LONG</x:v>
      </x:c>
      <x:c r="I654" s="71" t="n">
        <x:v>214.7975</x:v>
      </x:c>
      <x:c r="J654" s="76" t="str">
        <x:v>SIP</x:v>
      </x:c>
    </x:row>
    <x:row r="655">
      <x:c r="A655" s="50" t="str">
        <x:v>019fdcb2-094c-76d7-a00a-ca01fa1a4341</x:v>
      </x:c>
      <x:c r="B655" s="50" t="str">
        <x:v>KO</x:v>
      </x:c>
      <x:c r="C655" s="70" t="n">
        <x:v>46241.61670310185</x:v>
      </x:c>
      <x:c r="D655" s="50" t="str">
        <x:v>SWING_SETUP</x:v>
      </x:c>
      <x:c r="E655" s="50" t="str">
        <x:v>KO SWING SETUP</x:v>
      </x:c>
      <x:c r="F655" s="50" t="str">
        <x:v>WATCH</x:v>
      </x:c>
      <x:c r="G655" s="50"/>
      <x:c r="H655" s="50" t="str">
        <x:v>LONG</x:v>
      </x:c>
      <x:c r="I655" s="71" t="n">
        <x:v>86.77</x:v>
      </x:c>
      <x:c r="J655" s="76" t="str">
        <x:v>SIP</x:v>
      </x:c>
    </x:row>
    <x:row r="656">
      <x:c r="A656" s="50" t="str">
        <x:v>019fdcb2-096e-7a36-9433-12027ddf9df8</x:v>
      </x:c>
      <x:c r="B656" s="50" t="str">
        <x:v>CEG</x:v>
      </x:c>
      <x:c r="C656" s="70" t="n">
        <x:v>46241.61670349537</x:v>
      </x:c>
      <x:c r="D656" s="50" t="str">
        <x:v>SWING_SETUP</x:v>
      </x:c>
      <x:c r="E656" s="50" t="str">
        <x:v>CEG SWING SETUP</x:v>
      </x:c>
      <x:c r="F656" s="50" t="str">
        <x:v>WATCH</x:v>
      </x:c>
      <x:c r="G656" s="50"/>
      <x:c r="H656" s="50" t="str">
        <x:v>LONG</x:v>
      </x:c>
      <x:c r="I656" s="71" t="n">
        <x:v>268.74</x:v>
      </x:c>
      <x:c r="J656" s="76" t="str">
        <x:v>SIP</x:v>
      </x:c>
    </x:row>
    <x:row r="657">
      <x:c r="A657" s="50" t="str">
        <x:v>019fdcb2-0ceb-781c-880c-7578fe4e5d38</x:v>
      </x:c>
      <x:c r="B657" s="50" t="str">
        <x:v>HRL</x:v>
      </x:c>
      <x:c r="C657" s="70" t="n">
        <x:v>46241.61671381944</x:v>
      </x:c>
      <x:c r="D657" s="50" t="str">
        <x:v>LONG_BUY_ZONE</x:v>
      </x:c>
      <x:c r="E657" s="50" t="str">
        <x:v>HRL LONG BUY ZONE</x:v>
      </x:c>
      <x:c r="F657" s="50" t="str">
        <x:v>WATCH</x:v>
      </x:c>
      <x:c r="G657" s="50"/>
      <x:c r="H657" s="50" t="str">
        <x:v>LONG</x:v>
      </x:c>
      <x:c r="I657" s="71" t="n">
        <x:v>25.34</x:v>
      </x:c>
      <x:c r="J657" s="76" t="str">
        <x:v>SIP</x:v>
      </x:c>
    </x:row>
    <x:row r="658">
      <x:c r="A658" s="50" t="str">
        <x:v>019fdcb2-0e4a-7538-94cc-30455868e6c4</x:v>
      </x:c>
      <x:c r="B658" s="50" t="str">
        <x:v>APD</x:v>
      </x:c>
      <x:c r="C658" s="70" t="n">
        <x:v>46241.61671789352</x:v>
      </x:c>
      <x:c r="D658" s="50" t="str">
        <x:v>LONG_BUY_ZONE</x:v>
      </x:c>
      <x:c r="E658" s="50" t="str">
        <x:v>APD LONG BUY ZONE</x:v>
      </x:c>
      <x:c r="F658" s="50" t="str">
        <x:v>WATCH</x:v>
      </x:c>
      <x:c r="G658" s="50"/>
      <x:c r="H658" s="50" t="str">
        <x:v>LONG</x:v>
      </x:c>
      <x:c r="I658" s="71" t="n">
        <x:v>299.95</x:v>
      </x:c>
      <x:c r="J658" s="76" t="str">
        <x:v>SIP</x:v>
      </x:c>
    </x:row>
    <x:row r="659">
      <x:c r="A659" s="50" t="str">
        <x:v>019fdcb2-0f6f-76c1-b2e9-6660493d3657</x:v>
      </x:c>
      <x:c r="B659" s="50" t="str">
        <x:v>ECL</x:v>
      </x:c>
      <x:c r="C659" s="70" t="n">
        <x:v>46241.61672128472</x:v>
      </x:c>
      <x:c r="D659" s="50" t="str">
        <x:v>LONG_BUY_ZONE</x:v>
      </x:c>
      <x:c r="E659" s="50" t="str">
        <x:v>ECL LONG BUY ZONE</x:v>
      </x:c>
      <x:c r="F659" s="50" t="str">
        <x:v>WATCH</x:v>
      </x:c>
      <x:c r="G659" s="50"/>
      <x:c r="H659" s="50" t="str">
        <x:v>LONG</x:v>
      </x:c>
      <x:c r="I659" s="71" t="n">
        <x:v>287.205</x:v>
      </x:c>
      <x:c r="J659" s="76" t="str">
        <x:v>SIP</x:v>
      </x:c>
    </x:row>
    <x:row r="660">
      <x:c r="A660" s="50" t="str">
        <x:v>019fdcb2-ee82-7975-b347-2e99cd4a3fb9</x:v>
      </x:c>
      <x:c r="B660" s="50" t="str">
        <x:v>BLK</x:v>
      </x:c>
      <x:c r="C660" s="70" t="n">
        <x:v>46241.61738224537</x:v>
      </x:c>
      <x:c r="D660" s="50" t="str">
        <x:v>SWING_SETUP</x:v>
      </x:c>
      <x:c r="E660" s="50" t="str">
        <x:v>BLK SWING SETUP</x:v>
      </x:c>
      <x:c r="F660" s="50" t="str">
        <x:v>WATCH</x:v>
      </x:c>
      <x:c r="G660" s="50"/>
      <x:c r="H660" s="50" t="str">
        <x:v>LONG</x:v>
      </x:c>
      <x:c r="I660" s="71" t="n">
        <x:v>1137.93</x:v>
      </x:c>
      <x:c r="J660" s="76" t="str">
        <x:v>SIP</x:v>
      </x:c>
    </x:row>
    <x:row r="661">
      <x:c r="A661" s="50" t="str">
        <x:v>019fdcb2-f192-76ec-8bb1-3d3523726617</x:v>
      </x:c>
      <x:c r="B661" s="50" t="str">
        <x:v>ABBV</x:v>
      </x:c>
      <x:c r="C661" s="70" t="n">
        <x:v>46241.61739131944</x:v>
      </x:c>
      <x:c r="D661" s="50" t="str">
        <x:v>LONG_BUY_ZONE</x:v>
      </x:c>
      <x:c r="E661" s="50" t="str">
        <x:v>ABBV LONG BUY ZONE</x:v>
      </x:c>
      <x:c r="F661" s="50" t="str">
        <x:v>WATCH</x:v>
      </x:c>
      <x:c r="G661" s="50"/>
      <x:c r="H661" s="50" t="str">
        <x:v>LONG</x:v>
      </x:c>
      <x:c r="I661" s="71" t="n">
        <x:v>244.975</x:v>
      </x:c>
      <x:c r="J661" s="76" t="str">
        <x:v>SIP</x:v>
      </x:c>
    </x:row>
    <x:row r="662">
      <x:c r="A662" s="50" t="str">
        <x:v>019fdcb2-f1de-7925-a1cf-c31e7b64fce4</x:v>
      </x:c>
      <x:c r="B662" s="50" t="str">
        <x:v>SHW</x:v>
      </x:c>
      <x:c r="C662" s="70" t="n">
        <x:v>46241.61739219908</x:v>
      </x:c>
      <x:c r="D662" s="50" t="str">
        <x:v>SWING_SETUP</x:v>
      </x:c>
      <x:c r="E662" s="50" t="str">
        <x:v>SHW SWING SETUP</x:v>
      </x:c>
      <x:c r="F662" s="50" t="str">
        <x:v>WATCH</x:v>
      </x:c>
      <x:c r="G662" s="50"/>
      <x:c r="H662" s="50" t="str">
        <x:v>LONG</x:v>
      </x:c>
      <x:c r="I662" s="71" t="n">
        <x:v>371.35</x:v>
      </x:c>
      <x:c r="J662" s="76" t="str">
        <x:v>SIP</x:v>
      </x:c>
    </x:row>
    <x:row r="663">
      <x:c r="A663" s="50" t="str">
        <x:v>019fdcb2-f2ae-7f65-8fc6-391afdb7dfa9</x:v>
      </x:c>
      <x:c r="B663" s="50" t="str">
        <x:v>DE</x:v>
      </x:c>
      <x:c r="C663" s="70" t="n">
        <x:v>46241.61739460648</x:v>
      </x:c>
      <x:c r="D663" s="50" t="str">
        <x:v>SWING_SETUP</x:v>
      </x:c>
      <x:c r="E663" s="50" t="str">
        <x:v>DE SWING SETUP</x:v>
      </x:c>
      <x:c r="F663" s="50" t="str">
        <x:v>WATCH</x:v>
      </x:c>
      <x:c r="G663" s="50"/>
      <x:c r="H663" s="50" t="str">
        <x:v>LONG</x:v>
      </x:c>
      <x:c r="I663" s="71" t="n">
        <x:v>621.84</x:v>
      </x:c>
      <x:c r="J663" s="76" t="str">
        <x:v>SIP</x:v>
      </x:c>
    </x:row>
    <x:row r="664">
      <x:c r="A664" s="50" t="str">
        <x:v>019fdcb2-f2f4-70e8-8631-2dbbb448e345</x:v>
      </x:c>
      <x:c r="B664" s="50" t="str">
        <x:v>PM</x:v>
      </x:c>
      <x:c r="C664" s="70" t="n">
        <x:v>46241.617395416666</x:v>
      </x:c>
      <x:c r="D664" s="50" t="str">
        <x:v>SWING_SETUP</x:v>
      </x:c>
      <x:c r="E664" s="50" t="str">
        <x:v>PM SWING SETUP</x:v>
      </x:c>
      <x:c r="F664" s="50" t="str">
        <x:v>WATCH</x:v>
      </x:c>
      <x:c r="G664" s="50"/>
      <x:c r="H664" s="50" t="str">
        <x:v>LONG</x:v>
      </x:c>
      <x:c r="I664" s="71" t="n">
        <x:v>189.565</x:v>
      </x:c>
      <x:c r="J664" s="76" t="str">
        <x:v>SIP</x:v>
      </x:c>
    </x:row>
    <x:row r="665">
      <x:c r="A665" s="50" t="str">
        <x:v>019fdcb2-f359-7bf5-b758-fefe78069427</x:v>
      </x:c>
      <x:c r="B665" s="50" t="str">
        <x:v>MMM</x:v>
      </x:c>
      <x:c r="C665" s="70" t="n">
        <x:v>46241.61739658565</x:v>
      </x:c>
      <x:c r="D665" s="50" t="str">
        <x:v>SWING_SETUP</x:v>
      </x:c>
      <x:c r="E665" s="50" t="str">
        <x:v>MMM SWING SETUP</x:v>
      </x:c>
      <x:c r="F665" s="50" t="str">
        <x:v>WATCH</x:v>
      </x:c>
      <x:c r="G665" s="50"/>
      <x:c r="H665" s="50" t="str">
        <x:v>LONG</x:v>
      </x:c>
      <x:c r="I665" s="71" t="n">
        <x:v>182.49</x:v>
      </x:c>
      <x:c r="J665" s="76" t="str">
        <x:v>SIP</x:v>
      </x:c>
    </x:row>
    <x:row r="666">
      <x:c r="A666" s="50" t="str">
        <x:v>019fdcb2-f361-7baf-a5e4-5b411b7292e7</x:v>
      </x:c>
      <x:c r="B666" s="50" t="str">
        <x:v>ABT</x:v>
      </x:c>
      <x:c r="C666" s="70" t="n">
        <x:v>46241.61739667824</x:v>
      </x:c>
      <x:c r="D666" s="50" t="str">
        <x:v>SWING_SETUP</x:v>
      </x:c>
      <x:c r="E666" s="50" t="str">
        <x:v>ABT SWING SETUP</x:v>
      </x:c>
      <x:c r="F666" s="50" t="str">
        <x:v>WATCH</x:v>
      </x:c>
      <x:c r="G666" s="50"/>
      <x:c r="H666" s="50" t="str">
        <x:v>LONG</x:v>
      </x:c>
      <x:c r="I666" s="71" t="n">
        <x:v>107.69</x:v>
      </x:c>
      <x:c r="J666" s="76" t="str">
        <x:v>SIP</x:v>
      </x:c>
    </x:row>
    <x:row r="667">
      <x:c r="A667" s="50" t="str">
        <x:v>019fdcb2-f38b-75b9-b0d4-06f87b864b0f</x:v>
      </x:c>
      <x:c r="B667" s="50" t="str">
        <x:v>GD</x:v>
      </x:c>
      <x:c r="C667" s="70" t="n">
        <x:v>46241.61739716435</x:v>
      </x:c>
      <x:c r="D667" s="50" t="str">
        <x:v>SWING_SETUP</x:v>
      </x:c>
      <x:c r="E667" s="50" t="str">
        <x:v>GD SWING SETUP</x:v>
      </x:c>
      <x:c r="F667" s="50" t="str">
        <x:v>WATCH</x:v>
      </x:c>
      <x:c r="G667" s="50"/>
      <x:c r="H667" s="50" t="str">
        <x:v>LONG</x:v>
      </x:c>
      <x:c r="I667" s="71" t="n">
        <x:v>385.5</x:v>
      </x:c>
      <x:c r="J667" s="76" t="str">
        <x:v>SIP</x:v>
      </x:c>
    </x:row>
    <x:row r="668">
      <x:c r="A668" s="50" t="str">
        <x:v>019fdcb2-f9af-7861-a525-57e3fafcb4bb</x:v>
      </x:c>
      <x:c r="B668" s="50" t="str">
        <x:v>DE</x:v>
      </x:c>
      <x:c r="C668" s="70" t="n">
        <x:v>46241.6174153588</x:v>
      </x:c>
      <x:c r="D668" s="50" t="str">
        <x:v>LONG_BUY_ZONE</x:v>
      </x:c>
      <x:c r="E668" s="50" t="str">
        <x:v>DE LONG BUY ZONE</x:v>
      </x:c>
      <x:c r="F668" s="50" t="str">
        <x:v>WATCH</x:v>
      </x:c>
      <x:c r="G668" s="50"/>
      <x:c r="H668" s="50" t="str">
        <x:v>LONG</x:v>
      </x:c>
      <x:c r="I668" s="71" t="n">
        <x:v>622.915</x:v>
      </x:c>
      <x:c r="J668" s="76" t="str">
        <x:v>SIP</x:v>
      </x:c>
    </x:row>
    <x:row r="669">
      <x:c r="A669" s="50" t="str">
        <x:v>019fdcb3-dc4f-7607-955a-fd18200d1879</x:v>
      </x:c>
      <x:c r="B669" s="50" t="str">
        <x:v>RCL</x:v>
      </x:c>
      <x:c r="C669" s="70" t="n">
        <x:v>46241.61808684028</x:v>
      </x:c>
      <x:c r="D669" s="50" t="str">
        <x:v>SWING_SETUP</x:v>
      </x:c>
      <x:c r="E669" s="50" t="str">
        <x:v>RCL SWING SETUP</x:v>
      </x:c>
      <x:c r="F669" s="50" t="str">
        <x:v>WATCH</x:v>
      </x:c>
      <x:c r="G669" s="50"/>
      <x:c r="H669" s="50" t="str">
        <x:v>LONG</x:v>
      </x:c>
      <x:c r="I669" s="71" t="n">
        <x:v>320.445</x:v>
      </x:c>
      <x:c r="J669" s="76" t="str">
        <x:v>SIP</x:v>
      </x:c>
    </x:row>
    <x:row r="670">
      <x:c r="A670" s="50" t="str">
        <x:v>019fdcb3-e3ec-7c67-9e41-fbd3efe3f4cc</x:v>
      </x:c>
      <x:c r="B670" s="50" t="str">
        <x:v>GS</x:v>
      </x:c>
      <x:c r="C670" s="70" t="n">
        <x:v>46241.61810939815</x:v>
      </x:c>
      <x:c r="D670" s="50" t="str">
        <x:v>LONG_BUY_ZONE</x:v>
      </x:c>
      <x:c r="E670" s="50" t="str">
        <x:v>GS LONG BUY ZONE</x:v>
      </x:c>
      <x:c r="F670" s="50" t="str">
        <x:v>WATCH</x:v>
      </x:c>
      <x:c r="G670" s="50"/>
      <x:c r="H670" s="50" t="str">
        <x:v>LONG</x:v>
      </x:c>
      <x:c r="I670" s="71" t="n">
        <x:v>1041.005</x:v>
      </x:c>
      <x:c r="J670" s="76" t="str">
        <x:v>SIP</x:v>
      </x:c>
    </x:row>
    <x:row r="671">
      <x:c r="A671" s="50" t="str">
        <x:v>019fdcb4-c52b-7de5-93bd-c3bd3558f56e</x:v>
      </x:c>
      <x:c r="B671" s="50" t="str">
        <x:v>RCL</x:v>
      </x:c>
      <x:c r="C671" s="70" t="n">
        <x:v>46241.618776793985</x:v>
      </x:c>
      <x:c r="D671" s="50" t="str">
        <x:v>LONG_BUY_ZONE</x:v>
      </x:c>
      <x:c r="E671" s="50" t="str">
        <x:v>RCL LONG BUY ZONE</x:v>
      </x:c>
      <x:c r="F671" s="50" t="str">
        <x:v>WATCH</x:v>
      </x:c>
      <x:c r="G671" s="50"/>
      <x:c r="H671" s="50" t="str">
        <x:v>LONG</x:v>
      </x:c>
      <x:c r="I671" s="71" t="n">
        <x:v>319.93</x:v>
      </x:c>
      <x:c r="J671" s="76" t="str">
        <x:v>SIP</x:v>
      </x:c>
    </x:row>
    <x:row r="672">
      <x:c r="A672" s="50" t="str">
        <x:v>019fdcb5-b56e-7c3d-80a4-7cd4ed85bb36</x:v>
      </x:c>
      <x:c r="B672" s="50" t="str">
        <x:v>VZ</x:v>
      </x:c>
      <x:c r="C672" s="70" t="n">
        <x:v>46241.61948868055</x:v>
      </x:c>
      <x:c r="D672" s="50" t="str">
        <x:v>LONG_BUY_ZONE</x:v>
      </x:c>
      <x:c r="E672" s="50" t="str">
        <x:v>VZ LONG BUY ZONE</x:v>
      </x:c>
      <x:c r="F672" s="50" t="str">
        <x:v>WATCH</x:v>
      </x:c>
      <x:c r="G672" s="50"/>
      <x:c r="H672" s="50" t="str">
        <x:v>LONG</x:v>
      </x:c>
      <x:c r="I672" s="71" t="n">
        <x:v>46.7151</x:v>
      </x:c>
      <x:c r="J672" s="76" t="str">
        <x:v>SIP</x:v>
      </x:c>
    </x:row>
    <x:row r="673">
      <x:c r="A673" s="50" t="str">
        <x:v>019fdcb6-9be2-7afd-aa8f-21b3e016924b</x:v>
      </x:c>
      <x:c r="B673" s="50" t="str">
        <x:v>PYPL</x:v>
      </x:c>
      <x:c r="C673" s="70" t="n">
        <x:v>46241.620171504626</x:v>
      </x:c>
      <x:c r="D673" s="50" t="str">
        <x:v>SWING_SETUP</x:v>
      </x:c>
      <x:c r="E673" s="50" t="str">
        <x:v>PYPL SWING SETUP</x:v>
      </x:c>
      <x:c r="F673" s="50" t="str">
        <x:v>WATCH</x:v>
      </x:c>
      <x:c r="G673" s="50"/>
      <x:c r="H673" s="50" t="str">
        <x:v>LONG</x:v>
      </x:c>
      <x:c r="I673" s="71" t="n">
        <x:v>59.765</x:v>
      </x:c>
      <x:c r="J673" s="76" t="str">
        <x:v>SIP</x:v>
      </x:c>
    </x:row>
    <x:row r="674">
      <x:c r="A674" s="50" t="str">
        <x:v>019fdcb7-8479-7134-a17d-e3f9afa59bdc</x:v>
      </x:c>
      <x:c r="B674" s="50" t="str">
        <x:v>NXE</x:v>
      </x:c>
      <x:c r="C674" s="70" t="n">
        <x:v>46241.62086065972</x:v>
      </x:c>
      <x:c r="D674" s="50" t="str">
        <x:v>SWING_SETUP</x:v>
      </x:c>
      <x:c r="E674" s="50" t="str">
        <x:v>NXE SWING SETUP</x:v>
      </x:c>
      <x:c r="F674" s="50" t="str">
        <x:v>WATCH</x:v>
      </x:c>
      <x:c r="G674" s="50"/>
      <x:c r="H674" s="50" t="str">
        <x:v>LONG</x:v>
      </x:c>
      <x:c r="I674" s="71" t="n">
        <x:v>10.49</x:v>
      </x:c>
      <x:c r="J674" s="76" t="str">
        <x:v>SIP</x:v>
      </x:c>
    </x:row>
    <x:row r="675">
      <x:c r="A675" s="50" t="str">
        <x:v>019fdcb7-8b0c-72f1-a0ef-b10ec1d42ebc</x:v>
      </x:c>
      <x:c r="B675" s="50" t="str">
        <x:v>OXY</x:v>
      </x:c>
      <x:c r="C675" s="70" t="n">
        <x:v>46241.620880138886</x:v>
      </x:c>
      <x:c r="D675" s="50" t="str">
        <x:v>LONG_BUY_ZONE</x:v>
      </x:c>
      <x:c r="E675" s="50" t="str">
        <x:v>OXY LONG BUY ZONE</x:v>
      </x:c>
      <x:c r="F675" s="50" t="str">
        <x:v>WATCH</x:v>
      </x:c>
      <x:c r="G675" s="50"/>
      <x:c r="H675" s="50" t="str">
        <x:v>LONG</x:v>
      </x:c>
      <x:c r="I675" s="71" t="n">
        <x:v>55.81</x:v>
      </x:c>
      <x:c r="J675" s="76" t="str">
        <x:v>SIP</x:v>
      </x:c>
    </x:row>
    <x:row r="676">
      <x:c r="A676" s="50" t="str">
        <x:v>019fdcb8-6c2e-7d10-8679-60de648f09a2</x:v>
      </x:c>
      <x:c r="B676" s="50" t="str">
        <x:v>RIOT</x:v>
      </x:c>
      <x:c r="C676" s="70" t="n">
        <x:v>46241.6215471875</x:v>
      </x:c>
      <x:c r="D676" s="50" t="str">
        <x:v>ENTRY_WATCH</x:v>
      </x:c>
      <x:c r="E676" s="50" t="str">
        <x:v>RIOT ENTRY IN_ZONE EARLY WATCH</x:v>
      </x:c>
      <x:c r="F676" s="50" t="str">
        <x:v>WATCH</x:v>
      </x:c>
      <x:c r="G676" s="50"/>
      <x:c r="H676" s="50" t="str">
        <x:v>LONG</x:v>
      </x:c>
      <x:c r="I676" s="71" t="n">
        <x:v>20.63</x:v>
      </x:c>
      <x:c r="J676" s="76" t="str">
        <x:v>SIP</x:v>
      </x:c>
    </x:row>
    <x:row r="677">
      <x:c r="A677" s="50" t="str">
        <x:v>019fdcb8-70c2-7d8d-9d01-a05e64b1c622</x:v>
      </x:c>
      <x:c r="B677" s="50" t="str">
        <x:v>CRM</x:v>
      </x:c>
      <x:c r="C677" s="70" t="n">
        <x:v>46241.62156076389</x:v>
      </x:c>
      <x:c r="D677" s="50" t="str">
        <x:v>SWING_SETUP</x:v>
      </x:c>
      <x:c r="E677" s="50" t="str">
        <x:v>CRM SWING SETUP</x:v>
      </x:c>
      <x:c r="F677" s="50" t="str">
        <x:v>WATCH</x:v>
      </x:c>
      <x:c r="G677" s="50"/>
      <x:c r="H677" s="50" t="str">
        <x:v>LONG</x:v>
      </x:c>
      <x:c r="I677" s="71" t="n">
        <x:v>194.24</x:v>
      </x:c>
      <x:c r="J677" s="76" t="str">
        <x:v>SIP</x:v>
      </x:c>
    </x:row>
    <x:row r="678">
      <x:c r="A678" s="50" t="str">
        <x:v>019fdcb9-58f1-715a-a1f7-2d19cb59ab8d</x:v>
      </x:c>
      <x:c r="B678" s="50" t="str">
        <x:v>KDP</x:v>
      </x:c>
      <x:c r="C678" s="70" t="n">
        <x:v>46241.6222487037</x:v>
      </x:c>
      <x:c r="D678" s="50" t="str">
        <x:v>LONG_BUY_ZONE</x:v>
      </x:c>
      <x:c r="E678" s="50" t="str">
        <x:v>KDP LONG BUY ZONE</x:v>
      </x:c>
      <x:c r="F678" s="50" t="str">
        <x:v>WATCH</x:v>
      </x:c>
      <x:c r="G678" s="50"/>
      <x:c r="H678" s="50" t="str">
        <x:v>LONG</x:v>
      </x:c>
      <x:c r="I678" s="71" t="n">
        <x:v>29.825</x:v>
      </x:c>
      <x:c r="J678" s="76" t="str">
        <x:v>SIP</x:v>
      </x:c>
    </x:row>
    <x:row r="679">
      <x:c r="A679" s="50" t="str">
        <x:v>019fdcb9-5d0d-7d23-9baf-5ac46ab36863</x:v>
      </x:c>
      <x:c r="B679" s="50" t="str">
        <x:v>RIOT</x:v>
      </x:c>
      <x:c r="C679" s="70" t="n">
        <x:v>46241.62226089121</x:v>
      </x:c>
      <x:c r="D679" s="50" t="str">
        <x:v>ENTRY_WATCH</x:v>
      </x:c>
      <x:c r="E679" s="50" t="str">
        <x:v>RIOT ENTRY BREAKAWAY WATCH</x:v>
      </x:c>
      <x:c r="F679" s="50" t="str">
        <x:v>WATCH</x:v>
      </x:c>
      <x:c r="G679" s="50"/>
      <x:c r="H679" s="50" t="str">
        <x:v>LONG</x:v>
      </x:c>
      <x:c r="I679" s="71" t="n">
        <x:v>20.655</x:v>
      </x:c>
      <x:c r="J679" s="76" t="str">
        <x:v>SIP</x:v>
      </x:c>
    </x:row>
    <x:row r="680">
      <x:c r="A680" s="50" t="str">
        <x:v>019fdcb9-6083-7e6e-91fd-4ac175763314</x:v>
      </x:c>
      <x:c r="B680" s="50" t="str">
        <x:v>KO</x:v>
      </x:c>
      <x:c r="C680" s="70" t="n">
        <x:v>46241.62227114583</x:v>
      </x:c>
      <x:c r="D680" s="50" t="str">
        <x:v>LONG_BUY_ZONE</x:v>
      </x:c>
      <x:c r="E680" s="50" t="str">
        <x:v>KO LONG BUY ZONE</x:v>
      </x:c>
      <x:c r="F680" s="50" t="str">
        <x:v>WATCH</x:v>
      </x:c>
      <x:c r="G680" s="50"/>
      <x:c r="H680" s="50" t="str">
        <x:v>LONG</x:v>
      </x:c>
      <x:c r="I680" s="71" t="n">
        <x:v>86.82</x:v>
      </x:c>
      <x:c r="J680" s="76" t="str">
        <x:v>SIP</x:v>
      </x:c>
    </x:row>
    <x:row r="681">
      <x:c r="A681" s="50" t="str">
        <x:v>019fdcba-40d2-7bec-b999-bbeab35431cd</x:v>
      </x:c>
      <x:c r="B681" s="50" t="str">
        <x:v>RIOT</x:v>
      </x:c>
      <x:c r="C681" s="70" t="n">
        <x:v>46241.62293576389</x:v>
      </x:c>
      <x:c r="D681" s="50" t="str">
        <x:v>ENTRY_WATCH</x:v>
      </x:c>
      <x:c r="E681" s="50" t="str">
        <x:v>RIOT ENTRY IN_ZONE EARLY WATCH</x:v>
      </x:c>
      <x:c r="F681" s="50" t="str">
        <x:v>WATCH</x:v>
      </x:c>
      <x:c r="G681" s="50"/>
      <x:c r="H681" s="50" t="str">
        <x:v>LONG</x:v>
      </x:c>
      <x:c r="I681" s="71" t="n">
        <x:v>20.63</x:v>
      </x:c>
      <x:c r="J681" s="76" t="str">
        <x:v>SIP</x:v>
      </x:c>
    </x:row>
    <x:row r="682">
      <x:c r="A682" s="50" t="str">
        <x:v>019fdcba-4307-7f1f-85d9-e30cdea064e7</x:v>
      </x:c>
      <x:c r="B682" s="50" t="str">
        <x:v>HRL</x:v>
      </x:c>
      <x:c r="C682" s="70" t="n">
        <x:v>46241.622942291666</x:v>
      </x:c>
      <x:c r="D682" s="50" t="str">
        <x:v>ENTRY_WATCH</x:v>
      </x:c>
      <x:c r="E682" s="50" t="str">
        <x:v>HRL ENTRY IN_ZONE EARLY WATCH</x:v>
      </x:c>
      <x:c r="F682" s="50" t="str">
        <x:v>WATCH</x:v>
      </x:c>
      <x:c r="G682" s="50"/>
      <x:c r="H682" s="50" t="str">
        <x:v>LONG</x:v>
      </x:c>
      <x:c r="I682" s="71" t="n">
        <x:v>25.285</x:v>
      </x:c>
      <x:c r="J682" s="76" t="str">
        <x:v>SIP</x:v>
      </x:c>
    </x:row>
    <x:row r="683">
      <x:c r="A683" s="50" t="str">
        <x:v>019fdcba-475a-7af9-a18a-1cc2f2496859</x:v>
      </x:c>
      <x:c r="B683" s="50" t="str">
        <x:v>MRK</x:v>
      </x:c>
      <x:c r="C683" s="70" t="n">
        <x:v>46241.62295511574</x:v>
      </x:c>
      <x:c r="D683" s="50" t="str">
        <x:v>ENTRY_WATCH</x:v>
      </x:c>
      <x:c r="E683" s="50" t="str">
        <x:v>MRK ENTRY BREAKAWAY WATCH</x:v>
      </x:c>
      <x:c r="F683" s="50" t="str">
        <x:v>WATCH</x:v>
      </x:c>
      <x:c r="G683" s="50"/>
      <x:c r="H683" s="50" t="str">
        <x:v>LONG</x:v>
      </x:c>
      <x:c r="I683" s="71" t="n">
        <x:v>127.64</x:v>
      </x:c>
      <x:c r="J683" s="76" t="str">
        <x:v>SIP</x:v>
      </x:c>
    </x:row>
    <x:row r="684">
      <x:c r="A684" s="50" t="str">
        <x:v>019fdcbb-2e0a-791c-968e-4550ee27be62</x:v>
      </x:c>
      <x:c r="B684" s="50" t="str">
        <x:v>RIOT</x:v>
      </x:c>
      <x:c r="C684" s="70" t="n">
        <x:v>46241.62363863426</x:v>
      </x:c>
      <x:c r="D684" s="50" t="str">
        <x:v>ENTRY_WATCH</x:v>
      </x:c>
      <x:c r="E684" s="50" t="str">
        <x:v>RIOT ENTRY BREAKAWAY WATCH</x:v>
      </x:c>
      <x:c r="F684" s="50" t="str">
        <x:v>WATCH</x:v>
      </x:c>
      <x:c r="G684" s="50"/>
      <x:c r="H684" s="50" t="str">
        <x:v>LONG</x:v>
      </x:c>
      <x:c r="I684" s="71" t="n">
        <x:v>20.68</x:v>
      </x:c>
      <x:c r="J684" s="76" t="str">
        <x:v>SIP</x:v>
      </x:c>
    </x:row>
    <x:row r="685">
      <x:c r="A685" s="50" t="str">
        <x:v>019fdcbd-0018-7d5d-84fd-7e2fcd4b57e7</x:v>
      </x:c>
      <x:c r="B685" s="50" t="str">
        <x:v>APH</x:v>
      </x:c>
      <x:c r="C685" s="70" t="n">
        <x:v>46241.62501953704</x:v>
      </x:c>
      <x:c r="D685" s="50" t="str">
        <x:v>LONG_BUY_ZONE</x:v>
      </x:c>
      <x:c r="E685" s="50" t="str">
        <x:v>APH LONG BUY ZONE</x:v>
      </x:c>
      <x:c r="F685" s="50" t="str">
        <x:v>WATCH</x:v>
      </x:c>
      <x:c r="G685" s="50"/>
      <x:c r="H685" s="50" t="str">
        <x:v>LONG</x:v>
      </x:c>
      <x:c r="I685" s="71" t="n">
        <x:v>167.87</x:v>
      </x:c>
      <x:c r="J685" s="76" t="str">
        <x:v>SIP</x:v>
      </x:c>
    </x:row>
    <x:row r="686">
      <x:c r="A686" s="50" t="str">
        <x:v>019fdcbd-012b-775c-ae42-4aff805339d7</x:v>
      </x:c>
      <x:c r="B686" s="50" t="str">
        <x:v>RDW</x:v>
      </x:c>
      <x:c r="C686" s="70" t="n">
        <x:v>46241.625022719905</x:v>
      </x:c>
      <x:c r="D686" s="50" t="str">
        <x:v>SWING_SETUP</x:v>
      </x:c>
      <x:c r="E686" s="50" t="str">
        <x:v>RDW SWING SETUP</x:v>
      </x:c>
      <x:c r="F686" s="50" t="str">
        <x:v>WATCH</x:v>
      </x:c>
      <x:c r="G686" s="50"/>
      <x:c r="H686" s="50" t="str">
        <x:v>LONG</x:v>
      </x:c>
      <x:c r="I686" s="71" t="n">
        <x:v>12.92</x:v>
      </x:c>
      <x:c r="J686" s="76" t="str">
        <x:v>SIP</x:v>
      </x:c>
    </x:row>
    <x:row r="687">
      <x:c r="A687" s="50" t="str">
        <x:v>019fdcbd-0150-796e-84a4-566569500a05</x:v>
      </x:c>
      <x:c r="B687" s="50" t="str">
        <x:v>RIOT</x:v>
      </x:c>
      <x:c r="C687" s="70" t="n">
        <x:v>46241.625023148146</x:v>
      </x:c>
      <x:c r="D687" s="50" t="str">
        <x:v>ENTRY_WATCH</x:v>
      </x:c>
      <x:c r="E687" s="50" t="str">
        <x:v>RIOT ENTRY IN_ZONE EARLY WATCH</x:v>
      </x:c>
      <x:c r="F687" s="50" t="str">
        <x:v>WATCH</x:v>
      </x:c>
      <x:c r="G687" s="50"/>
      <x:c r="H687" s="50" t="str">
        <x:v>LONG</x:v>
      </x:c>
      <x:c r="I687" s="71" t="n">
        <x:v>20.59</x:v>
      </x:c>
      <x:c r="J687" s="76" t="str">
        <x:v>SIP</x:v>
      </x:c>
    </x:row>
    <x:row r="688">
      <x:c r="A688" s="50" t="str">
        <x:v>019fdcbd-07f4-7efb-9209-3d613497c57f</x:v>
      </x:c>
      <x:c r="B688" s="50" t="str">
        <x:v>MRK</x:v>
      </x:c>
      <x:c r="C688" s="70" t="n">
        <x:v>46241.625042824075</x:v>
      </x:c>
      <x:c r="D688" s="50" t="str">
        <x:v>LONG_BUY_ZONE</x:v>
      </x:c>
      <x:c r="E688" s="50" t="str">
        <x:v>MRK LONG BUY ZONE</x:v>
      </x:c>
      <x:c r="F688" s="50" t="str">
        <x:v>WATCH</x:v>
      </x:c>
      <x:c r="G688" s="50"/>
      <x:c r="H688" s="50" t="str">
        <x:v>LONG</x:v>
      </x:c>
      <x:c r="I688" s="71" t="n">
        <x:v>127.575</x:v>
      </x:c>
      <x:c r="J688" s="76" t="str">
        <x:v>SIP</x:v>
      </x:c>
    </x:row>
    <x:row r="689">
      <x:c r="A689" s="50" t="str">
        <x:v>019fdcbd-ea43-7b49-a688-643290c9dd2a</x:v>
      </x:c>
      <x:c r="B689" s="50" t="str">
        <x:v>MRK</x:v>
      </x:c>
      <x:c r="C689" s="70" t="n">
        <x:v>46241.625713368056</x:v>
      </x:c>
      <x:c r="D689" s="50" t="str">
        <x:v>ENTRY_WATCH</x:v>
      </x:c>
      <x:c r="E689" s="50" t="str">
        <x:v>MRK ENTRY IN_ZONE EARLY WATCH</x:v>
      </x:c>
      <x:c r="F689" s="50" t="str">
        <x:v>WATCH</x:v>
      </x:c>
      <x:c r="G689" s="50"/>
      <x:c r="H689" s="50" t="str">
        <x:v>LONG</x:v>
      </x:c>
      <x:c r="I689" s="71" t="n">
        <x:v>127.35</x:v>
      </x:c>
      <x:c r="J689" s="76" t="str">
        <x:v>SIP</x:v>
      </x:c>
    </x:row>
    <x:row r="690">
      <x:c r="A690" s="50" t="str">
        <x:v>019fdcbd-eaac-790a-bf79-54786bc1a571</x:v>
      </x:c>
      <x:c r="B690" s="50" t="str">
        <x:v>MSFT</x:v>
      </x:c>
      <x:c r="C690" s="70" t="n">
        <x:v>46241.62571458334</x:v>
      </x:c>
      <x:c r="D690" s="50" t="str">
        <x:v>SWING_SETUP</x:v>
      </x:c>
      <x:c r="E690" s="50" t="str">
        <x:v>MSFT SWING SETUP</x:v>
      </x:c>
      <x:c r="F690" s="50" t="str">
        <x:v>WATCH</x:v>
      </x:c>
      <x:c r="G690" s="50"/>
      <x:c r="H690" s="50" t="str">
        <x:v>LONG</x:v>
      </x:c>
      <x:c r="I690" s="71" t="n">
        <x:v>503.69</x:v>
      </x:c>
      <x:c r="J690" s="76" t="str">
        <x:v>SIP</x:v>
      </x:c>
    </x:row>
    <x:row r="691">
      <x:c r="A691" s="50" t="str">
        <x:v>019fdcbd-f09e-7cb4-b8bf-e100f45d824f</x:v>
      </x:c>
      <x:c r="B691" s="50" t="str">
        <x:v>SBUX</x:v>
      </x:c>
      <x:c r="C691" s="70" t="n">
        <x:v>46241.62573219907</x:v>
      </x:c>
      <x:c r="D691" s="50" t="str">
        <x:v>LONG_BUY_ZONE</x:v>
      </x:c>
      <x:c r="E691" s="50" t="str">
        <x:v>SBUX LONG BUY ZONE</x:v>
      </x:c>
      <x:c r="F691" s="50" t="str">
        <x:v>WATCH</x:v>
      </x:c>
      <x:c r="G691" s="50"/>
      <x:c r="H691" s="50" t="str">
        <x:v>LONG</x:v>
      </x:c>
      <x:c r="I691" s="71" t="n">
        <x:v>105.8901</x:v>
      </x:c>
      <x:c r="J691" s="76" t="str">
        <x:v>SIP</x:v>
      </x:c>
    </x:row>
    <x:row r="692">
      <x:c r="A692" s="50" t="str">
        <x:v>019fdcbd-f12a-7834-8f53-c03e8fea393b</x:v>
      </x:c>
      <x:c r="B692" s="50" t="str">
        <x:v>RIOT</x:v>
      </x:c>
      <x:c r="C692" s="70" t="n">
        <x:v>46241.62573381944</x:v>
      </x:c>
      <x:c r="D692" s="50" t="str">
        <x:v>ENTRY_WATCH</x:v>
      </x:c>
      <x:c r="E692" s="50" t="str">
        <x:v>RIOT ENTRY BREAKAWAY WATCH</x:v>
      </x:c>
      <x:c r="F692" s="50" t="str">
        <x:v>WATCH</x:v>
      </x:c>
      <x:c r="G692" s="50"/>
      <x:c r="H692" s="50" t="str">
        <x:v>LONG</x:v>
      </x:c>
      <x:c r="I692" s="71" t="n">
        <x:v>20.64</x:v>
      </x:c>
      <x:c r="J692" s="76" t="str">
        <x:v>SIP</x:v>
      </x:c>
    </x:row>
    <x:row r="693">
      <x:c r="A693" s="50" t="str">
        <x:v>019fdcbd-f12f-7c40-8559-3fdcc591db05</x:v>
      </x:c>
      <x:c r="B693" s="50" t="str">
        <x:v>SOUN</x:v>
      </x:c>
      <x:c r="C693" s="70" t="n">
        <x:v>46241.625733877314</x:v>
      </x:c>
      <x:c r="D693" s="50" t="str">
        <x:v>SWING_SETUP</x:v>
      </x:c>
      <x:c r="E693" s="50" t="str">
        <x:v>SOUN SWING SETUP</x:v>
      </x:c>
      <x:c r="F693" s="50" t="str">
        <x:v>WATCH</x:v>
      </x:c>
      <x:c r="G693" s="50"/>
      <x:c r="H693" s="50" t="str">
        <x:v>LONG</x:v>
      </x:c>
      <x:c r="I693" s="71" t="n">
        <x:v>7.535</x:v>
      </x:c>
      <x:c r="J693" s="76" t="str">
        <x:v>SIP</x:v>
      </x:c>
    </x:row>
    <x:row r="694">
      <x:c r="A694" s="50" t="str">
        <x:v>019fdcbd-f303-7f80-9f23-e249689be06f</x:v>
      </x:c>
      <x:c r="B694" s="50" t="str">
        <x:v>TTWO</x:v>
      </x:c>
      <x:c r="C694" s="70" t="n">
        <x:v>46241.62573929398</x:v>
      </x:c>
      <x:c r="D694" s="50" t="str">
        <x:v>SWING_SETUP</x:v>
      </x:c>
      <x:c r="E694" s="50" t="str">
        <x:v>TTWO SWING SETUP</x:v>
      </x:c>
      <x:c r="F694" s="50" t="str">
        <x:v>WATCH</x:v>
      </x:c>
      <x:c r="G694" s="50"/>
      <x:c r="H694" s="50" t="str">
        <x:v>LONG</x:v>
      </x:c>
      <x:c r="I694" s="71" t="n">
        <x:v>242.755</x:v>
      </x:c>
      <x:c r="J694" s="76" t="str">
        <x:v>SIP</x:v>
      </x:c>
    </x:row>
    <x:row r="695">
      <x:c r="A695" s="50" t="str">
        <x:v>019fdcbd-f309-7333-8731-9329d18783b6</x:v>
      </x:c>
      <x:c r="B695" s="50" t="str">
        <x:v>INTU</x:v>
      </x:c>
      <x:c r="C695" s="70" t="n">
        <x:v>46241.62573936342</x:v>
      </x:c>
      <x:c r="D695" s="50" t="str">
        <x:v>SWING_SETUP</x:v>
      </x:c>
      <x:c r="E695" s="50" t="str">
        <x:v>INTU SWING SETUP</x:v>
      </x:c>
      <x:c r="F695" s="50" t="str">
        <x:v>WATCH</x:v>
      </x:c>
      <x:c r="G695" s="50"/>
      <x:c r="H695" s="50" t="str">
        <x:v>LONG</x:v>
      </x:c>
      <x:c r="I695" s="71" t="n">
        <x:v>333.48</x:v>
      </x:c>
      <x:c r="J695" s="76" t="str">
        <x:v>SIP</x:v>
      </x:c>
    </x:row>
    <x:row r="696">
      <x:c r="A696" s="50" t="str">
        <x:v>019fdcbd-f344-742b-85c6-b03951351e33</x:v>
      </x:c>
      <x:c r="B696" s="50" t="str">
        <x:v>BABA</x:v>
      </x:c>
      <x:c r="C696" s="70" t="n">
        <x:v>46241.62574004629</x:v>
      </x:c>
      <x:c r="D696" s="50" t="str">
        <x:v>SWING_SETUP</x:v>
      </x:c>
      <x:c r="E696" s="50" t="str">
        <x:v>BABA SWING SETUP</x:v>
      </x:c>
      <x:c r="F696" s="50" t="str">
        <x:v>WATCH</x:v>
      </x:c>
      <x:c r="G696" s="50"/>
      <x:c r="H696" s="50" t="str">
        <x:v>LONG</x:v>
      </x:c>
      <x:c r="I696" s="71" t="n">
        <x:v>127.5201</x:v>
      </x:c>
      <x:c r="J696" s="76" t="str">
        <x:v>SIP</x:v>
      </x:c>
    </x:row>
    <x:row r="697">
      <x:c r="A697" s="50" t="str">
        <x:v>019fdcbe-d753-754a-bde8-28a1086ea5c1</x:v>
      </x:c>
      <x:c r="B697" s="50" t="str">
        <x:v>AMGN</x:v>
      </x:c>
      <x:c r="C697" s="70" t="n">
        <x:v>46241.62641577546</x:v>
      </x:c>
      <x:c r="D697" s="50" t="str">
        <x:v>SWING_SETUP</x:v>
      </x:c>
      <x:c r="E697" s="50" t="str">
        <x:v>AMGN SWING SETUP</x:v>
      </x:c>
      <x:c r="F697" s="50" t="str">
        <x:v>WATCH</x:v>
      </x:c>
      <x:c r="G697" s="50"/>
      <x:c r="H697" s="50" t="str">
        <x:v>LONG</x:v>
      </x:c>
      <x:c r="I697" s="71" t="n">
        <x:v>407.215</x:v>
      </x:c>
      <x:c r="J697" s="76" t="str">
        <x:v>SIP</x:v>
      </x:c>
    </x:row>
    <x:row r="698">
      <x:c r="A698" s="50" t="str">
        <x:v>019fdcbe-d906-7e1f-814a-040852c68194</x:v>
      </x:c>
      <x:c r="B698" s="50" t="str">
        <x:v>PLTR</x:v>
      </x:c>
      <x:c r="C698" s="70" t="n">
        <x:v>46241.626420810186</x:v>
      </x:c>
      <x:c r="D698" s="50" t="str">
        <x:v>SWING_SETUP</x:v>
      </x:c>
      <x:c r="E698" s="50" t="str">
        <x:v>PLTR SWING SETUP</x:v>
      </x:c>
      <x:c r="F698" s="50" t="str">
        <x:v>WATCH</x:v>
      </x:c>
      <x:c r="G698" s="50"/>
      <x:c r="H698" s="50" t="str">
        <x:v>LONG</x:v>
      </x:c>
      <x:c r="I698" s="71" t="n">
        <x:v>170.05</x:v>
      </x:c>
      <x:c r="J698" s="76" t="str">
        <x:v>SIP</x:v>
      </x:c>
    </x:row>
    <x:row r="699">
      <x:c r="A699" s="50" t="str">
        <x:v>019fdcbe-d955-7e12-a6e8-dbd7af7e3c3c</x:v>
      </x:c>
      <x:c r="B699" s="50" t="str">
        <x:v>NOVT</x:v>
      </x:c>
      <x:c r="C699" s="70" t="n">
        <x:v>46241.62642172453</x:v>
      </x:c>
      <x:c r="D699" s="50" t="str">
        <x:v>SWING_SETUP</x:v>
      </x:c>
      <x:c r="E699" s="50" t="str">
        <x:v>NOVT SWING SETUP</x:v>
      </x:c>
      <x:c r="F699" s="50" t="str">
        <x:v>WATCH</x:v>
      </x:c>
      <x:c r="G699" s="50"/>
      <x:c r="H699" s="50" t="str">
        <x:v>LONG</x:v>
      </x:c>
      <x:c r="I699" s="71" t="n">
        <x:v>169.565</x:v>
      </x:c>
      <x:c r="J699" s="76" t="str">
        <x:v>SIP</x:v>
      </x:c>
    </x:row>
    <x:row r="700">
      <x:c r="A700" s="50" t="str">
        <x:v>019fdcbe-d973-7a12-835f-3288cdd40e7a</x:v>
      </x:c>
      <x:c r="B700" s="50" t="str">
        <x:v>HRL</x:v>
      </x:c>
      <x:c r="C700" s="70" t="n">
        <x:v>46241.62642207176</x:v>
      </x:c>
      <x:c r="D700" s="50" t="str">
        <x:v>SWING_SETUP</x:v>
      </x:c>
      <x:c r="E700" s="50" t="str">
        <x:v>HRL SWING SETUP</x:v>
      </x:c>
      <x:c r="F700" s="50" t="str">
        <x:v>WATCH</x:v>
      </x:c>
      <x:c r="G700" s="50"/>
      <x:c r="H700" s="50" t="str">
        <x:v>LONG</x:v>
      </x:c>
      <x:c r="I700" s="71" t="n">
        <x:v>25.285</x:v>
      </x:c>
      <x:c r="J700" s="76" t="str">
        <x:v>SIP</x:v>
      </x:c>
    </x:row>
    <x:row r="701">
      <x:c r="A701" s="50" t="str">
        <x:v>019fdcbe-d9f7-7d36-a60b-898ba2efdf00</x:v>
      </x:c>
      <x:c r="B701" s="50" t="str">
        <x:v>LMT</x:v>
      </x:c>
      <x:c r="C701" s="70" t="n">
        <x:v>46241.62642359954</x:v>
      </x:c>
      <x:c r="D701" s="50" t="str">
        <x:v>SWING_SETUP</x:v>
      </x:c>
      <x:c r="E701" s="50" t="str">
        <x:v>LMT SWING SETUP</x:v>
      </x:c>
      <x:c r="F701" s="50" t="str">
        <x:v>WATCH</x:v>
      </x:c>
      <x:c r="G701" s="50"/>
      <x:c r="H701" s="50" t="str">
        <x:v>LONG</x:v>
      </x:c>
      <x:c r="I701" s="71" t="n">
        <x:v>580.94</x:v>
      </x:c>
      <x:c r="J701" s="76" t="str">
        <x:v>SIP</x:v>
      </x:c>
    </x:row>
    <x:row r="702">
      <x:c r="A702" s="50" t="str">
        <x:v>019fdcbe-da35-731f-b11a-9a6c03bfa1fd</x:v>
      </x:c>
      <x:c r="B702" s="50" t="str">
        <x:v>DASH</x:v>
      </x:c>
      <x:c r="C702" s="70" t="n">
        <x:v>46241.62642431713</x:v>
      </x:c>
      <x:c r="D702" s="50" t="str">
        <x:v>SWING_SETUP</x:v>
      </x:c>
      <x:c r="E702" s="50" t="str">
        <x:v>DASH SWING SETUP</x:v>
      </x:c>
      <x:c r="F702" s="50" t="str">
        <x:v>WATCH</x:v>
      </x:c>
      <x:c r="G702" s="50"/>
      <x:c r="H702" s="50" t="str">
        <x:v>LONG</x:v>
      </x:c>
      <x:c r="I702" s="71" t="n">
        <x:v>219.82</x:v>
      </x:c>
      <x:c r="J702" s="76" t="str">
        <x:v>SIP</x:v>
      </x:c>
    </x:row>
    <x:row r="703">
      <x:c r="A703" s="50" t="str">
        <x:v>019fdcbe-da43-7ba2-959b-f4acc03080c1</x:v>
      </x:c>
      <x:c r="B703" s="50" t="str">
        <x:v>ABNB</x:v>
      </x:c>
      <x:c r="C703" s="70" t="n">
        <x:v>46241.62642447917</x:v>
      </x:c>
      <x:c r="D703" s="50" t="str">
        <x:v>SWING_SETUP</x:v>
      </x:c>
      <x:c r="E703" s="50" t="str">
        <x:v>ABNB SWING SETUP</x:v>
      </x:c>
      <x:c r="F703" s="50" t="str">
        <x:v>WATCH</x:v>
      </x:c>
      <x:c r="G703" s="50"/>
      <x:c r="H703" s="50" t="str">
        <x:v>LONG</x:v>
      </x:c>
      <x:c r="I703" s="71" t="n">
        <x:v>175.765</x:v>
      </x:c>
      <x:c r="J703" s="76" t="str">
        <x:v>SIP</x:v>
      </x:c>
    </x:row>
    <x:row r="704">
      <x:c r="A704" s="50" t="str">
        <x:v>019fdcbe-da58-7359-af1b-b53548ca3ce1</x:v>
      </x:c>
      <x:c r="B704" s="50" t="str">
        <x:v>DLR</x:v>
      </x:c>
      <x:c r="C704" s="70" t="n">
        <x:v>46241.62642472222</x:v>
      </x:c>
      <x:c r="D704" s="50" t="str">
        <x:v>SWING_SETUP</x:v>
      </x:c>
      <x:c r="E704" s="50" t="str">
        <x:v>DLR SWING SETUP</x:v>
      </x:c>
      <x:c r="F704" s="50" t="str">
        <x:v>WATCH</x:v>
      </x:c>
      <x:c r="G704" s="50"/>
      <x:c r="H704" s="50" t="str">
        <x:v>LONG</x:v>
      </x:c>
      <x:c r="I704" s="71" t="n">
        <x:v>194.86</x:v>
      </x:c>
      <x:c r="J704" s="76" t="str">
        <x:v>SIP</x:v>
      </x:c>
    </x:row>
    <x:row r="705">
      <x:c r="A705" s="50" t="str">
        <x:v>019fdcbe-da9a-7790-bd2e-7bec0999c5ef</x:v>
      </x:c>
      <x:c r="B705" s="50" t="str">
        <x:v>APA</x:v>
      </x:c>
      <x:c r="C705" s="70" t="n">
        <x:v>46241.62642548611</x:v>
      </x:c>
      <x:c r="D705" s="50" t="str">
        <x:v>SWING_SETUP</x:v>
      </x:c>
      <x:c r="E705" s="50" t="str">
        <x:v>APA SWING SETUP</x:v>
      </x:c>
      <x:c r="F705" s="50" t="str">
        <x:v>WATCH</x:v>
      </x:c>
      <x:c r="G705" s="50"/>
      <x:c r="H705" s="50" t="str">
        <x:v>LONG</x:v>
      </x:c>
      <x:c r="I705" s="71" t="n">
        <x:v>36.91</x:v>
      </x:c>
      <x:c r="J705" s="76" t="str">
        <x:v>SIP</x:v>
      </x:c>
    </x:row>
    <x:row r="706">
      <x:c r="A706" s="50" t="str">
        <x:v>019fdcbe-daa3-7b3b-9784-e7df4cc4dac8</x:v>
      </x:c>
      <x:c r="B706" s="50" t="str">
        <x:v>WELL</x:v>
      </x:c>
      <x:c r="C706" s="70" t="n">
        <x:v>46241.62642559028</x:v>
      </x:c>
      <x:c r="D706" s="50" t="str">
        <x:v>SWING_SETUP</x:v>
      </x:c>
      <x:c r="E706" s="50" t="str">
        <x:v>WELL SWING SETUP</x:v>
      </x:c>
      <x:c r="F706" s="50" t="str">
        <x:v>WATCH</x:v>
      </x:c>
      <x:c r="G706" s="50"/>
      <x:c r="H706" s="50" t="str">
        <x:v>LONG</x:v>
      </x:c>
      <x:c r="I706" s="71" t="n">
        <x:v>237.28</x:v>
      </x:c>
      <x:c r="J706" s="76" t="str">
        <x:v>SIP</x:v>
      </x:c>
    </x:row>
    <x:row r="707">
      <x:c r="A707" s="50" t="str">
        <x:v>019fdcbe-dabb-7eea-bc5d-2a02d272aebf</x:v>
      </x:c>
      <x:c r="B707" s="50" t="str">
        <x:v>NEM</x:v>
      </x:c>
      <x:c r="C707" s="70" t="n">
        <x:v>46241.626425856484</x:v>
      </x:c>
      <x:c r="D707" s="50" t="str">
        <x:v>SWING_SETUP</x:v>
      </x:c>
      <x:c r="E707" s="50" t="str">
        <x:v>NEM SWING SETUP</x:v>
      </x:c>
      <x:c r="F707" s="50" t="str">
        <x:v>WATCH</x:v>
      </x:c>
      <x:c r="G707" s="50"/>
      <x:c r="H707" s="50" t="str">
        <x:v>LONG</x:v>
      </x:c>
      <x:c r="I707" s="71" t="n">
        <x:v>112.34</x:v>
      </x:c>
      <x:c r="J707" s="76" t="str">
        <x:v>SIP</x:v>
      </x:c>
    </x:row>
    <x:row r="708">
      <x:c r="A708" s="50" t="str">
        <x:v>019fdcbe-dac3-7e2f-9297-2623792fea8f</x:v>
      </x:c>
      <x:c r="B708" s="50" t="str">
        <x:v>GRAB</x:v>
      </x:c>
      <x:c r="C708" s="70" t="n">
        <x:v>46241.62642596065</x:v>
      </x:c>
      <x:c r="D708" s="50" t="str">
        <x:v>SWING_SETUP</x:v>
      </x:c>
      <x:c r="E708" s="50" t="str">
        <x:v>GRAB SWING SETUP</x:v>
      </x:c>
      <x:c r="F708" s="50" t="str">
        <x:v>WATCH</x:v>
      </x:c>
      <x:c r="G708" s="50"/>
      <x:c r="H708" s="50" t="str">
        <x:v>LONG</x:v>
      </x:c>
      <x:c r="I708" s="71" t="n">
        <x:v>3.68</x:v>
      </x:c>
      <x:c r="J708" s="76" t="str">
        <x:v>SIP</x:v>
      </x:c>
    </x:row>
    <x:row r="709">
      <x:c r="A709" s="50" t="str">
        <x:v>019fdcbe-df57-7994-9921-627b17e2230d</x:v>
      </x:c>
      <x:c r="B709" s="50" t="str">
        <x:v>PM</x:v>
      </x:c>
      <x:c r="C709" s="70" t="n">
        <x:v>46241.62643952546</x:v>
      </x:c>
      <x:c r="D709" s="50" t="str">
        <x:v>LONG_BUY_ZONE</x:v>
      </x:c>
      <x:c r="E709" s="50" t="str">
        <x:v>PM LONG BUY ZONE</x:v>
      </x:c>
      <x:c r="F709" s="50" t="str">
        <x:v>WATCH</x:v>
      </x:c>
      <x:c r="G709" s="50"/>
      <x:c r="H709" s="50" t="str">
        <x:v>LONG</x:v>
      </x:c>
      <x:c r="I709" s="71" t="n">
        <x:v>189.055</x:v>
      </x:c>
      <x:c r="J709" s="76" t="str">
        <x:v>SIP</x:v>
      </x:c>
    </x:row>
    <x:row r="710">
      <x:c r="A710" s="50" t="str">
        <x:v>019fdcbf-c272-7f40-a9bb-6fc733403be8</x:v>
      </x:c>
      <x:c r="B710" s="50" t="str">
        <x:v>ANET</x:v>
      </x:c>
      <x:c r="C710" s="70" t="n">
        <x:v>46241.62711241898</x:v>
      </x:c>
      <x:c r="D710" s="50" t="str">
        <x:v>SWING_SETUP</x:v>
      </x:c>
      <x:c r="E710" s="50" t="str">
        <x:v>ANET SWING SETUP</x:v>
      </x:c>
      <x:c r="F710" s="50" t="str">
        <x:v>WATCH</x:v>
      </x:c>
      <x:c r="G710" s="50"/>
      <x:c r="H710" s="50" t="str">
        <x:v>LONG</x:v>
      </x:c>
      <x:c r="I710" s="71" t="n">
        <x:v>190.51</x:v>
      </x:c>
      <x:c r="J710" s="76" t="str">
        <x:v>SIP</x:v>
      </x:c>
    </x:row>
    <x:row r="711">
      <x:c r="A711" s="50" t="str">
        <x:v>019fdcbf-c287-7530-bf44-13b885d9998b</x:v>
      </x:c>
      <x:c r="B711" s="50" t="str">
        <x:v>NVDA</x:v>
      </x:c>
      <x:c r="C711" s="70" t="n">
        <x:v>46241.62711267361</x:v>
      </x:c>
      <x:c r="D711" s="50" t="str">
        <x:v>SWING_SETUP</x:v>
      </x:c>
      <x:c r="E711" s="50" t="str">
        <x:v>NVDA SWING SETUP</x:v>
      </x:c>
      <x:c r="F711" s="50" t="str">
        <x:v>WATCH</x:v>
      </x:c>
      <x:c r="G711" s="50"/>
      <x:c r="H711" s="50" t="str">
        <x:v>LONG</x:v>
      </x:c>
      <x:c r="I711" s="71" t="n">
        <x:v>223.18</x:v>
      </x:c>
      <x:c r="J711" s="76" t="str">
        <x:v>SIP</x:v>
      </x:c>
    </x:row>
    <x:row r="712">
      <x:c r="A712" s="50" t="str">
        <x:v>019fdcbf-c29f-79c4-a72d-5d88a1a2ffa4</x:v>
      </x:c>
      <x:c r="B712" s="50" t="str">
        <x:v>OXY</x:v>
      </x:c>
      <x:c r="C712" s="70" t="n">
        <x:v>46241.62711295139</x:v>
      </x:c>
      <x:c r="D712" s="50" t="str">
        <x:v>SWING_SETUP</x:v>
      </x:c>
      <x:c r="E712" s="50" t="str">
        <x:v>OXY SWING SETUP</x:v>
      </x:c>
      <x:c r="F712" s="50" t="str">
        <x:v>WATCH</x:v>
      </x:c>
      <x:c r="G712" s="50"/>
      <x:c r="H712" s="50" t="str">
        <x:v>LONG</x:v>
      </x:c>
      <x:c r="I712" s="71" t="n">
        <x:v>56.02</x:v>
      </x:c>
      <x:c r="J712" s="76" t="str">
        <x:v>SIP</x:v>
      </x:c>
    </x:row>
    <x:row r="713">
      <x:c r="A713" s="50" t="str">
        <x:v>019fdcbf-c2ae-7f1e-b428-5ff41207f078</x:v>
      </x:c>
      <x:c r="B713" s="50" t="str">
        <x:v>ADBE</x:v>
      </x:c>
      <x:c r="C713" s="70" t="n">
        <x:v>46241.62711311343</x:v>
      </x:c>
      <x:c r="D713" s="50" t="str">
        <x:v>SWING_SETUP</x:v>
      </x:c>
      <x:c r="E713" s="50" t="str">
        <x:v>ADBE SWING SETUP</x:v>
      </x:c>
      <x:c r="F713" s="50" t="str">
        <x:v>WATCH</x:v>
      </x:c>
      <x:c r="G713" s="50"/>
      <x:c r="H713" s="50" t="str">
        <x:v>LONG</x:v>
      </x:c>
      <x:c r="I713" s="71" t="n">
        <x:v>269.34</x:v>
      </x:c>
      <x:c r="J713" s="76" t="str">
        <x:v>SIP</x:v>
      </x:c>
    </x:row>
    <x:row r="714">
      <x:c r="A714" s="50" t="str">
        <x:v>019fdcbf-c2b6-7062-a4fe-91b9f1c925af</x:v>
      </x:c>
      <x:c r="B714" s="50" t="str">
        <x:v>COP</x:v>
      </x:c>
      <x:c r="C714" s="70" t="n">
        <x:v>46241.62711321759</x:v>
      </x:c>
      <x:c r="D714" s="50" t="str">
        <x:v>SWING_SETUP</x:v>
      </x:c>
      <x:c r="E714" s="50" t="str">
        <x:v>COP SWING SETUP</x:v>
      </x:c>
      <x:c r="F714" s="50" t="str">
        <x:v>WATCH</x:v>
      </x:c>
      <x:c r="G714" s="50"/>
      <x:c r="H714" s="50" t="str">
        <x:v>LONG</x:v>
      </x:c>
      <x:c r="I714" s="71" t="n">
        <x:v>117.6</x:v>
      </x:c>
      <x:c r="J714" s="76" t="str">
        <x:v>SIP</x:v>
      </x:c>
    </x:row>
    <x:row r="715">
      <x:c r="A715" s="50" t="str">
        <x:v>019fdcbf-c2d4-76fd-991b-882bf8b376a9</x:v>
      </x:c>
      <x:c r="B715" s="50" t="str">
        <x:v>SBUX</x:v>
      </x:c>
      <x:c r="C715" s="70" t="n">
        <x:v>46241.62711356481</x:v>
      </x:c>
      <x:c r="D715" s="50" t="str">
        <x:v>SWING_SETUP</x:v>
      </x:c>
      <x:c r="E715" s="50" t="str">
        <x:v>SBUX SWING SETUP</x:v>
      </x:c>
      <x:c r="F715" s="50" t="str">
        <x:v>WATCH</x:v>
      </x:c>
      <x:c r="G715" s="50"/>
      <x:c r="H715" s="50" t="str">
        <x:v>LONG</x:v>
      </x:c>
      <x:c r="I715" s="71" t="n">
        <x:v>105.95</x:v>
      </x:c>
      <x:c r="J715" s="76" t="str">
        <x:v>SIP</x:v>
      </x:c>
    </x:row>
    <x:row r="716">
      <x:c r="A716" s="50" t="str">
        <x:v>019fdcbf-c2e5-755d-84d9-88a17f381082</x:v>
      </x:c>
      <x:c r="B716" s="50" t="str">
        <x:v>MDLZ</x:v>
      </x:c>
      <x:c r="C716" s="70" t="n">
        <x:v>46241.62711376158</x:v>
      </x:c>
      <x:c r="D716" s="50" t="str">
        <x:v>SWING_SETUP</x:v>
      </x:c>
      <x:c r="E716" s="50" t="str">
        <x:v>MDLZ SWING SETUP</x:v>
      </x:c>
      <x:c r="F716" s="50" t="str">
        <x:v>WATCH</x:v>
      </x:c>
      <x:c r="G716" s="50"/>
      <x:c r="H716" s="50" t="str">
        <x:v>LONG</x:v>
      </x:c>
      <x:c r="I716" s="71" t="n">
        <x:v>62.84</x:v>
      </x:c>
      <x:c r="J716" s="76" t="str">
        <x:v>SIP</x:v>
      </x:c>
    </x:row>
    <x:row r="717">
      <x:c r="A717" s="50" t="str">
        <x:v>019fdcbf-c2ed-7249-8424-7ffa1a645962</x:v>
      </x:c>
      <x:c r="B717" s="50" t="str">
        <x:v>VZ</x:v>
      </x:c>
      <x:c r="C717" s="70" t="n">
        <x:v>46241.62711385416</x:v>
      </x:c>
      <x:c r="D717" s="50" t="str">
        <x:v>SWING_SETUP</x:v>
      </x:c>
      <x:c r="E717" s="50" t="str">
        <x:v>VZ SWING SETUP</x:v>
      </x:c>
      <x:c r="F717" s="50" t="str">
        <x:v>WATCH</x:v>
      </x:c>
      <x:c r="G717" s="50"/>
      <x:c r="H717" s="50" t="str">
        <x:v>LONG</x:v>
      </x:c>
      <x:c r="I717" s="71" t="n">
        <x:v>46.785</x:v>
      </x:c>
      <x:c r="J717" s="76" t="str">
        <x:v>SIP</x:v>
      </x:c>
    </x:row>
    <x:row r="718">
      <x:c r="A718" s="50" t="str">
        <x:v>019fdcbf-c2fd-7432-8228-9b96c840315b</x:v>
      </x:c>
      <x:c r="B718" s="50" t="str">
        <x:v>UNP</x:v>
      </x:c>
      <x:c r="C718" s="70" t="n">
        <x:v>46241.62711403935</x:v>
      </x:c>
      <x:c r="D718" s="50" t="str">
        <x:v>SWING_SETUP</x:v>
      </x:c>
      <x:c r="E718" s="50" t="str">
        <x:v>UNP SWING SETUP</x:v>
      </x:c>
      <x:c r="F718" s="50" t="str">
        <x:v>WATCH</x:v>
      </x:c>
      <x:c r="G718" s="50"/>
      <x:c r="H718" s="50" t="str">
        <x:v>LONG</x:v>
      </x:c>
      <x:c r="I718" s="71" t="n">
        <x:v>294.41</x:v>
      </x:c>
      <x:c r="J718" s="76" t="str">
        <x:v>SIP</x:v>
      </x:c>
    </x:row>
    <x:row r="719">
      <x:c r="A719" s="50" t="str">
        <x:v>019fdcbf-c3a8-7198-a696-e0d5ac7cbdbb</x:v>
      </x:c>
      <x:c r="B719" s="50" t="str">
        <x:v>RIOT</x:v>
      </x:c>
      <x:c r="C719" s="70" t="n">
        <x:v>46241.62711601852</x:v>
      </x:c>
      <x:c r="D719" s="50" t="str">
        <x:v>ENTRY_WATCH</x:v>
      </x:c>
      <x:c r="E719" s="50" t="str">
        <x:v>RIOT ENTRY IN_ZONE EARLY WATCH</x:v>
      </x:c>
      <x:c r="F719" s="50" t="str">
        <x:v>WATCH</x:v>
      </x:c>
      <x:c r="G719" s="50"/>
      <x:c r="H719" s="50" t="str">
        <x:v>LONG</x:v>
      </x:c>
      <x:c r="I719" s="71" t="n">
        <x:v>20.62</x:v>
      </x:c>
      <x:c r="J719" s="76" t="str">
        <x:v>SIP</x:v>
      </x:c>
    </x:row>
    <x:row r="720">
      <x:c r="A720" s="50" t="str">
        <x:v>019fdcbf-c43c-7f1b-bc6d-dcf272697b49</x:v>
      </x:c>
      <x:c r="B720" s="50" t="str">
        <x:v>BLFS</x:v>
      </x:c>
      <x:c r="C720" s="70" t="n">
        <x:v>46241.627117731485</x:v>
      </x:c>
      <x:c r="D720" s="50" t="str">
        <x:v>SWING_SETUP</x:v>
      </x:c>
      <x:c r="E720" s="50" t="str">
        <x:v>BLFS SWING SETUP</x:v>
      </x:c>
      <x:c r="F720" s="50" t="str">
        <x:v>WATCH</x:v>
      </x:c>
      <x:c r="G720" s="50"/>
      <x:c r="H720" s="50" t="str">
        <x:v>LONG</x:v>
      </x:c>
      <x:c r="I720" s="71" t="n">
        <x:v>34.55</x:v>
      </x:c>
      <x:c r="J720" s="76" t="str">
        <x:v>SIP</x:v>
      </x:c>
    </x:row>
    <x:row r="721">
      <x:c r="A721" s="50" t="str">
        <x:v>019fdcbf-c44e-756a-a9f1-7c4ce958a572</x:v>
      </x:c>
      <x:c r="B721" s="50" t="str">
        <x:v>BMY</x:v>
      </x:c>
      <x:c r="C721" s="70" t="n">
        <x:v>46241.62711793982</x:v>
      </x:c>
      <x:c r="D721" s="50" t="str">
        <x:v>SWING_SETUP</x:v>
      </x:c>
      <x:c r="E721" s="50" t="str">
        <x:v>BMY SWING SETUP</x:v>
      </x:c>
      <x:c r="F721" s="50" t="str">
        <x:v>WATCH</x:v>
      </x:c>
      <x:c r="G721" s="50"/>
      <x:c r="H721" s="50" t="str">
        <x:v>LONG</x:v>
      </x:c>
      <x:c r="I721" s="71" t="n">
        <x:v>64.4</x:v>
      </x:c>
      <x:c r="J721" s="76" t="str">
        <x:v>SIP</x:v>
      </x:c>
    </x:row>
    <x:row r="722">
      <x:c r="A722" s="50" t="str">
        <x:v>019fdcbf-c45b-7f26-b8b6-c1c66e119c03</x:v>
      </x:c>
      <x:c r="B722" s="50" t="str">
        <x:v>MA</x:v>
      </x:c>
      <x:c r="C722" s="70" t="n">
        <x:v>46241.62711809028</x:v>
      </x:c>
      <x:c r="D722" s="50" t="str">
        <x:v>SWING_SETUP</x:v>
      </x:c>
      <x:c r="E722" s="50" t="str">
        <x:v>MA SWING SETUP</x:v>
      </x:c>
      <x:c r="F722" s="50" t="str">
        <x:v>WATCH</x:v>
      </x:c>
      <x:c r="G722" s="50"/>
      <x:c r="H722" s="50" t="str">
        <x:v>LONG</x:v>
      </x:c>
      <x:c r="I722" s="71" t="n">
        <x:v>567.775</x:v>
      </x:c>
      <x:c r="J722" s="76" t="str">
        <x:v>SIP</x:v>
      </x:c>
    </x:row>
    <x:row r="723">
      <x:c r="A723" s="50" t="str">
        <x:v>019fdcbf-c468-76db-8d7e-3663b75f1a2c</x:v>
      </x:c>
      <x:c r="B723" s="50" t="str">
        <x:v>SNOW</x:v>
      </x:c>
      <x:c r="C723" s="70" t="n">
        <x:v>46241.62711824074</x:v>
      </x:c>
      <x:c r="D723" s="50" t="str">
        <x:v>SWING_SETUP</x:v>
      </x:c>
      <x:c r="E723" s="50" t="str">
        <x:v>SNOW SWING SETUP</x:v>
      </x:c>
      <x:c r="F723" s="50" t="str">
        <x:v>WATCH</x:v>
      </x:c>
      <x:c r="G723" s="50"/>
      <x:c r="H723" s="50" t="str">
        <x:v>LONG</x:v>
      </x:c>
      <x:c r="I723" s="71" t="n">
        <x:v>324.45</x:v>
      </x:c>
      <x:c r="J723" s="76" t="str">
        <x:v>SIP</x:v>
      </x:c>
    </x:row>
    <x:row r="724">
      <x:c r="A724" s="50" t="str">
        <x:v>019fdcbf-c4af-7fac-a7bd-61c1a00a36ad</x:v>
      </x:c>
      <x:c r="B724" s="50" t="str">
        <x:v>JD</x:v>
      </x:c>
      <x:c r="C724" s="70" t="n">
        <x:v>46241.6271190625</x:v>
      </x:c>
      <x:c r="D724" s="50" t="str">
        <x:v>SWING_SETUP</x:v>
      </x:c>
      <x:c r="E724" s="50" t="str">
        <x:v>JD SWING SETUP</x:v>
      </x:c>
      <x:c r="F724" s="50" t="str">
        <x:v>WATCH</x:v>
      </x:c>
      <x:c r="G724" s="50"/>
      <x:c r="H724" s="50" t="str">
        <x:v>LONG</x:v>
      </x:c>
      <x:c r="I724" s="71" t="n">
        <x:v>32.86</x:v>
      </x:c>
      <x:c r="J724" s="76" t="str">
        <x:v>SIP</x:v>
      </x:c>
    </x:row>
    <x:row r="725">
      <x:c r="A725" s="50" t="str">
        <x:v>019fdcbf-c4d5-7ef2-97bb-eaba9f68aaa5</x:v>
      </x:c>
      <x:c r="B725" s="50" t="str">
        <x:v>BAC</x:v>
      </x:c>
      <x:c r="C725" s="70" t="n">
        <x:v>46241.627119502315</x:v>
      </x:c>
      <x:c r="D725" s="50" t="str">
        <x:v>SWING_SETUP</x:v>
      </x:c>
      <x:c r="E725" s="50" t="str">
        <x:v>BAC SWING SETUP</x:v>
      </x:c>
      <x:c r="F725" s="50" t="str">
        <x:v>WATCH</x:v>
      </x:c>
      <x:c r="G725" s="50"/>
      <x:c r="H725" s="50" t="str">
        <x:v>LONG</x:v>
      </x:c>
      <x:c r="I725" s="71" t="n">
        <x:v>62.955</x:v>
      </x:c>
      <x:c r="J725" s="76" t="str">
        <x:v>SIP</x:v>
      </x:c>
    </x:row>
    <x:row r="726">
      <x:c r="A726" s="50" t="str">
        <x:v>019fdcbf-c4e6-743e-95cd-8b54deaa8265</x:v>
      </x:c>
      <x:c r="B726" s="50" t="str">
        <x:v>JPM</x:v>
      </x:c>
      <x:c r="C726" s="70" t="n">
        <x:v>46241.62711969907</x:v>
      </x:c>
      <x:c r="D726" s="50" t="str">
        <x:v>SWING_SETUP</x:v>
      </x:c>
      <x:c r="E726" s="50" t="str">
        <x:v>JPM SWING SETUP</x:v>
      </x:c>
      <x:c r="F726" s="50" t="str">
        <x:v>WATCH</x:v>
      </x:c>
      <x:c r="G726" s="50"/>
      <x:c r="H726" s="50" t="str">
        <x:v>LONG</x:v>
      </x:c>
      <x:c r="I726" s="71" t="n">
        <x:v>356.55</x:v>
      </x:c>
      <x:c r="J726" s="76" t="str">
        <x:v>SIP</x:v>
      </x:c>
    </x:row>
    <x:row r="727">
      <x:c r="A727" s="50" t="str">
        <x:v>019fdcbf-c4f4-7640-bbeb-354598278290</x:v>
      </x:c>
      <x:c r="B727" s="50" t="str">
        <x:v>ECL</x:v>
      </x:c>
      <x:c r="C727" s="70" t="n">
        <x:v>46241.627119861114</x:v>
      </x:c>
      <x:c r="D727" s="50" t="str">
        <x:v>SWING_SETUP</x:v>
      </x:c>
      <x:c r="E727" s="50" t="str">
        <x:v>ECL SWING SETUP</x:v>
      </x:c>
      <x:c r="F727" s="50" t="str">
        <x:v>WATCH</x:v>
      </x:c>
      <x:c r="G727" s="50"/>
      <x:c r="H727" s="50" t="str">
        <x:v>LONG</x:v>
      </x:c>
      <x:c r="I727" s="71" t="n">
        <x:v>286.77</x:v>
      </x:c>
      <x:c r="J727" s="76" t="str">
        <x:v>SIP</x:v>
      </x:c>
    </x:row>
    <x:row r="728">
      <x:c r="A728" s="50" t="str">
        <x:v>019fdcbf-c502-7870-8461-5fa4406e5463</x:v>
      </x:c>
      <x:c r="B728" s="50" t="str">
        <x:v>PFE</x:v>
      </x:c>
      <x:c r="C728" s="70" t="n">
        <x:v>46241.62712002315</x:v>
      </x:c>
      <x:c r="D728" s="50" t="str">
        <x:v>SWING_SETUP</x:v>
      </x:c>
      <x:c r="E728" s="50" t="str">
        <x:v>PFE SWING SETUP</x:v>
      </x:c>
      <x:c r="F728" s="50" t="str">
        <x:v>WATCH</x:v>
      </x:c>
      <x:c r="G728" s="50"/>
      <x:c r="H728" s="50" t="str">
        <x:v>LONG</x:v>
      </x:c>
      <x:c r="I728" s="71" t="n">
        <x:v>26.471</x:v>
      </x:c>
      <x:c r="J728" s="76" t="str">
        <x:v>SIP</x:v>
      </x:c>
    </x:row>
    <x:row r="729">
      <x:c r="A729" s="50" t="str">
        <x:v>019fdcbf-c531-7f35-a74d-c7e7cb9a7d38</x:v>
      </x:c>
      <x:c r="B729" s="50" t="str">
        <x:v>ETHA</x:v>
      </x:c>
      <x:c r="C729" s="70" t="n">
        <x:v>46241.62712056713</x:v>
      </x:c>
      <x:c r="D729" s="50" t="str">
        <x:v>SWING_SETUP</x:v>
      </x:c>
      <x:c r="E729" s="50" t="str">
        <x:v>ETHA SWING SETUP</x:v>
      </x:c>
      <x:c r="F729" s="50" t="str">
        <x:v>WATCH</x:v>
      </x:c>
      <x:c r="G729" s="50"/>
      <x:c r="H729" s="50" t="str">
        <x:v>LONG</x:v>
      </x:c>
      <x:c r="I729" s="71" t="n">
        <x:v>14.4305</x:v>
      </x:c>
      <x:c r="J729" s="76" t="str">
        <x:v>SIP</x:v>
      </x:c>
    </x:row>
    <x:row r="730">
      <x:c r="A730" s="50" t="str">
        <x:v>019fdcbf-c53f-7487-93b3-c314cb62184e</x:v>
      </x:c>
      <x:c r="B730" s="50" t="str">
        <x:v>TMDX</x:v>
      </x:c>
      <x:c r="C730" s="70" t="n">
        <x:v>46241.627120729165</x:v>
      </x:c>
      <x:c r="D730" s="50" t="str">
        <x:v>SWING_SETUP</x:v>
      </x:c>
      <x:c r="E730" s="50" t="str">
        <x:v>TMDX SWING SETUP</x:v>
      </x:c>
      <x:c r="F730" s="50" t="str">
        <x:v>WATCH</x:v>
      </x:c>
      <x:c r="G730" s="50"/>
      <x:c r="H730" s="50" t="str">
        <x:v>LONG</x:v>
      </x:c>
      <x:c r="I730" s="71" t="n">
        <x:v>81.32</x:v>
      </x:c>
      <x:c r="J730" s="76" t="str">
        <x:v>SIP</x:v>
      </x:c>
    </x:row>
    <x:row r="731">
      <x:c r="A731" s="50" t="str">
        <x:v>019fdcbf-ca4c-7490-9a82-80f7d6abe646</x:v>
      </x:c>
      <x:c r="B731" s="50" t="str">
        <x:v>APD</x:v>
      </x:c>
      <x:c r="C731" s="70" t="n">
        <x:v>46241.62713569444</x:v>
      </x:c>
      <x:c r="D731" s="50" t="str">
        <x:v>LONG_BUY_ZONE</x:v>
      </x:c>
      <x:c r="E731" s="50" t="str">
        <x:v>APD LONG BUY ZONE</x:v>
      </x:c>
      <x:c r="F731" s="50" t="str">
        <x:v>WATCH</x:v>
      </x:c>
      <x:c r="G731" s="50"/>
      <x:c r="H731" s="50" t="str">
        <x:v>LONG</x:v>
      </x:c>
      <x:c r="I731" s="71" t="n">
        <x:v>299.395</x:v>
      </x:c>
      <x:c r="J731" s="76" t="str">
        <x:v>SIP</x:v>
      </x:c>
    </x:row>
    <x:row r="732">
      <x:c r="A732" s="50" t="str">
        <x:v>019fdcbf-cb73-7b62-8bfc-adbb55dbe51c</x:v>
      </x:c>
      <x:c r="B732" s="50" t="str">
        <x:v>HRL</x:v>
      </x:c>
      <x:c r="C732" s="70" t="n">
        <x:v>46241.627139108794</x:v>
      </x:c>
      <x:c r="D732" s="50" t="str">
        <x:v>LONG_BUY_ZONE</x:v>
      </x:c>
      <x:c r="E732" s="50" t="str">
        <x:v>HRL LONG BUY ZONE</x:v>
      </x:c>
      <x:c r="F732" s="50" t="str">
        <x:v>WATCH</x:v>
      </x:c>
      <x:c r="G732" s="50"/>
      <x:c r="H732" s="50" t="str">
        <x:v>LONG</x:v>
      </x:c>
      <x:c r="I732" s="71" t="n">
        <x:v>25.265</x:v>
      </x:c>
      <x:c r="J732" s="76" t="str">
        <x:v>SIP</x:v>
      </x:c>
    </x:row>
    <x:row r="733">
      <x:c r="A733" s="50" t="str">
        <x:v>019fdcc0-ab71-7eed-8301-684990fb650b</x:v>
      </x:c>
      <x:c r="B733" s="50" t="str">
        <x:v>BKNG</x:v>
      </x:c>
      <x:c r="C733" s="70" t="n">
        <x:v>46241.62780278935</x:v>
      </x:c>
      <x:c r="D733" s="50" t="str">
        <x:v>SWING_SETUP</x:v>
      </x:c>
      <x:c r="E733" s="50" t="str">
        <x:v>BKNG SWING SETUP</x:v>
      </x:c>
      <x:c r="F733" s="50" t="str">
        <x:v>WATCH</x:v>
      </x:c>
      <x:c r="G733" s="50"/>
      <x:c r="H733" s="50" t="str">
        <x:v>LONG</x:v>
      </x:c>
      <x:c r="I733" s="71" t="n">
        <x:v>214.52</x:v>
      </x:c>
      <x:c r="J733" s="76" t="str">
        <x:v>SIP</x:v>
      </x:c>
    </x:row>
    <x:row r="734">
      <x:c r="A734" s="50" t="str">
        <x:v>019fdcc0-abd4-77bf-a37c-dbb181d1bf72</x:v>
      </x:c>
      <x:c r="B734" s="50" t="str">
        <x:v>KO</x:v>
      </x:c>
      <x:c r="C734" s="70" t="n">
        <x:v>46241.62780393518</x:v>
      </x:c>
      <x:c r="D734" s="50" t="str">
        <x:v>SWING_SETUP</x:v>
      </x:c>
      <x:c r="E734" s="50" t="str">
        <x:v>KO SWING SETUP</x:v>
      </x:c>
      <x:c r="F734" s="50" t="str">
        <x:v>WATCH</x:v>
      </x:c>
      <x:c r="G734" s="50"/>
      <x:c r="H734" s="50" t="str">
        <x:v>LONG</x:v>
      </x:c>
      <x:c r="I734" s="71" t="n">
        <x:v>86.7851</x:v>
      </x:c>
      <x:c r="J734" s="76" t="str">
        <x:v>SIP</x:v>
      </x:c>
    </x:row>
    <x:row r="735">
      <x:c r="A735" s="50" t="str">
        <x:v>019fdcc0-ac03-7140-8632-e01f0c677738</x:v>
      </x:c>
      <x:c r="B735" s="50" t="str">
        <x:v>CEG</x:v>
      </x:c>
      <x:c r="C735" s="70" t="n">
        <x:v>46241.62780447917</x:v>
      </x:c>
      <x:c r="D735" s="50" t="str">
        <x:v>SWING_SETUP</x:v>
      </x:c>
      <x:c r="E735" s="50" t="str">
        <x:v>CEG SWING SETUP</x:v>
      </x:c>
      <x:c r="F735" s="50" t="str">
        <x:v>WATCH</x:v>
      </x:c>
      <x:c r="G735" s="50"/>
      <x:c r="H735" s="50" t="str">
        <x:v>LONG</x:v>
      </x:c>
      <x:c r="I735" s="71" t="n">
        <x:v>267.595</x:v>
      </x:c>
      <x:c r="J735" s="76" t="str">
        <x:v>SIP</x:v>
      </x:c>
    </x:row>
    <x:row r="736">
      <x:c r="A736" s="50" t="str">
        <x:v>019fdcc0-adf7-739b-86d4-01ce29d763c2</x:v>
      </x:c>
      <x:c r="B736" s="50" t="str">
        <x:v>RIOT</x:v>
      </x:c>
      <x:c r="C736" s="70" t="n">
        <x:v>46241.6278102662</x:v>
      </x:c>
      <x:c r="D736" s="50" t="str">
        <x:v>ENTRY_WATCH</x:v>
      </x:c>
      <x:c r="E736" s="50" t="str">
        <x:v>RIOT ENTRY BREAKAWAY WATCH</x:v>
      </x:c>
      <x:c r="F736" s="50" t="str">
        <x:v>WATCH</x:v>
      </x:c>
      <x:c r="G736" s="50"/>
      <x:c r="H736" s="50" t="str">
        <x:v>LONG</x:v>
      </x:c>
      <x:c r="I736" s="71" t="n">
        <x:v>20.665</x:v>
      </x:c>
      <x:c r="J736" s="76" t="str">
        <x:v>SIP</x:v>
      </x:c>
    </x:row>
    <x:row r="737">
      <x:c r="A737" s="50" t="str">
        <x:v>019fdcc0-ae87-7a9f-97c9-decaad288054</x:v>
      </x:c>
      <x:c r="B737" s="50" t="str">
        <x:v>BLK</x:v>
      </x:c>
      <x:c r="C737" s="70" t="n">
        <x:v>46241.62781193287</x:v>
      </x:c>
      <x:c r="D737" s="50" t="str">
        <x:v>SWING_SETUP</x:v>
      </x:c>
      <x:c r="E737" s="50" t="str">
        <x:v>BLK SWING SETUP</x:v>
      </x:c>
      <x:c r="F737" s="50" t="str">
        <x:v>WATCH</x:v>
      </x:c>
      <x:c r="G737" s="50"/>
      <x:c r="H737" s="50" t="str">
        <x:v>LONG</x:v>
      </x:c>
      <x:c r="I737" s="71" t="n">
        <x:v>1136.94</x:v>
      </x:c>
      <x:c r="J737" s="76" t="str">
        <x:v>SIP</x:v>
      </x:c>
    </x:row>
    <x:row r="738">
      <x:c r="A738" s="50" t="str">
        <x:v>019fdcc0-b1be-736e-b04c-5ffac6fc2b14</x:v>
      </x:c>
      <x:c r="B738" s="50" t="str">
        <x:v>ABBV</x:v>
      </x:c>
      <x:c r="C738" s="70" t="n">
        <x:v>46241.627821458336</x:v>
      </x:c>
      <x:c r="D738" s="50" t="str">
        <x:v>LONG_BUY_ZONE</x:v>
      </x:c>
      <x:c r="E738" s="50" t="str">
        <x:v>ABBV LONG BUY ZONE</x:v>
      </x:c>
      <x:c r="F738" s="50" t="str">
        <x:v>WATCH</x:v>
      </x:c>
      <x:c r="G738" s="50"/>
      <x:c r="H738" s="50" t="str">
        <x:v>LONG</x:v>
      </x:c>
      <x:c r="I738" s="71" t="n">
        <x:v>244.9399</x:v>
      </x:c>
      <x:c r="J738" s="76" t="str">
        <x:v>SIP</x:v>
      </x:c>
    </x:row>
    <x:row r="739">
      <x:c r="A739" s="50" t="str">
        <x:v>019fdcc0-b35a-71a5-9129-a346db0096a5</x:v>
      </x:c>
      <x:c r="B739" s="50" t="str">
        <x:v>ECL</x:v>
      </x:c>
      <x:c r="C739" s="70" t="n">
        <x:v>46241.62782622685</x:v>
      </x:c>
      <x:c r="D739" s="50" t="str">
        <x:v>LONG_BUY_ZONE</x:v>
      </x:c>
      <x:c r="E739" s="50" t="str">
        <x:v>ECL LONG BUY ZONE</x:v>
      </x:c>
      <x:c r="F739" s="50" t="str">
        <x:v>WATCH</x:v>
      </x:c>
      <x:c r="G739" s="50"/>
      <x:c r="H739" s="50" t="str">
        <x:v>LONG</x:v>
      </x:c>
      <x:c r="I739" s="71" t="n">
        <x:v>285.9</x:v>
      </x:c>
      <x:c r="J739" s="76" t="str">
        <x:v>SIP</x:v>
      </x:c>
    </x:row>
    <x:row r="740">
      <x:c r="A740" s="50" t="str">
        <x:v>019fdcc1-981c-7261-99ec-da4d4c8c1b16</x:v>
      </x:c>
      <x:c r="B740" s="50" t="str">
        <x:v>SHW</x:v>
      </x:c>
      <x:c r="C740" s="70" t="n">
        <x:v>46241.628504016204</x:v>
      </x:c>
      <x:c r="D740" s="50" t="str">
        <x:v>SWING_SETUP</x:v>
      </x:c>
      <x:c r="E740" s="50" t="str">
        <x:v>SHW SWING SETUP</x:v>
      </x:c>
      <x:c r="F740" s="50" t="str">
        <x:v>WATCH</x:v>
      </x:c>
      <x:c r="G740" s="50"/>
      <x:c r="H740" s="50" t="str">
        <x:v>LONG</x:v>
      </x:c>
      <x:c r="I740" s="71" t="n">
        <x:v>370.42</x:v>
      </x:c>
      <x:c r="J740" s="76" t="str">
        <x:v>SIP</x:v>
      </x:c>
    </x:row>
    <x:row r="741">
      <x:c r="A741" s="50" t="str">
        <x:v>019fdcc1-992e-7313-89a8-e83a522e1baf</x:v>
      </x:c>
      <x:c r="B741" s="50" t="str">
        <x:v>PM</x:v>
      </x:c>
      <x:c r="C741" s="70" t="n">
        <x:v>46241.62850719907</x:v>
      </x:c>
      <x:c r="D741" s="50" t="str">
        <x:v>SWING_SETUP</x:v>
      </x:c>
      <x:c r="E741" s="50" t="str">
        <x:v>PM SWING SETUP</x:v>
      </x:c>
      <x:c r="F741" s="50" t="str">
        <x:v>WATCH</x:v>
      </x:c>
      <x:c r="G741" s="50"/>
      <x:c r="H741" s="50" t="str">
        <x:v>LONG</x:v>
      </x:c>
      <x:c r="I741" s="71" t="n">
        <x:v>189.09</x:v>
      </x:c>
      <x:c r="J741" s="76" t="str">
        <x:v>SIP</x:v>
      </x:c>
    </x:row>
    <x:row r="742">
      <x:c r="A742" s="50" t="str">
        <x:v>019fdcc1-9936-7099-b883-55017bbd43ef</x:v>
      </x:c>
      <x:c r="B742" s="50" t="str">
        <x:v>MMM</x:v>
      </x:c>
      <x:c r="C742" s="70" t="n">
        <x:v>46241.628507291665</x:v>
      </x:c>
      <x:c r="D742" s="50" t="str">
        <x:v>SWING_SETUP</x:v>
      </x:c>
      <x:c r="E742" s="50" t="str">
        <x:v>MMM SWING SETUP</x:v>
      </x:c>
      <x:c r="F742" s="50" t="str">
        <x:v>WATCH</x:v>
      </x:c>
      <x:c r="G742" s="50"/>
      <x:c r="H742" s="50" t="str">
        <x:v>LONG</x:v>
      </x:c>
      <x:c r="I742" s="71" t="n">
        <x:v>182.87</x:v>
      </x:c>
      <x:c r="J742" s="76" t="str">
        <x:v>SIP</x:v>
      </x:c>
    </x:row>
    <x:row r="743">
      <x:c r="A743" s="50" t="str">
        <x:v>019fdcc1-993e-7cf0-9922-c31c6da1d04c</x:v>
      </x:c>
      <x:c r="B743" s="50" t="str">
        <x:v>ABT</x:v>
      </x:c>
      <x:c r="C743" s="70" t="n">
        <x:v>46241.62850738426</x:v>
      </x:c>
      <x:c r="D743" s="50" t="str">
        <x:v>SWING_SETUP</x:v>
      </x:c>
      <x:c r="E743" s="50" t="str">
        <x:v>ABT SWING SETUP</x:v>
      </x:c>
      <x:c r="F743" s="50" t="str">
        <x:v>WATCH</x:v>
      </x:c>
      <x:c r="G743" s="50"/>
      <x:c r="H743" s="50" t="str">
        <x:v>LONG</x:v>
      </x:c>
      <x:c r="I743" s="71" t="n">
        <x:v>107.565</x:v>
      </x:c>
      <x:c r="J743" s="76" t="str">
        <x:v>SIP</x:v>
      </x:c>
    </x:row>
    <x:row r="744">
      <x:c r="A744" s="50" t="str">
        <x:v>019fdcc1-99c5-7dc1-80d4-133225cd456f</x:v>
      </x:c>
      <x:c r="B744" s="50" t="str">
        <x:v>GD</x:v>
      </x:c>
      <x:c r="C744" s="70" t="n">
        <x:v>46241.62850894676</x:v>
      </x:c>
      <x:c r="D744" s="50" t="str">
        <x:v>SWING_SETUP</x:v>
      </x:c>
      <x:c r="E744" s="50" t="str">
        <x:v>GD SWING SETUP</x:v>
      </x:c>
      <x:c r="F744" s="50" t="str">
        <x:v>WATCH</x:v>
      </x:c>
      <x:c r="G744" s="50"/>
      <x:c r="H744" s="50" t="str">
        <x:v>LONG</x:v>
      </x:c>
      <x:c r="I744" s="71" t="n">
        <x:v>386.25</x:v>
      </x:c>
      <x:c r="J744" s="76" t="str">
        <x:v>SIP</x:v>
      </x:c>
    </x:row>
    <x:row r="745">
      <x:c r="A745" s="50" t="str">
        <x:v>019fdcc2-828d-7f03-9512-588e27e001d8</x:v>
      </x:c>
      <x:c r="B745" s="50" t="str">
        <x:v>RCL</x:v>
      </x:c>
      <x:c r="C745" s="70" t="n">
        <x:v>46241.62919866898</x:v>
      </x:c>
      <x:c r="D745" s="50" t="str">
        <x:v>SWING_SETUP</x:v>
      </x:c>
      <x:c r="E745" s="50" t="str">
        <x:v>RCL SWING SETUP</x:v>
      </x:c>
      <x:c r="F745" s="50" t="str">
        <x:v>WATCH</x:v>
      </x:c>
      <x:c r="G745" s="50"/>
      <x:c r="H745" s="50" t="str">
        <x:v>LONG</x:v>
      </x:c>
      <x:c r="I745" s="71" t="n">
        <x:v>319.42</x:v>
      </x:c>
      <x:c r="J745" s="76" t="str">
        <x:v>SIP</x:v>
      </x:c>
    </x:row>
    <x:row r="746">
      <x:c r="A746" s="50" t="str">
        <x:v>019fdcc2-87c1-74f2-880d-864244027c0b</x:v>
      </x:c>
      <x:c r="B746" s="50" t="str">
        <x:v>RCL</x:v>
      </x:c>
      <x:c r="C746" s="70" t="n">
        <x:v>46241.629214085646</x:v>
      </x:c>
      <x:c r="D746" s="50" t="str">
        <x:v>LONG_BUY_ZONE</x:v>
      </x:c>
      <x:c r="E746" s="50" t="str">
        <x:v>RCL LONG BUY ZONE</x:v>
      </x:c>
      <x:c r="F746" s="50" t="str">
        <x:v>WATCH</x:v>
      </x:c>
      <x:c r="G746" s="50"/>
      <x:c r="H746" s="50" t="str">
        <x:v>LONG</x:v>
      </x:c>
      <x:c r="I746" s="71" t="n">
        <x:v>319.84</x:v>
      </x:c>
      <x:c r="J746" s="76" t="str">
        <x:v>SIP</x:v>
      </x:c>
    </x:row>
    <x:row r="747">
      <x:c r="A747" s="50" t="str">
        <x:v>019fdcc2-8bf9-761b-9e20-e090a34a8d7d</x:v>
      </x:c>
      <x:c r="B747" s="50" t="str">
        <x:v>GS</x:v>
      </x:c>
      <x:c r="C747" s="70" t="n">
        <x:v>46241.62922658565</x:v>
      </x:c>
      <x:c r="D747" s="50" t="str">
        <x:v>LONG_BUY_ZONE</x:v>
      </x:c>
      <x:c r="E747" s="50" t="str">
        <x:v>GS LONG BUY ZONE</x:v>
      </x:c>
      <x:c r="F747" s="50" t="str">
        <x:v>WATCH</x:v>
      </x:c>
      <x:c r="G747" s="50"/>
      <x:c r="H747" s="50" t="str">
        <x:v>LONG</x:v>
      </x:c>
      <x:c r="I747" s="71" t="n">
        <x:v>1040.86</x:v>
      </x:c>
      <x:c r="J747" s="76" t="str">
        <x:v>SIP</x:v>
      </x:c>
    </x:row>
    <x:row r="748">
      <x:c r="A748" s="50" t="str">
        <x:v>019fdcc4-5782-7584-8fe8-8480a7bf635d</x:v>
      </x:c>
      <x:c r="B748" s="50" t="str">
        <x:v>VZ</x:v>
      </x:c>
      <x:c r="C748" s="70" t="n">
        <x:v>46241.6305881713</x:v>
      </x:c>
      <x:c r="D748" s="50" t="str">
        <x:v>LONG_BUY_ZONE</x:v>
      </x:c>
      <x:c r="E748" s="50" t="str">
        <x:v>VZ LONG BUY ZONE</x:v>
      </x:c>
      <x:c r="F748" s="50" t="str">
        <x:v>WATCH</x:v>
      </x:c>
      <x:c r="G748" s="50"/>
      <x:c r="H748" s="50" t="str">
        <x:v>LONG</x:v>
      </x:c>
      <x:c r="I748" s="71" t="n">
        <x:v>46.71</x:v>
      </x:c>
      <x:c r="J748" s="76" t="str">
        <x:v>SIP</x:v>
      </x:c>
    </x:row>
    <x:row r="749">
      <x:c r="A749" s="50" t="str">
        <x:v>019fdcc4-57b5-764e-990f-eb095aa20cc2</x:v>
      </x:c>
      <x:c r="B749" s="50" t="str">
        <x:v>PYPL</x:v>
      </x:c>
      <x:c r="C749" s="70" t="n">
        <x:v>46241.630588761574</x:v>
      </x:c>
      <x:c r="D749" s="50" t="str">
        <x:v>SWING_SETUP</x:v>
      </x:c>
      <x:c r="E749" s="50" t="str">
        <x:v>PYPL SWING SETUP</x:v>
      </x:c>
      <x:c r="F749" s="50" t="str">
        <x:v>WATCH</x:v>
      </x:c>
      <x:c r="G749" s="50"/>
      <x:c r="H749" s="50" t="str">
        <x:v>LONG</x:v>
      </x:c>
      <x:c r="I749" s="71" t="n">
        <x:v>59.61</x:v>
      </x:c>
      <x:c r="J749" s="76" t="str">
        <x:v>SIP</x:v>
      </x:c>
    </x:row>
    <x:row r="750">
      <x:c r="A750" s="50" t="str">
        <x:v>019fdcc6-2a8d-7018-8c0e-1428c971f9c1</x:v>
      </x:c>
      <x:c r="B750" s="50" t="str">
        <x:v>TTWO</x:v>
      </x:c>
      <x:c r="C750" s="70" t="n">
        <x:v>46241.63197200232</x:v>
      </x:c>
      <x:c r="D750" s="50" t="str">
        <x:v>ENTRY_CONFIRMED</x:v>
      </x:c>
      <x:c r="E750" s="50" t="str">
        <x:v>TTWO ENTRY CONFIRMED</x:v>
      </x:c>
      <x:c r="F750" s="50" t="str">
        <x:v>ACTION</x:v>
      </x:c>
      <x:c r="G750" s="50" t="str">
        <x:v>L2_SWING_CONFIRMED</x:v>
      </x:c>
      <x:c r="H750" s="50" t="str">
        <x:v>LONG</x:v>
      </x:c>
      <x:c r="I750" s="71" t="n">
        <x:v>243.39</x:v>
      </x:c>
      <x:c r="J750" s="76" t="str">
        <x:v>SIP</x:v>
      </x:c>
    </x:row>
    <x:row r="751">
      <x:c r="A751" s="50" t="str">
        <x:v>019fdcc6-2b62-7914-aabe-eb06b49bd7c9</x:v>
      </x:c>
      <x:c r="B751" s="50" t="str">
        <x:v>TTWO</x:v>
      </x:c>
      <x:c r="C751" s="70" t="n">
        <x:v>46241.63197445602</x:v>
      </x:c>
      <x:c r="D751" s="50" t="str">
        <x:v>ENTRY_OPPORTUNITY_PROGRESS</x:v>
      </x:c>
      <x:c r="E751" s="50" t="str">
        <x:v>TTWO ENTRY L2 [#######---]</x:v>
      </x:c>
      <x:c r="F751" s="50" t="str">
        <x:v>ACTION</x:v>
      </x:c>
      <x:c r="G751" s="50"/>
      <x:c r="H751" s="50" t="str">
        <x:v>LONG</x:v>
      </x:c>
      <x:c r="I751" s="71" t="n">
        <x:v>243.39</x:v>
      </x:c>
      <x:c r="J751" s="76" t="str">
        <x:v>SIP</x:v>
      </x:c>
    </x:row>
    <x:row r="752">
      <x:c r="A752" s="50" t="str">
        <x:v>019fdcc6-2c70-7030-9a39-6bca3c25ead9</x:v>
      </x:c>
      <x:c r="B752" s="50" t="str">
        <x:v>MRK</x:v>
      </x:c>
      <x:c r="C752" s="70" t="n">
        <x:v>46241.631977592595</x:v>
      </x:c>
      <x:c r="D752" s="50" t="str">
        <x:v>ENTRY_WATCH</x:v>
      </x:c>
      <x:c r="E752" s="50" t="str">
        <x:v>MRK ENTRY BREAKAWAY WATCH</x:v>
      </x:c>
      <x:c r="F752" s="50" t="str">
        <x:v>WATCH</x:v>
      </x:c>
      <x:c r="G752" s="50"/>
      <x:c r="H752" s="50" t="str">
        <x:v>LONG</x:v>
      </x:c>
      <x:c r="I752" s="71" t="n">
        <x:v>127.575</x:v>
      </x:c>
      <x:c r="J752" s="76" t="str">
        <x:v>SIP</x:v>
      </x:c>
    </x:row>
    <x:row r="753">
      <x:c r="A753" s="50" t="str">
        <x:v>019fdcc6-2ce6-7c87-866f-f81a9853e49f</x:v>
      </x:c>
      <x:c r="B753" s="50" t="str">
        <x:v>CRM</x:v>
      </x:c>
      <x:c r="C753" s="70" t="n">
        <x:v>46241.631978958336</x:v>
      </x:c>
      <x:c r="D753" s="50" t="str">
        <x:v>SWING_SETUP</x:v>
      </x:c>
      <x:c r="E753" s="50" t="str">
        <x:v>CRM SWING SETUP</x:v>
      </x:c>
      <x:c r="F753" s="50" t="str">
        <x:v>WATCH</x:v>
      </x:c>
      <x:c r="G753" s="50"/>
      <x:c r="H753" s="50" t="str">
        <x:v>LONG</x:v>
      </x:c>
      <x:c r="I753" s="71" t="n">
        <x:v>193.13</x:v>
      </x:c>
      <x:c r="J753" s="76" t="str">
        <x:v>SIP</x:v>
      </x:c>
    </x:row>
    <x:row r="754">
      <x:c r="A754" s="50" t="str">
        <x:v>019fdcc6-2e97-7048-80c9-942891f921f0</x:v>
      </x:c>
      <x:c r="B754" s="50" t="str">
        <x:v>OXY</x:v>
      </x:c>
      <x:c r="C754" s="70" t="n">
        <x:v>46241.63198395833</x:v>
      </x:c>
      <x:c r="D754" s="50" t="str">
        <x:v>LONG_BUY_ZONE</x:v>
      </x:c>
      <x:c r="E754" s="50" t="str">
        <x:v>OXY LONG BUY ZONE</x:v>
      </x:c>
      <x:c r="F754" s="50" t="str">
        <x:v>WATCH</x:v>
      </x:c>
      <x:c r="G754" s="50"/>
      <x:c r="H754" s="50" t="str">
        <x:v>LONG</x:v>
      </x:c>
      <x:c r="I754" s="71" t="n">
        <x:v>56.08</x:v>
      </x:c>
      <x:c r="J754" s="76" t="str">
        <x:v>SIP</x:v>
      </x:c>
    </x:row>
    <x:row r="755">
      <x:c r="A755" s="50" t="str">
        <x:v>019fdcc7-19c9-7293-847e-4d3218a6ef38</x:v>
      </x:c>
      <x:c r="B755" s="50" t="str">
        <x:v>KDP</x:v>
      </x:c>
      <x:c r="C755" s="70" t="n">
        <x:v>46241.63268084491</x:v>
      </x:c>
      <x:c r="D755" s="50" t="str">
        <x:v>LONG_BUY_ZONE</x:v>
      </x:c>
      <x:c r="E755" s="50" t="str">
        <x:v>KDP LONG BUY ZONE</x:v>
      </x:c>
      <x:c r="F755" s="50" t="str">
        <x:v>WATCH</x:v>
      </x:c>
      <x:c r="G755" s="50"/>
      <x:c r="H755" s="50" t="str">
        <x:v>LONG</x:v>
      </x:c>
      <x:c r="I755" s="71" t="n">
        <x:v>29.775</x:v>
      </x:c>
      <x:c r="J755" s="76" t="str">
        <x:v>SIP</x:v>
      </x:c>
    </x:row>
    <x:row r="756">
      <x:c r="A756" s="50" t="str">
        <x:v>019fdcc7-ffff-7b8c-bb96-a020923ac969</x:v>
      </x:c>
      <x:c r="B756" s="50" t="str">
        <x:v>MRK</x:v>
      </x:c>
      <x:c r="C756" s="70" t="n">
        <x:v>46241.63336295139</x:v>
      </x:c>
      <x:c r="D756" s="50" t="str">
        <x:v>ENTRY_WATCH</x:v>
      </x:c>
      <x:c r="E756" s="50" t="str">
        <x:v>MRK ENTRY IN_ZONE EARLY WATCH</x:v>
      </x:c>
      <x:c r="F756" s="50" t="str">
        <x:v>WATCH</x:v>
      </x:c>
      <x:c r="G756" s="50"/>
      <x:c r="H756" s="50" t="str">
        <x:v>LONG</x:v>
      </x:c>
      <x:c r="I756" s="71" t="n">
        <x:v>127.475</x:v>
      </x:c>
      <x:c r="J756" s="76" t="str">
        <x:v>SIP</x:v>
      </x:c>
    </x:row>
    <x:row r="757">
      <x:c r="A757" s="50" t="str">
        <x:v>019fdcc8-00e4-7837-9d1a-eed61eefdd86</x:v>
      </x:c>
      <x:c r="B757" s="50" t="str">
        <x:v>KO</x:v>
      </x:c>
      <x:c r="C757" s="70" t="n">
        <x:v>46241.633365601854</x:v>
      </x:c>
      <x:c r="D757" s="50" t="str">
        <x:v>LONG_BUY_ZONE</x:v>
      </x:c>
      <x:c r="E757" s="50" t="str">
        <x:v>KO LONG BUY ZONE</x:v>
      </x:c>
      <x:c r="F757" s="50" t="str">
        <x:v>WATCH</x:v>
      </x:c>
      <x:c r="G757" s="50"/>
      <x:c r="H757" s="50" t="str">
        <x:v>LONG</x:v>
      </x:c>
      <x:c r="I757" s="71" t="n">
        <x:v>86.715</x:v>
      </x:c>
      <x:c r="J757" s="76" t="str">
        <x:v>SIP</x:v>
      </x:c>
    </x:row>
    <x:row r="758">
      <x:c r="A758" s="50" t="str">
        <x:v>019fdcca-be2c-7f56-9680-2085df3293e8</x:v>
      </x:c>
      <x:c r="B758" s="50" t="str">
        <x:v>APH</x:v>
      </x:c>
      <x:c r="C758" s="70" t="n">
        <x:v>46241.63544347222</x:v>
      </x:c>
      <x:c r="D758" s="50" t="str">
        <x:v>LONG_BUY_ZONE</x:v>
      </x:c>
      <x:c r="E758" s="50" t="str">
        <x:v>APH LONG BUY ZONE</x:v>
      </x:c>
      <x:c r="F758" s="50" t="str">
        <x:v>WATCH</x:v>
      </x:c>
      <x:c r="G758" s="50"/>
      <x:c r="H758" s="50" t="str">
        <x:v>LONG</x:v>
      </x:c>
      <x:c r="I758" s="71" t="n">
        <x:v>168.26</x:v>
      </x:c>
      <x:c r="J758" s="76" t="str">
        <x:v>SIP</x:v>
      </x:c>
    </x:row>
    <x:row r="759">
      <x:c r="A759" s="50" t="str">
        <x:v>019fdccb-a62d-7d19-8182-38b9a8926b2e</x:v>
      </x:c>
      <x:c r="B759" s="50" t="str">
        <x:v>PSX</x:v>
      </x:c>
      <x:c r="C759" s="70" t="n">
        <x:v>46241.6361308912</x:v>
      </x:c>
      <x:c r="D759" s="50" t="str">
        <x:v>SWING_SETUP</x:v>
      </x:c>
      <x:c r="E759" s="50" t="str">
        <x:v>PSX SWING SETUP</x:v>
      </x:c>
      <x:c r="F759" s="50" t="str">
        <x:v>WATCH</x:v>
      </x:c>
      <x:c r="G759" s="50"/>
      <x:c r="H759" s="50" t="str">
        <x:v>LONG</x:v>
      </x:c>
      <x:c r="I759" s="71" t="n">
        <x:v>204.375</x:v>
      </x:c>
      <x:c r="J759" s="76" t="str">
        <x:v>SIP</x:v>
      </x:c>
    </x:row>
    <x:row r="760">
      <x:c r="A760" s="50" t="str">
        <x:v>019fdccb-a682-7cc6-adbb-159e035133c0</x:v>
      </x:c>
      <x:c r="B760" s="50" t="str">
        <x:v>ONTO</x:v>
      </x:c>
      <x:c r="C760" s="70" t="n">
        <x:v>46241.636131875</x:v>
      </x:c>
      <x:c r="D760" s="50" t="str">
        <x:v>SWING_SETUP</x:v>
      </x:c>
      <x:c r="E760" s="50" t="str">
        <x:v>ONTO SWING SETUP</x:v>
      </x:c>
      <x:c r="F760" s="50" t="str">
        <x:v>WATCH</x:v>
      </x:c>
      <x:c r="G760" s="50"/>
      <x:c r="H760" s="50" t="str">
        <x:v>LONG</x:v>
      </x:c>
      <x:c r="I760" s="71" t="n">
        <x:v>302.13</x:v>
      </x:c>
      <x:c r="J760" s="76" t="str">
        <x:v>SIP</x:v>
      </x:c>
    </x:row>
    <x:row r="761">
      <x:c r="A761" s="50" t="str">
        <x:v>019fdccb-a837-7de7-918f-e20e15d159e7</x:v>
      </x:c>
      <x:c r="B761" s="50" t="str">
        <x:v>NUE</x:v>
      </x:c>
      <x:c r="C761" s="70" t="n">
        <x:v>46241.6361369213</x:v>
      </x:c>
      <x:c r="D761" s="50" t="str">
        <x:v>SWING_SETUP</x:v>
      </x:c>
      <x:c r="E761" s="50" t="str">
        <x:v>NUE SWING SETUP</x:v>
      </x:c>
      <x:c r="F761" s="50" t="str">
        <x:v>WATCH</x:v>
      </x:c>
      <x:c r="G761" s="50"/>
      <x:c r="H761" s="50" t="str">
        <x:v>LONG</x:v>
      </x:c>
      <x:c r="I761" s="71" t="n">
        <x:v>271.19</x:v>
      </x:c>
      <x:c r="J761" s="76" t="str">
        <x:v>SIP</x:v>
      </x:c>
    </x:row>
    <x:row r="762">
      <x:c r="A762" s="50" t="str">
        <x:v>019fdccb-a9c6-765e-92d1-f1a155ecb99b</x:v>
      </x:c>
      <x:c r="B762" s="50" t="str">
        <x:v>ONDS</x:v>
      </x:c>
      <x:c r="C762" s="70" t="n">
        <x:v>46241.636141550924</x:v>
      </x:c>
      <x:c r="D762" s="50" t="str">
        <x:v>SWING_SETUP</x:v>
      </x:c>
      <x:c r="E762" s="50" t="str">
        <x:v>ONDS SWING SETUP</x:v>
      </x:c>
      <x:c r="F762" s="50" t="str">
        <x:v>WATCH</x:v>
      </x:c>
      <x:c r="G762" s="50"/>
      <x:c r="H762" s="50" t="str">
        <x:v>LONG</x:v>
      </x:c>
      <x:c r="I762" s="71" t="n">
        <x:v>8.8786</x:v>
      </x:c>
      <x:c r="J762" s="76" t="str">
        <x:v>SIP</x:v>
      </x:c>
    </x:row>
    <x:row r="763">
      <x:c r="A763" s="50" t="str">
        <x:v>019fdccb-aa8a-747b-ac58-e1968a0bbc94</x:v>
      </x:c>
      <x:c r="B763" s="50" t="str">
        <x:v>NXE</x:v>
      </x:c>
      <x:c r="C763" s="70" t="n">
        <x:v>46241.63614381944</x:v>
      </x:c>
      <x:c r="D763" s="50" t="str">
        <x:v>SWING_SETUP</x:v>
      </x:c>
      <x:c r="E763" s="50" t="str">
        <x:v>NXE SWING SETUP</x:v>
      </x:c>
      <x:c r="F763" s="50" t="str">
        <x:v>WATCH</x:v>
      </x:c>
      <x:c r="G763" s="50"/>
      <x:c r="H763" s="50" t="str">
        <x:v>LONG</x:v>
      </x:c>
      <x:c r="I763" s="71" t="n">
        <x:v>10.625</x:v>
      </x:c>
      <x:c r="J763" s="76" t="str">
        <x:v>SIP</x:v>
      </x:c>
    </x:row>
    <x:row r="764">
      <x:c r="A764" s="50" t="str">
        <x:v>019fdccb-ab33-7eb4-936d-d4c6f5f1a705</x:v>
      </x:c>
      <x:c r="B764" s="50" t="str">
        <x:v>SE</x:v>
      </x:c>
      <x:c r="C764" s="70" t="n">
        <x:v>46241.63614576389</x:v>
      </x:c>
      <x:c r="D764" s="50" t="str">
        <x:v>SWING_SETUP</x:v>
      </x:c>
      <x:c r="E764" s="50" t="str">
        <x:v>SE SWING SETUP</x:v>
      </x:c>
      <x:c r="F764" s="50" t="str">
        <x:v>WATCH</x:v>
      </x:c>
      <x:c r="G764" s="50"/>
      <x:c r="H764" s="50" t="str">
        <x:v>LONG</x:v>
      </x:c>
      <x:c r="I764" s="71" t="n">
        <x:v>114.215</x:v>
      </x:c>
      <x:c r="J764" s="76" t="str">
        <x:v>SIP</x:v>
      </x:c>
    </x:row>
    <x:row r="765">
      <x:c r="A765" s="50" t="str">
        <x:v>019fdccb-abeb-7856-ba1c-3f24a664f64b</x:v>
      </x:c>
      <x:c r="B765" s="50" t="str">
        <x:v>JNJ</x:v>
      </x:c>
      <x:c r="C765" s="70" t="n">
        <x:v>46241.63614790509</x:v>
      </x:c>
      <x:c r="D765" s="50" t="str">
        <x:v>LONG_BUY_ZONE</x:v>
      </x:c>
      <x:c r="E765" s="50" t="str">
        <x:v>JNJ LONG BUY ZONE</x:v>
      </x:c>
      <x:c r="F765" s="50" t="str">
        <x:v>WATCH</x:v>
      </x:c>
      <x:c r="G765" s="50"/>
      <x:c r="H765" s="50" t="str">
        <x:v>LONG</x:v>
      </x:c>
      <x:c r="I765" s="71" t="n">
        <x:v>256.63</x:v>
      </x:c>
      <x:c r="J765" s="76" t="str">
        <x:v>SIP</x:v>
      </x:c>
    </x:row>
    <x:row r="766">
      <x:c r="A766" s="50" t="str">
        <x:v>019fdccb-ad7a-7cd4-bf79-21b53258ca50</x:v>
      </x:c>
      <x:c r="B766" s="50" t="str">
        <x:v>ACHV</x:v>
      </x:c>
      <x:c r="C766" s="70" t="n">
        <x:v>46241.63615252315</x:v>
      </x:c>
      <x:c r="D766" s="50" t="str">
        <x:v>SWING_SETUP</x:v>
      </x:c>
      <x:c r="E766" s="50" t="str">
        <x:v>ACHV SWING SETUP</x:v>
      </x:c>
      <x:c r="F766" s="50" t="str">
        <x:v>WATCH</x:v>
      </x:c>
      <x:c r="G766" s="50"/>
      <x:c r="H766" s="50" t="str">
        <x:v>LONG</x:v>
      </x:c>
      <x:c r="I766" s="71" t="n">
        <x:v>6.5699</x:v>
      </x:c>
      <x:c r="J766" s="76" t="str">
        <x:v>SIP</x:v>
      </x:c>
    </x:row>
    <x:row r="767">
      <x:c r="A767" s="50" t="str">
        <x:v>019fdccb-adb2-78f7-8c17-6329a522636a</x:v>
      </x:c>
      <x:c r="B767" s="50" t="str">
        <x:v>UEC</x:v>
      </x:c>
      <x:c r="C767" s="70" t="n">
        <x:v>46241.6361531713</x:v>
      </x:c>
      <x:c r="D767" s="50" t="str">
        <x:v>SWING_SETUP</x:v>
      </x:c>
      <x:c r="E767" s="50" t="str">
        <x:v>UEC SWING SETUP</x:v>
      </x:c>
      <x:c r="F767" s="50" t="str">
        <x:v>WATCH</x:v>
      </x:c>
      <x:c r="G767" s="50"/>
      <x:c r="H767" s="50" t="str">
        <x:v>LONG</x:v>
      </x:c>
      <x:c r="I767" s="71" t="n">
        <x:v>11.24</x:v>
      </x:c>
      <x:c r="J767" s="76" t="str">
        <x:v>SIP</x:v>
      </x:c>
    </x:row>
    <x:row r="768">
      <x:c r="A768" s="50" t="str">
        <x:v>019fdccb-aebb-72e9-a8ac-5eaeff25848a</x:v>
      </x:c>
      <x:c r="B768" s="50" t="str">
        <x:v>RDW</x:v>
      </x:c>
      <x:c r="C768" s="70" t="n">
        <x:v>46241.636156238426</x:v>
      </x:c>
      <x:c r="D768" s="50" t="str">
        <x:v>SWING_SETUP</x:v>
      </x:c>
      <x:c r="E768" s="50" t="str">
        <x:v>RDW SWING SETUP</x:v>
      </x:c>
      <x:c r="F768" s="50" t="str">
        <x:v>WATCH</x:v>
      </x:c>
      <x:c r="G768" s="50"/>
      <x:c r="H768" s="50" t="str">
        <x:v>LONG</x:v>
      </x:c>
      <x:c r="I768" s="71" t="n">
        <x:v>13.015</x:v>
      </x:c>
      <x:c r="J768" s="76" t="str">
        <x:v>SIP</x:v>
      </x:c>
    </x:row>
    <x:row r="769">
      <x:c r="A769" s="50" t="str">
        <x:v>019fdccb-af7a-72bd-8791-5678cb86f966</x:v>
      </x:c>
      <x:c r="B769" s="50" t="str">
        <x:v>INTU</x:v>
      </x:c>
      <x:c r="C769" s="70" t="n">
        <x:v>46241.63615844907</x:v>
      </x:c>
      <x:c r="D769" s="50" t="str">
        <x:v>SWING_SETUP</x:v>
      </x:c>
      <x:c r="E769" s="50" t="str">
        <x:v>INTU SWING SETUP</x:v>
      </x:c>
      <x:c r="F769" s="50" t="str">
        <x:v>WATCH</x:v>
      </x:c>
      <x:c r="G769" s="50"/>
      <x:c r="H769" s="50" t="str">
        <x:v>LONG</x:v>
      </x:c>
      <x:c r="I769" s="71" t="n">
        <x:v>332.43</x:v>
      </x:c>
      <x:c r="J769" s="76" t="str">
        <x:v>SIP</x:v>
      </x:c>
    </x:row>
    <x:row r="770">
      <x:c r="A770" s="50" t="str">
        <x:v>019fdccb-b2b1-7041-b8dd-02c8fb78ea21</x:v>
      </x:c>
      <x:c r="B770" s="50" t="str">
        <x:v>MRK</x:v>
      </x:c>
      <x:c r="C770" s="70" t="n">
        <x:v>46241.63616797454</x:v>
      </x:c>
      <x:c r="D770" s="50" t="str">
        <x:v>LONG_BUY_ZONE</x:v>
      </x:c>
      <x:c r="E770" s="50" t="str">
        <x:v>MRK LONG BUY ZONE</x:v>
      </x:c>
      <x:c r="F770" s="50" t="str">
        <x:v>WATCH</x:v>
      </x:c>
      <x:c r="G770" s="50"/>
      <x:c r="H770" s="50" t="str">
        <x:v>LONG</x:v>
      </x:c>
      <x:c r="I770" s="71" t="n">
        <x:v>127.365</x:v>
      </x:c>
      <x:c r="J770" s="76" t="str">
        <x:v>SIP</x:v>
      </x:c>
    </x:row>
    <x:row r="771">
      <x:c r="A771" s="50" t="str">
        <x:v>019fdccc-94ec-7c18-a27b-5fbaebcd94f9</x:v>
      </x:c>
      <x:c r="B771" s="50" t="str">
        <x:v>TTWO</x:v>
      </x:c>
      <x:c r="C771" s="70" t="n">
        <x:v>46241.636838287035</x:v>
      </x:c>
      <x:c r="D771" s="50" t="str">
        <x:v>SWING_SETUP</x:v>
      </x:c>
      <x:c r="E771" s="50" t="str">
        <x:v>TTWO SWING SETUP</x:v>
      </x:c>
      <x:c r="F771" s="50" t="str">
        <x:v>WATCH</x:v>
      </x:c>
      <x:c r="G771" s="50"/>
      <x:c r="H771" s="50" t="str">
        <x:v>LONG</x:v>
      </x:c>
      <x:c r="I771" s="71" t="n">
        <x:v>242.5</x:v>
      </x:c>
      <x:c r="J771" s="76" t="str">
        <x:v>SIP</x:v>
      </x:c>
    </x:row>
    <x:row r="772">
      <x:c r="A772" s="50" t="str">
        <x:v>019fdccc-9513-7ddc-9cb7-e069a01167ac</x:v>
      </x:c>
      <x:c r="B772" s="50" t="str">
        <x:v>BABA</x:v>
      </x:c>
      <x:c r="C772" s="70" t="n">
        <x:v>46241.63683873843</x:v>
      </x:c>
      <x:c r="D772" s="50" t="str">
        <x:v>SWING_SETUP</x:v>
      </x:c>
      <x:c r="E772" s="50" t="str">
        <x:v>BABA SWING SETUP</x:v>
      </x:c>
      <x:c r="F772" s="50" t="str">
        <x:v>WATCH</x:v>
      </x:c>
      <x:c r="G772" s="50"/>
      <x:c r="H772" s="50" t="str">
        <x:v>LONG</x:v>
      </x:c>
      <x:c r="I772" s="71" t="n">
        <x:v>127.86</x:v>
      </x:c>
      <x:c r="J772" s="76" t="str">
        <x:v>SIP</x:v>
      </x:c>
    </x:row>
    <x:row r="773">
      <x:c r="A773" s="50" t="str">
        <x:v>019fdccc-9645-7a08-8b49-7346c9321f69</x:v>
      </x:c>
      <x:c r="B773" s="50" t="str">
        <x:v>PLTR</x:v>
      </x:c>
      <x:c r="C773" s="70" t="n">
        <x:v>46241.636842280095</x:v>
      </x:c>
      <x:c r="D773" s="50" t="str">
        <x:v>SWING_SETUP</x:v>
      </x:c>
      <x:c r="E773" s="50" t="str">
        <x:v>PLTR SWING SETUP</x:v>
      </x:c>
      <x:c r="F773" s="50" t="str">
        <x:v>WATCH</x:v>
      </x:c>
      <x:c r="G773" s="50"/>
      <x:c r="H773" s="50" t="str">
        <x:v>LONG</x:v>
      </x:c>
      <x:c r="I773" s="71" t="n">
        <x:v>168.96</x:v>
      </x:c>
      <x:c r="J773" s="76" t="str">
        <x:v>SIP</x:v>
      </x:c>
    </x:row>
    <x:row r="774">
      <x:c r="A774" s="50" t="str">
        <x:v>019fdccc-964c-725d-9c82-dd1d0a5110f0</x:v>
      </x:c>
      <x:c r="B774" s="50" t="str">
        <x:v>NOVT</x:v>
      </x:c>
      <x:c r="C774" s="70" t="n">
        <x:v>46241.63684236111</x:v>
      </x:c>
      <x:c r="D774" s="50" t="str">
        <x:v>SWING_SETUP</x:v>
      </x:c>
      <x:c r="E774" s="50" t="str">
        <x:v>NOVT SWING SETUP</x:v>
      </x:c>
      <x:c r="F774" s="50" t="str">
        <x:v>WATCH</x:v>
      </x:c>
      <x:c r="G774" s="50"/>
      <x:c r="H774" s="50" t="str">
        <x:v>LONG</x:v>
      </x:c>
      <x:c r="I774" s="71" t="n">
        <x:v>169.565</x:v>
      </x:c>
      <x:c r="J774" s="76" t="str">
        <x:v>SIP</x:v>
      </x:c>
    </x:row>
    <x:row r="775">
      <x:c r="A775" s="50" t="str">
        <x:v>019fdccc-9734-7b84-9580-fb033babdce8</x:v>
      </x:c>
      <x:c r="B775" s="50" t="str">
        <x:v>XOM</x:v>
      </x:c>
      <x:c r="C775" s="70" t="n">
        <x:v>46241.6368450463</x:v>
      </x:c>
      <x:c r="D775" s="50" t="str">
        <x:v>LONG_BUY_ZONE</x:v>
      </x:c>
      <x:c r="E775" s="50" t="str">
        <x:v>XOM LONG BUY ZONE</x:v>
      </x:c>
      <x:c r="F775" s="50" t="str">
        <x:v>WATCH</x:v>
      </x:c>
      <x:c r="G775" s="50"/>
      <x:c r="H775" s="50" t="str">
        <x:v>LONG</x:v>
      </x:c>
      <x:c r="I775" s="71" t="n">
        <x:v>152.435</x:v>
      </x:c>
      <x:c r="J775" s="76" t="str">
        <x:v>SIP</x:v>
      </x:c>
    </x:row>
    <x:row r="776">
      <x:c r="A776" s="50" t="str">
        <x:v>019fdccc-995e-7c48-9f61-d5ff1f409dcf</x:v>
      </x:c>
      <x:c r="B776" s="50" t="str">
        <x:v>SBUX</x:v>
      </x:c>
      <x:c r="C776" s="70" t="n">
        <x:v>46241.63685145833</x:v>
      </x:c>
      <x:c r="D776" s="50" t="str">
        <x:v>LONG_BUY_ZONE</x:v>
      </x:c>
      <x:c r="E776" s="50" t="str">
        <x:v>SBUX LONG BUY ZONE</x:v>
      </x:c>
      <x:c r="F776" s="50" t="str">
        <x:v>WATCH</x:v>
      </x:c>
      <x:c r="G776" s="50"/>
      <x:c r="H776" s="50" t="str">
        <x:v>LONG</x:v>
      </x:c>
      <x:c r="I776" s="71" t="n">
        <x:v>106.22</x:v>
      </x:c>
      <x:c r="J776" s="76" t="str">
        <x:v>SIP</x:v>
      </x:c>
    </x:row>
    <x:row r="777">
      <x:c r="A777" s="50" t="str">
        <x:v>019fdccd-7b5a-75fa-ab81-186688c71fb1</x:v>
      </x:c>
      <x:c r="B777" s="50" t="str">
        <x:v>ROBO</x:v>
      </x:c>
      <x:c r="C777" s="70" t="n">
        <x:v>46241.63752103009</x:v>
      </x:c>
      <x:c r="D777" s="50" t="str">
        <x:v>SWING_SETUP</x:v>
      </x:c>
      <x:c r="E777" s="50" t="str">
        <x:v>ROBO SWING SETUP</x:v>
      </x:c>
      <x:c r="F777" s="50" t="str">
        <x:v>WATCH</x:v>
      </x:c>
      <x:c r="G777" s="50"/>
      <x:c r="H777" s="50" t="str">
        <x:v>LONG</x:v>
      </x:c>
      <x:c r="I777" s="71" t="n">
        <x:v>84.4</x:v>
      </x:c>
      <x:c r="J777" s="76" t="str">
        <x:v>SIP</x:v>
      </x:c>
    </x:row>
    <x:row r="778">
      <x:c r="A778" s="50" t="str">
        <x:v>019fdccd-7cfb-7918-a717-6447e6f294f0</x:v>
      </x:c>
      <x:c r="B778" s="50" t="str">
        <x:v>HRL</x:v>
      </x:c>
      <x:c r="C778" s="70" t="n">
        <x:v>46241.63752586806</x:v>
      </x:c>
      <x:c r="D778" s="50" t="str">
        <x:v>SWING_SETUP</x:v>
      </x:c>
      <x:c r="E778" s="50" t="str">
        <x:v>HRL SWING SETUP</x:v>
      </x:c>
      <x:c r="F778" s="50" t="str">
        <x:v>WATCH</x:v>
      </x:c>
      <x:c r="G778" s="50"/>
      <x:c r="H778" s="50" t="str">
        <x:v>LONG</x:v>
      </x:c>
      <x:c r="I778" s="71" t="n">
        <x:v>25.195</x:v>
      </x:c>
      <x:c r="J778" s="76" t="str">
        <x:v>SIP</x:v>
      </x:c>
    </x:row>
    <x:row r="779">
      <x:c r="A779" s="50" t="str">
        <x:v>019fdccd-7d51-7292-a8bf-def07059434f</x:v>
      </x:c>
      <x:c r="B779" s="50" t="str">
        <x:v>LMT</x:v>
      </x:c>
      <x:c r="C779" s="70" t="n">
        <x:v>46241.63752686343</x:v>
      </x:c>
      <x:c r="D779" s="50" t="str">
        <x:v>SWING_SETUP</x:v>
      </x:c>
      <x:c r="E779" s="50" t="str">
        <x:v>LMT SWING SETUP</x:v>
      </x:c>
      <x:c r="F779" s="50" t="str">
        <x:v>WATCH</x:v>
      </x:c>
      <x:c r="G779" s="50"/>
      <x:c r="H779" s="50" t="str">
        <x:v>LONG</x:v>
      </x:c>
      <x:c r="I779" s="71" t="n">
        <x:v>581.08</x:v>
      </x:c>
      <x:c r="J779" s="76" t="str">
        <x:v>SIP</x:v>
      </x:c>
    </x:row>
    <x:row r="780">
      <x:c r="A780" s="50" t="str">
        <x:v>019fdccd-7d9d-7902-ac1a-7fd028485719</x:v>
      </x:c>
      <x:c r="B780" s="50" t="str">
        <x:v>ABNB</x:v>
      </x:c>
      <x:c r="C780" s="70" t="n">
        <x:v>46241.637527743056</x:v>
      </x:c>
      <x:c r="D780" s="50" t="str">
        <x:v>SWING_SETUP</x:v>
      </x:c>
      <x:c r="E780" s="50" t="str">
        <x:v>ABNB SWING SETUP</x:v>
      </x:c>
      <x:c r="F780" s="50" t="str">
        <x:v>WATCH</x:v>
      </x:c>
      <x:c r="G780" s="50"/>
      <x:c r="H780" s="50" t="str">
        <x:v>LONG</x:v>
      </x:c>
      <x:c r="I780" s="71" t="n">
        <x:v>175.425</x:v>
      </x:c>
      <x:c r="J780" s="76" t="str">
        <x:v>SIP</x:v>
      </x:c>
    </x:row>
    <x:row r="781">
      <x:c r="A781" s="50" t="str">
        <x:v>019fdccd-7db4-7689-b8b1-4f2cbff042f5</x:v>
      </x:c>
      <x:c r="B781" s="50" t="str">
        <x:v>DLR</x:v>
      </x:c>
      <x:c r="C781" s="70" t="n">
        <x:v>46241.63752800926</x:v>
      </x:c>
      <x:c r="D781" s="50" t="str">
        <x:v>SWING_SETUP</x:v>
      </x:c>
      <x:c r="E781" s="50" t="str">
        <x:v>DLR SWING SETUP</x:v>
      </x:c>
      <x:c r="F781" s="50" t="str">
        <x:v>WATCH</x:v>
      </x:c>
      <x:c r="G781" s="50"/>
      <x:c r="H781" s="50" t="str">
        <x:v>LONG</x:v>
      </x:c>
      <x:c r="I781" s="71" t="n">
        <x:v>195.06</x:v>
      </x:c>
      <x:c r="J781" s="76" t="str">
        <x:v>SIP</x:v>
      </x:c>
    </x:row>
    <x:row r="782">
      <x:c r="A782" s="50" t="str">
        <x:v>019fdccd-7dfa-7fa2-ade3-3e4f359f16ad</x:v>
      </x:c>
      <x:c r="B782" s="50" t="str">
        <x:v>APA</x:v>
      </x:c>
      <x:c r="C782" s="70" t="n">
        <x:v>46241.63752881945</x:v>
      </x:c>
      <x:c r="D782" s="50" t="str">
        <x:v>SWING_SETUP</x:v>
      </x:c>
      <x:c r="E782" s="50" t="str">
        <x:v>APA SWING SETUP</x:v>
      </x:c>
      <x:c r="F782" s="50" t="str">
        <x:v>WATCH</x:v>
      </x:c>
      <x:c r="G782" s="50"/>
      <x:c r="H782" s="50" t="str">
        <x:v>LONG</x:v>
      </x:c>
      <x:c r="I782" s="71" t="n">
        <x:v>37.09</x:v>
      </x:c>
      <x:c r="J782" s="76" t="str">
        <x:v>SIP</x:v>
      </x:c>
    </x:row>
    <x:row r="783">
      <x:c r="A783" s="50" t="str">
        <x:v>019fdccd-7e03-734f-8d14-d60e1c622b0c</x:v>
      </x:c>
      <x:c r="B783" s="50" t="str">
        <x:v>WELL</x:v>
      </x:c>
      <x:c r="C783" s="70" t="n">
        <x:v>46241.63752892361</x:v>
      </x:c>
      <x:c r="D783" s="50" t="str">
        <x:v>SWING_SETUP</x:v>
      </x:c>
      <x:c r="E783" s="50" t="str">
        <x:v>WELL SWING SETUP</x:v>
      </x:c>
      <x:c r="F783" s="50" t="str">
        <x:v>WATCH</x:v>
      </x:c>
      <x:c r="G783" s="50"/>
      <x:c r="H783" s="50" t="str">
        <x:v>LONG</x:v>
      </x:c>
      <x:c r="I783" s="71" t="n">
        <x:v>237.08</x:v>
      </x:c>
      <x:c r="J783" s="76" t="str">
        <x:v>SIP</x:v>
      </x:c>
    </x:row>
    <x:row r="784">
      <x:c r="A784" s="50" t="str">
        <x:v>019fdccd-7e0c-72c3-9304-c5dbf3c791b5</x:v>
      </x:c>
      <x:c r="B784" s="50" t="str">
        <x:v>DASH</x:v>
      </x:c>
      <x:c r="C784" s="70" t="n">
        <x:v>46241.63752902778</x:v>
      </x:c>
      <x:c r="D784" s="50" t="str">
        <x:v>SWING_SETUP</x:v>
      </x:c>
      <x:c r="E784" s="50" t="str">
        <x:v>DASH SWING SETUP</x:v>
      </x:c>
      <x:c r="F784" s="50" t="str">
        <x:v>WATCH</x:v>
      </x:c>
      <x:c r="G784" s="50"/>
      <x:c r="H784" s="50" t="str">
        <x:v>LONG</x:v>
      </x:c>
      <x:c r="I784" s="71" t="n">
        <x:v>219.74</x:v>
      </x:c>
      <x:c r="J784" s="76" t="str">
        <x:v>SIP</x:v>
      </x:c>
    </x:row>
    <x:row r="785">
      <x:c r="A785" s="50" t="str">
        <x:v>019fdccd-7e25-7716-83d1-f4feb305a1f4</x:v>
      </x:c>
      <x:c r="B785" s="50" t="str">
        <x:v>NEM</x:v>
      </x:c>
      <x:c r="C785" s="70" t="n">
        <x:v>46241.63752931713</x:v>
      </x:c>
      <x:c r="D785" s="50" t="str">
        <x:v>SWING_SETUP</x:v>
      </x:c>
      <x:c r="E785" s="50" t="str">
        <x:v>NEM SWING SETUP</x:v>
      </x:c>
      <x:c r="F785" s="50" t="str">
        <x:v>WATCH</x:v>
      </x:c>
      <x:c r="G785" s="50"/>
      <x:c r="H785" s="50" t="str">
        <x:v>LONG</x:v>
      </x:c>
      <x:c r="I785" s="71" t="n">
        <x:v>113.59</x:v>
      </x:c>
      <x:c r="J785" s="76" t="str">
        <x:v>SIP</x:v>
      </x:c>
    </x:row>
    <x:row r="786">
      <x:c r="A786" s="50" t="str">
        <x:v>019fdccd-7e2d-7d29-99fb-8a6484cce8dd</x:v>
      </x:c>
      <x:c r="B786" s="50" t="str">
        <x:v>GRAB</x:v>
      </x:c>
      <x:c r="C786" s="70" t="n">
        <x:v>46241.63752940972</x:v>
      </x:c>
      <x:c r="D786" s="50" t="str">
        <x:v>SWING_SETUP</x:v>
      </x:c>
      <x:c r="E786" s="50" t="str">
        <x:v>GRAB SWING SETUP</x:v>
      </x:c>
      <x:c r="F786" s="50" t="str">
        <x:v>WATCH</x:v>
      </x:c>
      <x:c r="G786" s="50"/>
      <x:c r="H786" s="50" t="str">
        <x:v>LONG</x:v>
      </x:c>
      <x:c r="I786" s="71" t="n">
        <x:v>3.675</x:v>
      </x:c>
      <x:c r="J786" s="76" t="str">
        <x:v>SIP</x:v>
      </x:c>
    </x:row>
    <x:row r="787">
      <x:c r="A787" s="50" t="str">
        <x:v>019fdccd-7ee2-7b98-8f0c-a5407d68aab7</x:v>
      </x:c>
      <x:c r="B787" s="50" t="str">
        <x:v>ANET</x:v>
      </x:c>
      <x:c r="C787" s="70" t="n">
        <x:v>46241.637531493056</x:v>
      </x:c>
      <x:c r="D787" s="50" t="str">
        <x:v>SWING_SETUP</x:v>
      </x:c>
      <x:c r="E787" s="50" t="str">
        <x:v>ANET SWING SETUP</x:v>
      </x:c>
      <x:c r="F787" s="50" t="str">
        <x:v>WATCH</x:v>
      </x:c>
      <x:c r="G787" s="50"/>
      <x:c r="H787" s="50" t="str">
        <x:v>LONG</x:v>
      </x:c>
      <x:c r="I787" s="71" t="n">
        <x:v>190.38</x:v>
      </x:c>
      <x:c r="J787" s="76" t="str">
        <x:v>SIP</x:v>
      </x:c>
    </x:row>
    <x:row r="788">
      <x:c r="A788" s="50" t="str">
        <x:v>019fdccd-7efb-702f-b23c-365ac5b3e0d8</x:v>
      </x:c>
      <x:c r="B788" s="50" t="str">
        <x:v>NVDA</x:v>
      </x:c>
      <x:c r="C788" s="70" t="n">
        <x:v>46241.63753179398</x:v>
      </x:c>
      <x:c r="D788" s="50" t="str">
        <x:v>SWING_SETUP</x:v>
      </x:c>
      <x:c r="E788" s="50" t="str">
        <x:v>NVDA SWING SETUP</x:v>
      </x:c>
      <x:c r="F788" s="50" t="str">
        <x:v>WATCH</x:v>
      </x:c>
      <x:c r="G788" s="50"/>
      <x:c r="H788" s="50" t="str">
        <x:v>LONG</x:v>
      </x:c>
      <x:c r="I788" s="71" t="n">
        <x:v>223.585</x:v>
      </x:c>
      <x:c r="J788" s="76" t="str">
        <x:v>SIP</x:v>
      </x:c>
    </x:row>
    <x:row r="789">
      <x:c r="A789" s="50" t="str">
        <x:v>019fdccd-7f25-73c6-9a63-b009f65286df</x:v>
      </x:c>
      <x:c r="B789" s="50" t="str">
        <x:v>ADBE</x:v>
      </x:c>
      <x:c r="C789" s="70" t="n">
        <x:v>46241.637532280096</x:v>
      </x:c>
      <x:c r="D789" s="50" t="str">
        <x:v>SWING_SETUP</x:v>
      </x:c>
      <x:c r="E789" s="50" t="str">
        <x:v>ADBE SWING SETUP</x:v>
      </x:c>
      <x:c r="F789" s="50" t="str">
        <x:v>WATCH</x:v>
      </x:c>
      <x:c r="G789" s="50"/>
      <x:c r="H789" s="50" t="str">
        <x:v>LONG</x:v>
      </x:c>
      <x:c r="I789" s="71" t="n">
        <x:v>267.29</x:v>
      </x:c>
      <x:c r="J789" s="76" t="str">
        <x:v>SIP</x:v>
      </x:c>
    </x:row>
    <x:row r="790">
      <x:c r="A790" s="50" t="str">
        <x:v>019fdccd-7f2c-7712-8cc4-3f48a3b88f02</x:v>
      </x:c>
      <x:c r="B790" s="50" t="str">
        <x:v>COP</x:v>
      </x:c>
      <x:c r="C790" s="70" t="n">
        <x:v>46241.637532361114</x:v>
      </x:c>
      <x:c r="D790" s="50" t="str">
        <x:v>SWING_SETUP</x:v>
      </x:c>
      <x:c r="E790" s="50" t="str">
        <x:v>COP SWING SETUP</x:v>
      </x:c>
      <x:c r="F790" s="50" t="str">
        <x:v>WATCH</x:v>
      </x:c>
      <x:c r="G790" s="50"/>
      <x:c r="H790" s="50" t="str">
        <x:v>LONG</x:v>
      </x:c>
      <x:c r="I790" s="71" t="n">
        <x:v>117.59</x:v>
      </x:c>
      <x:c r="J790" s="76" t="str">
        <x:v>SIP</x:v>
      </x:c>
    </x:row>
    <x:row r="791">
      <x:c r="A791" s="50" t="str">
        <x:v>019fdccd-7f48-78e7-bd2b-1f883c5b5afb</x:v>
      </x:c>
      <x:c r="B791" s="50" t="str">
        <x:v>SBUX</x:v>
      </x:c>
      <x:c r="C791" s="70" t="n">
        <x:v>46241.637532685185</x:v>
      </x:c>
      <x:c r="D791" s="50" t="str">
        <x:v>SWING_SETUP</x:v>
      </x:c>
      <x:c r="E791" s="50" t="str">
        <x:v>SBUX SWING SETUP</x:v>
      </x:c>
      <x:c r="F791" s="50" t="str">
        <x:v>WATCH</x:v>
      </x:c>
      <x:c r="G791" s="50"/>
      <x:c r="H791" s="50" t="str">
        <x:v>LONG</x:v>
      </x:c>
      <x:c r="I791" s="71" t="n">
        <x:v>106.27</x:v>
      </x:c>
      <x:c r="J791" s="76" t="str">
        <x:v>SIP</x:v>
      </x:c>
    </x:row>
    <x:row r="792">
      <x:c r="A792" s="50" t="str">
        <x:v>019fdccd-7f58-7177-a83d-8deb59b04be8</x:v>
      </x:c>
      <x:c r="B792" s="50" t="str">
        <x:v>MDLZ</x:v>
      </x:c>
      <x:c r="C792" s="70" t="n">
        <x:v>46241.63753287037</x:v>
      </x:c>
      <x:c r="D792" s="50" t="str">
        <x:v>SWING_SETUP</x:v>
      </x:c>
      <x:c r="E792" s="50" t="str">
        <x:v>MDLZ SWING SETUP</x:v>
      </x:c>
      <x:c r="F792" s="50" t="str">
        <x:v>WATCH</x:v>
      </x:c>
      <x:c r="G792" s="50"/>
      <x:c r="H792" s="50" t="str">
        <x:v>LONG</x:v>
      </x:c>
      <x:c r="I792" s="71" t="n">
        <x:v>62.66</x:v>
      </x:c>
      <x:c r="J792" s="76" t="str">
        <x:v>SIP</x:v>
      </x:c>
    </x:row>
    <x:row r="793">
      <x:c r="A793" s="50" t="str">
        <x:v>019fdccd-7f61-7311-bc41-23fac5dfc5e2</x:v>
      </x:c>
      <x:c r="B793" s="50" t="str">
        <x:v>VZ</x:v>
      </x:c>
      <x:c r="C793" s="70" t="n">
        <x:v>46241.637532962966</x:v>
      </x:c>
      <x:c r="D793" s="50" t="str">
        <x:v>SWING_SETUP</x:v>
      </x:c>
      <x:c r="E793" s="50" t="str">
        <x:v>VZ SWING SETUP</x:v>
      </x:c>
      <x:c r="F793" s="50" t="str">
        <x:v>WATCH</x:v>
      </x:c>
      <x:c r="G793" s="50"/>
      <x:c r="H793" s="50" t="str">
        <x:v>LONG</x:v>
      </x:c>
      <x:c r="I793" s="71" t="n">
        <x:v>46.74</x:v>
      </x:c>
      <x:c r="J793" s="76" t="str">
        <x:v>SIP</x:v>
      </x:c>
    </x:row>
    <x:row r="794">
      <x:c r="A794" s="50" t="str">
        <x:v>019fdccd-7f73-781b-806b-8c4c20f0856b</x:v>
      </x:c>
      <x:c r="B794" s="50" t="str">
        <x:v>UNP</x:v>
      </x:c>
      <x:c r="C794" s="70" t="n">
        <x:v>46241.63753318287</x:v>
      </x:c>
      <x:c r="D794" s="50" t="str">
        <x:v>SWING_SETUP</x:v>
      </x:c>
      <x:c r="E794" s="50" t="str">
        <x:v>UNP SWING SETUP</x:v>
      </x:c>
      <x:c r="F794" s="50" t="str">
        <x:v>WATCH</x:v>
      </x:c>
      <x:c r="G794" s="50"/>
      <x:c r="H794" s="50" t="str">
        <x:v>LONG</x:v>
      </x:c>
      <x:c r="I794" s="71" t="n">
        <x:v>294.43</x:v>
      </x:c>
      <x:c r="J794" s="76" t="str">
        <x:v>SIP</x:v>
      </x:c>
    </x:row>
    <x:row r="795">
      <x:c r="A795" s="50" t="str">
        <x:v>019fdccd-7f7e-71ae-a771-178c24951070</x:v>
      </x:c>
      <x:c r="B795" s="50" t="str">
        <x:v>OXY</x:v>
      </x:c>
      <x:c r="C795" s="70" t="n">
        <x:v>46241.63753331018</x:v>
      </x:c>
      <x:c r="D795" s="50" t="str">
        <x:v>SWING_SETUP</x:v>
      </x:c>
      <x:c r="E795" s="50" t="str">
        <x:v>OXY SWING SETUP</x:v>
      </x:c>
      <x:c r="F795" s="50" t="str">
        <x:v>WATCH</x:v>
      </x:c>
      <x:c r="G795" s="50"/>
      <x:c r="H795" s="50" t="str">
        <x:v>LONG</x:v>
      </x:c>
      <x:c r="I795" s="71" t="n">
        <x:v>56.145</x:v>
      </x:c>
      <x:c r="J795" s="76" t="str">
        <x:v>SIP</x:v>
      </x:c>
    </x:row>
    <x:row r="796">
      <x:c r="A796" s="50" t="str">
        <x:v>019fdccd-7fbb-7eaf-bc6e-91b37a7a6610</x:v>
      </x:c>
      <x:c r="B796" s="50" t="str">
        <x:v>XOM</x:v>
      </x:c>
      <x:c r="C796" s="70" t="n">
        <x:v>46241.637534016205</x:v>
      </x:c>
      <x:c r="D796" s="50" t="str">
        <x:v>ENTRY_WATCH</x:v>
      </x:c>
      <x:c r="E796" s="50" t="str">
        <x:v>XOM ENTRY IN_ZONE EARLY WATCH</x:v>
      </x:c>
      <x:c r="F796" s="50" t="str">
        <x:v>WATCH</x:v>
      </x:c>
      <x:c r="G796" s="50"/>
      <x:c r="H796" s="50" t="str">
        <x:v>LONG</x:v>
      </x:c>
      <x:c r="I796" s="71" t="n">
        <x:v>152.38</x:v>
      </x:c>
      <x:c r="J796" s="76" t="str">
        <x:v>SIP</x:v>
      </x:c>
    </x:row>
    <x:row r="797">
      <x:c r="A797" s="50" t="str">
        <x:v>019fdccd-809b-73d9-b42a-2acbac232df2</x:v>
      </x:c>
      <x:c r="B797" s="50" t="str">
        <x:v>BLFS</x:v>
      </x:c>
      <x:c r="C797" s="70" t="n">
        <x:v>46241.637536608796</x:v>
      </x:c>
      <x:c r="D797" s="50" t="str">
        <x:v>SWING_SETUP</x:v>
      </x:c>
      <x:c r="E797" s="50" t="str">
        <x:v>BLFS SWING SETUP</x:v>
      </x:c>
      <x:c r="F797" s="50" t="str">
        <x:v>WATCH</x:v>
      </x:c>
      <x:c r="G797" s="50"/>
      <x:c r="H797" s="50" t="str">
        <x:v>LONG</x:v>
      </x:c>
      <x:c r="I797" s="71" t="n">
        <x:v>34.55</x:v>
      </x:c>
      <x:c r="J797" s="76" t="str">
        <x:v>SIP</x:v>
      </x:c>
    </x:row>
    <x:row r="798">
      <x:c r="A798" s="50" t="str">
        <x:v>019fdccd-8118-7b64-9a30-b50633cfeb3d</x:v>
      </x:c>
      <x:c r="B798" s="50" t="str">
        <x:v>BMY</x:v>
      </x:c>
      <x:c r="C798" s="70" t="n">
        <x:v>46241.637538055555</x:v>
      </x:c>
      <x:c r="D798" s="50" t="str">
        <x:v>SWING_SETUP</x:v>
      </x:c>
      <x:c r="E798" s="50" t="str">
        <x:v>BMY SWING SETUP</x:v>
      </x:c>
      <x:c r="F798" s="50" t="str">
        <x:v>WATCH</x:v>
      </x:c>
      <x:c r="G798" s="50"/>
      <x:c r="H798" s="50" t="str">
        <x:v>LONG</x:v>
      </x:c>
      <x:c r="I798" s="71" t="n">
        <x:v>64.2182</x:v>
      </x:c>
      <x:c r="J798" s="76" t="str">
        <x:v>SIP</x:v>
      </x:c>
    </x:row>
    <x:row r="799">
      <x:c r="A799" s="50" t="str">
        <x:v>019fdccd-8125-7ab4-b1e3-9830529f2f7f</x:v>
      </x:c>
      <x:c r="B799" s="50" t="str">
        <x:v>MA</x:v>
      </x:c>
      <x:c r="C799" s="70" t="n">
        <x:v>46241.637538194445</x:v>
      </x:c>
      <x:c r="D799" s="50" t="str">
        <x:v>SWING_SETUP</x:v>
      </x:c>
      <x:c r="E799" s="50" t="str">
        <x:v>MA SWING SETUP</x:v>
      </x:c>
      <x:c r="F799" s="50" t="str">
        <x:v>WATCH</x:v>
      </x:c>
      <x:c r="G799" s="50"/>
      <x:c r="H799" s="50" t="str">
        <x:v>LONG</x:v>
      </x:c>
      <x:c r="I799" s="71" t="n">
        <x:v>566.01</x:v>
      </x:c>
      <x:c r="J799" s="76" t="str">
        <x:v>SIP</x:v>
      </x:c>
    </x:row>
    <x:row r="800">
      <x:c r="A800" s="50" t="str">
        <x:v>019fdccd-8133-7fd6-9fe4-ea15d2d506dd</x:v>
      </x:c>
      <x:c r="B800" s="50" t="str">
        <x:v>SNOW</x:v>
      </x:c>
      <x:c r="C800" s="70" t="n">
        <x:v>46241.63753836806</x:v>
      </x:c>
      <x:c r="D800" s="50" t="str">
        <x:v>SWING_SETUP</x:v>
      </x:c>
      <x:c r="E800" s="50" t="str">
        <x:v>SNOW SWING SETUP</x:v>
      </x:c>
      <x:c r="F800" s="50" t="str">
        <x:v>WATCH</x:v>
      </x:c>
      <x:c r="G800" s="50"/>
      <x:c r="H800" s="50" t="str">
        <x:v>LONG</x:v>
      </x:c>
      <x:c r="I800" s="71" t="n">
        <x:v>324.425</x:v>
      </x:c>
      <x:c r="J800" s="76" t="str">
        <x:v>SIP</x:v>
      </x:c>
    </x:row>
    <x:row r="801">
      <x:c r="A801" s="50" t="str">
        <x:v>019fdccd-8480-7542-9e50-1d3da80d039c</x:v>
      </x:c>
      <x:c r="B801" s="50" t="str">
        <x:v>PM</x:v>
      </x:c>
      <x:c r="C801" s="70" t="n">
        <x:v>46241.637548148145</x:v>
      </x:c>
      <x:c r="D801" s="50" t="str">
        <x:v>LONG_BUY_ZONE</x:v>
      </x:c>
      <x:c r="E801" s="50" t="str">
        <x:v>PM LONG BUY ZONE</x:v>
      </x:c>
      <x:c r="F801" s="50" t="str">
        <x:v>WATCH</x:v>
      </x:c>
      <x:c r="G801" s="50"/>
      <x:c r="H801" s="50" t="str">
        <x:v>LONG</x:v>
      </x:c>
      <x:c r="I801" s="71" t="n">
        <x:v>189.0451</x:v>
      </x:c>
      <x:c r="J801" s="76" t="str">
        <x:v>SIP</x:v>
      </x:c>
    </x:row>
    <x:row r="802">
      <x:c r="A802" s="50" t="str">
        <x:v>019fdcce-6688-7a64-a2b7-21e7b7874edc</x:v>
      </x:c>
      <x:c r="B802" s="50" t="str">
        <x:v>HRL</x:v>
      </x:c>
      <x:c r="C802" s="70" t="n">
        <x:v>46241.63821787037</x:v>
      </x:c>
      <x:c r="D802" s="50" t="str">
        <x:v>LONG_BUY_ZONE</x:v>
      </x:c>
      <x:c r="E802" s="50" t="str">
        <x:v>HRL LONG BUY ZONE</x:v>
      </x:c>
      <x:c r="F802" s="50" t="str">
        <x:v>WATCH</x:v>
      </x:c>
      <x:c r="G802" s="50"/>
      <x:c r="H802" s="50" t="str">
        <x:v>LONG</x:v>
      </x:c>
      <x:c r="I802" s="71" t="n">
        <x:v>25.19</x:v>
      </x:c>
      <x:c r="J802" s="76" t="str">
        <x:v>SIP</x:v>
      </x:c>
    </x:row>
    <x:row r="803">
      <x:c r="A803" s="50" t="str">
        <x:v>019fdcce-68bb-7793-be6b-e6e724733db3</x:v>
      </x:c>
      <x:c r="B803" s="50" t="str">
        <x:v>JD</x:v>
      </x:c>
      <x:c r="C803" s="70" t="n">
        <x:v>46241.638224386574</x:v>
      </x:c>
      <x:c r="D803" s="50" t="str">
        <x:v>SWING_SETUP</x:v>
      </x:c>
      <x:c r="E803" s="50" t="str">
        <x:v>JD SWING SETUP</x:v>
      </x:c>
      <x:c r="F803" s="50" t="str">
        <x:v>WATCH</x:v>
      </x:c>
      <x:c r="G803" s="50"/>
      <x:c r="H803" s="50" t="str">
        <x:v>LONG</x:v>
      </x:c>
      <x:c r="I803" s="71" t="n">
        <x:v>32.925</x:v>
      </x:c>
      <x:c r="J803" s="76" t="str">
        <x:v>SIP</x:v>
      </x:c>
    </x:row>
    <x:row r="804">
      <x:c r="A804" s="50" t="str">
        <x:v>019fdcce-68e5-7d82-89e6-3b57a7785316</x:v>
      </x:c>
      <x:c r="B804" s="50" t="str">
        <x:v>BAC</x:v>
      </x:c>
      <x:c r="C804" s="70" t="n">
        <x:v>46241.63822487269</x:v>
      </x:c>
      <x:c r="D804" s="50" t="str">
        <x:v>SWING_SETUP</x:v>
      </x:c>
      <x:c r="E804" s="50" t="str">
        <x:v>BAC SWING SETUP</x:v>
      </x:c>
      <x:c r="F804" s="50" t="str">
        <x:v>WATCH</x:v>
      </x:c>
      <x:c r="G804" s="50"/>
      <x:c r="H804" s="50" t="str">
        <x:v>LONG</x:v>
      </x:c>
      <x:c r="I804" s="71" t="n">
        <x:v>62.915</x:v>
      </x:c>
      <x:c r="J804" s="76" t="str">
        <x:v>SIP</x:v>
      </x:c>
    </x:row>
    <x:row r="805">
      <x:c r="A805" s="50" t="str">
        <x:v>019fdcce-68f5-7d81-956e-f8277a881c02</x:v>
      </x:c>
      <x:c r="B805" s="50" t="str">
        <x:v>JPM</x:v>
      </x:c>
      <x:c r="C805" s="70" t="n">
        <x:v>46241.63822505787</x:v>
      </x:c>
      <x:c r="D805" s="50" t="str">
        <x:v>SWING_SETUP</x:v>
      </x:c>
      <x:c r="E805" s="50" t="str">
        <x:v>JPM SWING SETUP</x:v>
      </x:c>
      <x:c r="F805" s="50" t="str">
        <x:v>WATCH</x:v>
      </x:c>
      <x:c r="G805" s="50"/>
      <x:c r="H805" s="50" t="str">
        <x:v>LONG</x:v>
      </x:c>
      <x:c r="I805" s="71" t="n">
        <x:v>356.38</x:v>
      </x:c>
      <x:c r="J805" s="76" t="str">
        <x:v>SIP</x:v>
      </x:c>
    </x:row>
    <x:row r="806">
      <x:c r="A806" s="50" t="str">
        <x:v>019fdcce-6907-780f-a770-8fbe63d96564</x:v>
      </x:c>
      <x:c r="B806" s="50" t="str">
        <x:v>ECL</x:v>
      </x:c>
      <x:c r="C806" s="70" t="n">
        <x:v>46241.6382252662</x:v>
      </x:c>
      <x:c r="D806" s="50" t="str">
        <x:v>SWING_SETUP</x:v>
      </x:c>
      <x:c r="E806" s="50" t="str">
        <x:v>ECL SWING SETUP</x:v>
      </x:c>
      <x:c r="F806" s="50" t="str">
        <x:v>WATCH</x:v>
      </x:c>
      <x:c r="G806" s="50"/>
      <x:c r="H806" s="50" t="str">
        <x:v>LONG</x:v>
      </x:c>
      <x:c r="I806" s="71" t="n">
        <x:v>286.24</x:v>
      </x:c>
      <x:c r="J806" s="76" t="str">
        <x:v>SIP</x:v>
      </x:c>
    </x:row>
    <x:row r="807">
      <x:c r="A807" s="50" t="str">
        <x:v>019fdcce-6917-7c7c-9c10-48adfefcb98d</x:v>
      </x:c>
      <x:c r="B807" s="50" t="str">
        <x:v>PFE</x:v>
      </x:c>
      <x:c r="C807" s="70" t="n">
        <x:v>46241.63822545139</x:v>
      </x:c>
      <x:c r="D807" s="50" t="str">
        <x:v>SWING_SETUP</x:v>
      </x:c>
      <x:c r="E807" s="50" t="str">
        <x:v>PFE SWING SETUP</x:v>
      </x:c>
      <x:c r="F807" s="50" t="str">
        <x:v>WATCH</x:v>
      </x:c>
      <x:c r="G807" s="50"/>
      <x:c r="H807" s="50" t="str">
        <x:v>LONG</x:v>
      </x:c>
      <x:c r="I807" s="71" t="n">
        <x:v>26.36</x:v>
      </x:c>
      <x:c r="J807" s="76" t="str">
        <x:v>SIP</x:v>
      </x:c>
    </x:row>
    <x:row r="808">
      <x:c r="A808" s="50" t="str">
        <x:v>019fdcce-6946-776b-84dd-9a8ff3297866</x:v>
      </x:c>
      <x:c r="B808" s="50" t="str">
        <x:v>ETHA</x:v>
      </x:c>
      <x:c r="C808" s="70" t="n">
        <x:v>46241.63822599537</x:v>
      </x:c>
      <x:c r="D808" s="50" t="str">
        <x:v>SWING_SETUP</x:v>
      </x:c>
      <x:c r="E808" s="50" t="str">
        <x:v>ETHA SWING SETUP</x:v>
      </x:c>
      <x:c r="F808" s="50" t="str">
        <x:v>WATCH</x:v>
      </x:c>
      <x:c r="G808" s="50"/>
      <x:c r="H808" s="50" t="str">
        <x:v>LONG</x:v>
      </x:c>
      <x:c r="I808" s="71" t="n">
        <x:v>14.4405</x:v>
      </x:c>
      <x:c r="J808" s="76" t="str">
        <x:v>SIP</x:v>
      </x:c>
    </x:row>
    <x:row r="809">
      <x:c r="A809" s="50" t="str">
        <x:v>019fdcce-6955-7b72-a6a6-954707a78f2e</x:v>
      </x:c>
      <x:c r="B809" s="50" t="str">
        <x:v>TMDX</x:v>
      </x:c>
      <x:c r="C809" s="70" t="n">
        <x:v>46241.63822616898</x:v>
      </x:c>
      <x:c r="D809" s="50" t="str">
        <x:v>SWING_SETUP</x:v>
      </x:c>
      <x:c r="E809" s="50" t="str">
        <x:v>TMDX SWING SETUP</x:v>
      </x:c>
      <x:c r="F809" s="50" t="str">
        <x:v>WATCH</x:v>
      </x:c>
      <x:c r="G809" s="50"/>
      <x:c r="H809" s="50" t="str">
        <x:v>LONG</x:v>
      </x:c>
      <x:c r="I809" s="71" t="n">
        <x:v>81.405</x:v>
      </x:c>
      <x:c r="J809" s="76" t="str">
        <x:v>SIP</x:v>
      </x:c>
    </x:row>
    <x:row r="810">
      <x:c r="A810" s="50" t="str">
        <x:v>019fdcce-697c-77af-8733-0b21b1db8971</x:v>
      </x:c>
      <x:c r="B810" s="50" t="str">
        <x:v>BKNG</x:v>
      </x:c>
      <x:c r="C810" s="70" t="n">
        <x:v>46241.63822662037</x:v>
      </x:c>
      <x:c r="D810" s="50" t="str">
        <x:v>SWING_SETUP</x:v>
      </x:c>
      <x:c r="E810" s="50" t="str">
        <x:v>BKNG SWING SETUP</x:v>
      </x:c>
      <x:c r="F810" s="50" t="str">
        <x:v>WATCH</x:v>
      </x:c>
      <x:c r="G810" s="50"/>
      <x:c r="H810" s="50" t="str">
        <x:v>LONG</x:v>
      </x:c>
      <x:c r="I810" s="71" t="n">
        <x:v>214.95</x:v>
      </x:c>
      <x:c r="J810" s="76" t="str">
        <x:v>SIP</x:v>
      </x:c>
    </x:row>
    <x:row r="811">
      <x:c r="A811" s="50" t="str">
        <x:v>019fdcce-69d1-78c9-83a8-f37d23ab3ae1</x:v>
      </x:c>
      <x:c r="B811" s="50" t="str">
        <x:v>KO</x:v>
      </x:c>
      <x:c r="C811" s="70" t="n">
        <x:v>46241.63822760417</x:v>
      </x:c>
      <x:c r="D811" s="50" t="str">
        <x:v>SWING_SETUP</x:v>
      </x:c>
      <x:c r="E811" s="50" t="str">
        <x:v>KO SWING SETUP</x:v>
      </x:c>
      <x:c r="F811" s="50" t="str">
        <x:v>WATCH</x:v>
      </x:c>
      <x:c r="G811" s="50"/>
      <x:c r="H811" s="50" t="str">
        <x:v>LONG</x:v>
      </x:c>
      <x:c r="I811" s="71" t="n">
        <x:v>86.8</x:v>
      </x:c>
      <x:c r="J811" s="76" t="str">
        <x:v>SIP</x:v>
      </x:c>
    </x:row>
    <x:row r="812">
      <x:c r="A812" s="50" t="str">
        <x:v>019fdcce-69f6-76e4-a73f-ef788107798a</x:v>
      </x:c>
      <x:c r="B812" s="50" t="str">
        <x:v>CEG</x:v>
      </x:c>
      <x:c r="C812" s="70" t="n">
        <x:v>46241.638228020835</x:v>
      </x:c>
      <x:c r="D812" s="50" t="str">
        <x:v>SWING_SETUP</x:v>
      </x:c>
      <x:c r="E812" s="50" t="str">
        <x:v>CEG SWING SETUP</x:v>
      </x:c>
      <x:c r="F812" s="50" t="str">
        <x:v>WATCH</x:v>
      </x:c>
      <x:c r="G812" s="50"/>
      <x:c r="H812" s="50" t="str">
        <x:v>LONG</x:v>
      </x:c>
      <x:c r="I812" s="71" t="n">
        <x:v>267.3375</x:v>
      </x:c>
      <x:c r="J812" s="76" t="str">
        <x:v>SIP</x:v>
      </x:c>
    </x:row>
    <x:row r="813">
      <x:c r="A813" s="50" t="str">
        <x:v>019fdcce-6b11-7ab7-a03e-8e8756d512a6</x:v>
      </x:c>
      <x:c r="B813" s="50" t="str">
        <x:v>XOM</x:v>
      </x:c>
      <x:c r="C813" s="70" t="n">
        <x:v>46241.63823130787</x:v>
      </x:c>
      <x:c r="D813" s="50" t="str">
        <x:v>ENTRY_WATCH</x:v>
      </x:c>
      <x:c r="E813" s="50" t="str">
        <x:v>XOM ENTRY BREAKAWAY WATCH</x:v>
      </x:c>
      <x:c r="F813" s="50" t="str">
        <x:v>WATCH</x:v>
      </x:c>
      <x:c r="G813" s="50"/>
      <x:c r="H813" s="50" t="str">
        <x:v>LONG</x:v>
      </x:c>
      <x:c r="I813" s="71" t="n">
        <x:v>152.46</x:v>
      </x:c>
      <x:c r="J813" s="76" t="str">
        <x:v>SIP</x:v>
      </x:c>
    </x:row>
    <x:row r="814">
      <x:c r="A814" s="50" t="str">
        <x:v>019fdccf-5179-722d-9d4f-29f2768171c8</x:v>
      </x:c>
      <x:c r="B814" s="50" t="str">
        <x:v>BLK</x:v>
      </x:c>
      <x:c r="C814" s="70" t="n">
        <x:v>46241.638913993054</x:v>
      </x:c>
      <x:c r="D814" s="50" t="str">
        <x:v>SWING_SETUP</x:v>
      </x:c>
      <x:c r="E814" s="50" t="str">
        <x:v>BLK SWING SETUP</x:v>
      </x:c>
      <x:c r="F814" s="50" t="str">
        <x:v>WATCH</x:v>
      </x:c>
      <x:c r="G814" s="50"/>
      <x:c r="H814" s="50" t="str">
        <x:v>LONG</x:v>
      </x:c>
      <x:c r="I814" s="71" t="n">
        <x:v>1136.94</x:v>
      </x:c>
      <x:c r="J814" s="76" t="str">
        <x:v>SIP</x:v>
      </x:c>
    </x:row>
    <x:row r="815">
      <x:c r="A815" s="50" t="str">
        <x:v>019fdccf-5429-7c42-80af-b7e69f2e4ade</x:v>
      </x:c>
      <x:c r="B815" s="50" t="str">
        <x:v>ECL</x:v>
      </x:c>
      <x:c r="C815" s="70" t="n">
        <x:v>46241.638921956015</x:v>
      </x:c>
      <x:c r="D815" s="50" t="str">
        <x:v>LONG_BUY_ZONE</x:v>
      </x:c>
      <x:c r="E815" s="50" t="str">
        <x:v>ECL LONG BUY ZONE</x:v>
      </x:c>
      <x:c r="F815" s="50" t="str">
        <x:v>WATCH</x:v>
      </x:c>
      <x:c r="G815" s="50"/>
      <x:c r="H815" s="50" t="str">
        <x:v>LONG</x:v>
      </x:c>
      <x:c r="I815" s="71" t="n">
        <x:v>286.18</x:v>
      </x:c>
      <x:c r="J815" s="76" t="str">
        <x:v>SIP</x:v>
      </x:c>
    </x:row>
    <x:row r="816">
      <x:c r="A816" s="50" t="str">
        <x:v>019fdccf-54f2-72bb-8c59-d75a67e99081</x:v>
      </x:c>
      <x:c r="B816" s="50" t="str">
        <x:v>SHW</x:v>
      </x:c>
      <x:c r="C816" s="70" t="n">
        <x:v>46241.63892427083</x:v>
      </x:c>
      <x:c r="D816" s="50" t="str">
        <x:v>SWING_SETUP</x:v>
      </x:c>
      <x:c r="E816" s="50" t="str">
        <x:v>SHW SWING SETUP</x:v>
      </x:c>
      <x:c r="F816" s="50" t="str">
        <x:v>WATCH</x:v>
      </x:c>
      <x:c r="G816" s="50"/>
      <x:c r="H816" s="50" t="str">
        <x:v>LONG</x:v>
      </x:c>
      <x:c r="I816" s="71" t="n">
        <x:v>370.075</x:v>
      </x:c>
      <x:c r="J816" s="76" t="str">
        <x:v>SIP</x:v>
      </x:c>
    </x:row>
    <x:row r="817">
      <x:c r="A817" s="50" t="str">
        <x:v>019fdccf-5976-7cf4-a908-62724c30b4d2</x:v>
      </x:c>
      <x:c r="B817" s="50" t="str">
        <x:v>ABBV</x:v>
      </x:c>
      <x:c r="C817" s="70" t="n">
        <x:v>46241.63893765046</x:v>
      </x:c>
      <x:c r="D817" s="50" t="str">
        <x:v>LONG_BUY_ZONE</x:v>
      </x:c>
      <x:c r="E817" s="50" t="str">
        <x:v>ABBV LONG BUY ZONE</x:v>
      </x:c>
      <x:c r="F817" s="50" t="str">
        <x:v>WATCH</x:v>
      </x:c>
      <x:c r="G817" s="50"/>
      <x:c r="H817" s="50" t="str">
        <x:v>LONG</x:v>
      </x:c>
      <x:c r="I817" s="71" t="n">
        <x:v>244.11</x:v>
      </x:c>
      <x:c r="J817" s="76" t="str">
        <x:v>SIP</x:v>
      </x:c>
    </x:row>
    <x:row r="818">
      <x:c r="A818" s="50" t="str">
        <x:v>019fdccf-5ad4-7135-9153-32d5b8c3290c</x:v>
      </x:c>
      <x:c r="B818" s="50" t="str">
        <x:v>APD</x:v>
      </x:c>
      <x:c r="C818" s="70" t="n">
        <x:v>46241.63894171296</x:v>
      </x:c>
      <x:c r="D818" s="50" t="str">
        <x:v>LONG_BUY_ZONE</x:v>
      </x:c>
      <x:c r="E818" s="50" t="str">
        <x:v>APD LONG BUY ZONE</x:v>
      </x:c>
      <x:c r="F818" s="50" t="str">
        <x:v>WATCH</x:v>
      </x:c>
      <x:c r="G818" s="50"/>
      <x:c r="H818" s="50" t="str">
        <x:v>LONG</x:v>
      </x:c>
      <x:c r="I818" s="71" t="n">
        <x:v>300.22</x:v>
      </x:c>
      <x:c r="J818" s="76" t="str">
        <x:v>SIP</x:v>
      </x:c>
    </x:row>
    <x:row r="819">
      <x:c r="A819" s="50" t="str">
        <x:v>019fdcd0-3e30-7c1f-b8b4-85ec23eb46cd</x:v>
      </x:c>
      <x:c r="B819" s="50" t="str">
        <x:v>PM</x:v>
      </x:c>
      <x:c r="C819" s="70" t="n">
        <x:v>46241.63961537037</x:v>
      </x:c>
      <x:c r="D819" s="50" t="str">
        <x:v>SWING_SETUP</x:v>
      </x:c>
      <x:c r="E819" s="50" t="str">
        <x:v>PM SWING SETUP</x:v>
      </x:c>
      <x:c r="F819" s="50" t="str">
        <x:v>WATCH</x:v>
      </x:c>
      <x:c r="G819" s="50"/>
      <x:c r="H819" s="50" t="str">
        <x:v>LONG</x:v>
      </x:c>
      <x:c r="I819" s="71" t="n">
        <x:v>189.03</x:v>
      </x:c>
      <x:c r="J819" s="76" t="str">
        <x:v>SIP</x:v>
      </x:c>
    </x:row>
    <x:row r="820">
      <x:c r="A820" s="50" t="str">
        <x:v>019fdcd0-3e9e-7d0c-bbe4-80e8ef95b936</x:v>
      </x:c>
      <x:c r="B820" s="50" t="str">
        <x:v>MMM</x:v>
      </x:c>
      <x:c r="C820" s="70" t="n">
        <x:v>46241.639616643515</x:v>
      </x:c>
      <x:c r="D820" s="50" t="str">
        <x:v>SWING_SETUP</x:v>
      </x:c>
      <x:c r="E820" s="50" t="str">
        <x:v>MMM SWING SETUP</x:v>
      </x:c>
      <x:c r="F820" s="50" t="str">
        <x:v>WATCH</x:v>
      </x:c>
      <x:c r="G820" s="50"/>
      <x:c r="H820" s="50" t="str">
        <x:v>LONG</x:v>
      </x:c>
      <x:c r="I820" s="71" t="n">
        <x:v>182.97</x:v>
      </x:c>
      <x:c r="J820" s="76" t="str">
        <x:v>SIP</x:v>
      </x:c>
    </x:row>
    <x:row r="821">
      <x:c r="A821" s="50" t="str">
        <x:v>019fdcd0-3ea9-729d-bd25-fe798c04237c</x:v>
      </x:c>
      <x:c r="B821" s="50" t="str">
        <x:v>ABT</x:v>
      </x:c>
      <x:c r="C821" s="70" t="n">
        <x:v>46241.63961677083</x:v>
      </x:c>
      <x:c r="D821" s="50" t="str">
        <x:v>SWING_SETUP</x:v>
      </x:c>
      <x:c r="E821" s="50" t="str">
        <x:v>ABT SWING SETUP</x:v>
      </x:c>
      <x:c r="F821" s="50" t="str">
        <x:v>WATCH</x:v>
      </x:c>
      <x:c r="G821" s="50"/>
      <x:c r="H821" s="50" t="str">
        <x:v>LONG</x:v>
      </x:c>
      <x:c r="I821" s="71" t="n">
        <x:v>107.19</x:v>
      </x:c>
      <x:c r="J821" s="76" t="str">
        <x:v>SIP</x:v>
      </x:c>
    </x:row>
    <x:row r="822">
      <x:c r="A822" s="50" t="str">
        <x:v>019fdcd0-3ed5-7099-89db-25fe18499bcd</x:v>
      </x:c>
      <x:c r="B822" s="50" t="str">
        <x:v>GD</x:v>
      </x:c>
      <x:c r="C822" s="70" t="n">
        <x:v>46241.639617280096</x:v>
      </x:c>
      <x:c r="D822" s="50" t="str">
        <x:v>SWING_SETUP</x:v>
      </x:c>
      <x:c r="E822" s="50" t="str">
        <x:v>GD SWING SETUP</x:v>
      </x:c>
      <x:c r="F822" s="50" t="str">
        <x:v>WATCH</x:v>
      </x:c>
      <x:c r="G822" s="50"/>
      <x:c r="H822" s="50" t="str">
        <x:v>LONG</x:v>
      </x:c>
      <x:c r="I822" s="71" t="n">
        <x:v>386.8</x:v>
      </x:c>
      <x:c r="J822" s="76" t="str">
        <x:v>SIP</x:v>
      </x:c>
    </x:row>
    <x:row r="823">
      <x:c r="A823" s="50" t="str">
        <x:v>019fdcd0-3fb8-70dd-ab2d-34e62fbc57b9</x:v>
      </x:c>
      <x:c r="B823" s="50" t="str">
        <x:v>RCL</x:v>
      </x:c>
      <x:c r="C823" s="70" t="n">
        <x:v>46241.63961990741</x:v>
      </x:c>
      <x:c r="D823" s="50" t="str">
        <x:v>SWING_SETUP</x:v>
      </x:c>
      <x:c r="E823" s="50" t="str">
        <x:v>RCL SWING SETUP</x:v>
      </x:c>
      <x:c r="F823" s="50" t="str">
        <x:v>WATCH</x:v>
      </x:c>
      <x:c r="G823" s="50"/>
      <x:c r="H823" s="50" t="str">
        <x:v>LONG</x:v>
      </x:c>
      <x:c r="I823" s="71" t="n">
        <x:v>320.685</x:v>
      </x:c>
      <x:c r="J823" s="76" t="str">
        <x:v>SIP</x:v>
      </x:c>
    </x:row>
    <x:row r="824">
      <x:c r="A824" s="50" t="str">
        <x:v>019fdcd0-454d-777a-a25d-0c8e94978af3</x:v>
      </x:c>
      <x:c r="B824" s="50" t="str">
        <x:v>RCL</x:v>
      </x:c>
      <x:c r="C824" s="70" t="n">
        <x:v>46241.63963644676</x:v>
      </x:c>
      <x:c r="D824" s="50" t="str">
        <x:v>LONG_BUY_ZONE</x:v>
      </x:c>
      <x:c r="E824" s="50" t="str">
        <x:v>RCL LONG BUY ZONE</x:v>
      </x:c>
      <x:c r="F824" s="50" t="str">
        <x:v>WATCH</x:v>
      </x:c>
      <x:c r="G824" s="50"/>
      <x:c r="H824" s="50" t="str">
        <x:v>LONG</x:v>
      </x:c>
      <x:c r="I824" s="71" t="n">
        <x:v>321.2599</x:v>
      </x:c>
      <x:c r="J824" s="76" t="str">
        <x:v>SIP</x:v>
      </x:c>
    </x:row>
    <x:row r="825">
      <x:c r="A825" s="50" t="str">
        <x:v>019fdcd1-24b9-7c9a-8efb-6fc024148906</x:v>
      </x:c>
      <x:c r="B825" s="50" t="str">
        <x:v>GS</x:v>
      </x:c>
      <x:c r="C825" s="70" t="n">
        <x:v>46241.6402984375</x:v>
      </x:c>
      <x:c r="D825" s="50" t="str">
        <x:v>LONG_BUY_ZONE</x:v>
      </x:c>
      <x:c r="E825" s="50" t="str">
        <x:v>GS LONG BUY ZONE</x:v>
      </x:c>
      <x:c r="F825" s="50" t="str">
        <x:v>WATCH</x:v>
      </x:c>
      <x:c r="G825" s="50"/>
      <x:c r="H825" s="50" t="str">
        <x:v>LONG</x:v>
      </x:c>
      <x:c r="I825" s="71" t="n">
        <x:v>1042</x:v>
      </x:c>
      <x:c r="J825" s="76" t="str">
        <x:v>SIP</x:v>
      </x:c>
    </x:row>
    <x:row r="826">
      <x:c r="A826" s="50" t="str">
        <x:v>019fdcd1-27fe-773e-9ec3-1fb18d8b439d</x:v>
      </x:c>
      <x:c r="B826" s="50" t="str">
        <x:v>CLPT</x:v>
      </x:c>
      <x:c r="C826" s="70" t="n">
        <x:v>46241.640308125</x:v>
      </x:c>
      <x:c r="D826" s="50" t="str">
        <x:v>ENTRY_WATCH</x:v>
      </x:c>
      <x:c r="E826" s="50" t="str">
        <x:v>CLPT ENTRY IN_ZONE EARLY WATCH</x:v>
      </x:c>
      <x:c r="F826" s="50" t="str">
        <x:v>WATCH</x:v>
      </x:c>
      <x:c r="G826" s="50"/>
      <x:c r="H826" s="50" t="str">
        <x:v>LONG</x:v>
      </x:c>
      <x:c r="I826" s="71" t="n">
        <x:v>14.2</x:v>
      </x:c>
      <x:c r="J826" s="76" t="str">
        <x:v>SIP</x:v>
      </x:c>
    </x:row>
    <x:row r="827">
      <x:c r="A827" s="50" t="str">
        <x:v>019fdcd2-1379-7f3d-9b7e-c02d9577b2a3</x:v>
      </x:c>
      <x:c r="B827" s="50" t="str">
        <x:v>MRK</x:v>
      </x:c>
      <x:c r="C827" s="70" t="n">
        <x:v>46241.64100584491</x:v>
      </x:c>
      <x:c r="D827" s="50" t="str">
        <x:v>ENTRY_WATCH</x:v>
      </x:c>
      <x:c r="E827" s="50" t="str">
        <x:v>MRK ENTRY BREAKAWAY WATCH</x:v>
      </x:c>
      <x:c r="F827" s="50" t="str">
        <x:v>WATCH</x:v>
      </x:c>
      <x:c r="G827" s="50"/>
      <x:c r="H827" s="50" t="str">
        <x:v>LONG</x:v>
      </x:c>
      <x:c r="I827" s="71" t="n">
        <x:v>127.645</x:v>
      </x:c>
      <x:c r="J827" s="76" t="str">
        <x:v>SIP</x:v>
      </x:c>
    </x:row>
    <x:row r="828">
      <x:c r="A828" s="50" t="str">
        <x:v>019fdcd2-13cc-7234-a2b6-1cb9f991d865</x:v>
      </x:c>
      <x:c r="B828" s="50" t="str">
        <x:v>CLPT</x:v>
      </x:c>
      <x:c r="C828" s="70" t="n">
        <x:v>46241.641006805556</x:v>
      </x:c>
      <x:c r="D828" s="50" t="str">
        <x:v>ENTRY_WATCH</x:v>
      </x:c>
      <x:c r="E828" s="50" t="str">
        <x:v>CLPT ENTRY BREAKAWAY WATCH</x:v>
      </x:c>
      <x:c r="F828" s="50" t="str">
        <x:v>WATCH</x:v>
      </x:c>
      <x:c r="G828" s="50"/>
      <x:c r="H828" s="50" t="str">
        <x:v>LONG</x:v>
      </x:c>
      <x:c r="I828" s="71" t="n">
        <x:v>14.215</x:v>
      </x:c>
      <x:c r="J828" s="76" t="str">
        <x:v>SIP</x:v>
      </x:c>
    </x:row>
    <x:row r="829">
      <x:c r="A829" s="50" t="str">
        <x:v>019fdcd2-1473-7d51-8f99-f7f494e2cb88</x:v>
      </x:c>
      <x:c r="B829" s="50" t="str">
        <x:v>VZ</x:v>
      </x:c>
      <x:c r="C829" s="70" t="n">
        <x:v>46241.64100873843</x:v>
      </x:c>
      <x:c r="D829" s="50" t="str">
        <x:v>LONG_BUY_ZONE</x:v>
      </x:c>
      <x:c r="E829" s="50" t="str">
        <x:v>VZ LONG BUY ZONE</x:v>
      </x:c>
      <x:c r="F829" s="50" t="str">
        <x:v>WATCH</x:v>
      </x:c>
      <x:c r="G829" s="50"/>
      <x:c r="H829" s="50" t="str">
        <x:v>LONG</x:v>
      </x:c>
      <x:c r="I829" s="71" t="n">
        <x:v>46.865</x:v>
      </x:c>
      <x:c r="J829" s="76" t="str">
        <x:v>SIP</x:v>
      </x:c>
    </x:row>
    <x:row r="830">
      <x:c r="A830" s="50" t="str">
        <x:v>019fdcd2-fa11-752f-8a67-42718f25f72f</x:v>
      </x:c>
      <x:c r="B830" s="50" t="str">
        <x:v>PYPL</x:v>
      </x:c>
      <x:c r="C830" s="70" t="n">
        <x:v>46241.64168908565</x:v>
      </x:c>
      <x:c r="D830" s="50" t="str">
        <x:v>SWING_SETUP</x:v>
      </x:c>
      <x:c r="E830" s="50" t="str">
        <x:v>PYPL SWING SETUP</x:v>
      </x:c>
      <x:c r="F830" s="50" t="str">
        <x:v>WATCH</x:v>
      </x:c>
      <x:c r="G830" s="50"/>
      <x:c r="H830" s="50" t="str">
        <x:v>LONG</x:v>
      </x:c>
      <x:c r="I830" s="71" t="n">
        <x:v>59.43</x:v>
      </x:c>
      <x:c r="J830" s="76" t="str">
        <x:v>SIP</x:v>
      </x:c>
    </x:row>
    <x:row r="831">
      <x:c r="A831" s="50" t="str">
        <x:v>019fdcd3-e7ac-7aee-9151-3f4c03628056</x:v>
      </x:c>
      <x:c r="B831" s="50" t="str">
        <x:v>RDW</x:v>
      </x:c>
      <x:c r="C831" s="70" t="n">
        <x:v>46241.64239310185</x:v>
      </x:c>
      <x:c r="D831" s="50" t="str">
        <x:v>ENTRY_CONFIRMED</x:v>
      </x:c>
      <x:c r="E831" s="50" t="str">
        <x:v>RDW ENTRY CONFIRMED</x:v>
      </x:c>
      <x:c r="F831" s="50" t="str">
        <x:v>ACTION</x:v>
      </x:c>
      <x:c r="G831" s="50" t="str">
        <x:v>L2_SWING_CONFIRMED</x:v>
      </x:c>
      <x:c r="H831" s="50" t="str">
        <x:v>LONG</x:v>
      </x:c>
      <x:c r="I831" s="71" t="n">
        <x:v>13.1198</x:v>
      </x:c>
      <x:c r="J831" s="76" t="str">
        <x:v>SIP</x:v>
      </x:c>
    </x:row>
    <x:row r="832">
      <x:c r="A832" s="50" t="str">
        <x:v>019fdcd4-ced6-7a7f-8140-f56027828c0e</x:v>
      </x:c>
      <x:c r="B832" s="50" t="str">
        <x:v>CRM</x:v>
      </x:c>
      <x:c r="C832" s="70" t="n">
        <x:v>46241.64307803241</x:v>
      </x:c>
      <x:c r="D832" s="50" t="str">
        <x:v>SWING_SETUP</x:v>
      </x:c>
      <x:c r="E832" s="50" t="str">
        <x:v>CRM SWING SETUP</x:v>
      </x:c>
      <x:c r="F832" s="50" t="str">
        <x:v>WATCH</x:v>
      </x:c>
      <x:c r="G832" s="50"/>
      <x:c r="H832" s="50" t="str">
        <x:v>LONG</x:v>
      </x:c>
      <x:c r="I832" s="71" t="n">
        <x:v>192.18</x:v>
      </x:c>
      <x:c r="J832" s="76" t="str">
        <x:v>SIP</x:v>
      </x:c>
    </x:row>
    <x:row r="833">
      <x:c r="A833" s="50" t="str">
        <x:v>019fdcd4-cfb5-7a80-95da-48b9db19b79c</x:v>
      </x:c>
      <x:c r="B833" s="50" t="str">
        <x:v>BBWI</x:v>
      </x:c>
      <x:c r="C833" s="70" t="n">
        <x:v>46241.64308061342</x:v>
      </x:c>
      <x:c r="D833" s="50" t="str">
        <x:v>ENTRY_WATCH</x:v>
      </x:c>
      <x:c r="E833" s="50" t="str">
        <x:v>BBWI ENTRY BREAKAWAY WATCH</x:v>
      </x:c>
      <x:c r="F833" s="50" t="str">
        <x:v>WATCH</x:v>
      </x:c>
      <x:c r="G833" s="50"/>
      <x:c r="H833" s="50" t="str">
        <x:v>LONG</x:v>
      </x:c>
      <x:c r="I833" s="71" t="n">
        <x:v>20.315</x:v>
      </x:c>
      <x:c r="J833" s="76" t="str">
        <x:v>SIP</x:v>
      </x:c>
    </x:row>
    <x:row r="834">
      <x:c r="A834" s="50" t="str">
        <x:v>019fdcd4-d0b6-75f5-b72e-3156cb219488</x:v>
      </x:c>
      <x:c r="B834" s="50" t="str">
        <x:v>OXY</x:v>
      </x:c>
      <x:c r="C834" s="70" t="n">
        <x:v>46241.643083587966</x:v>
      </x:c>
      <x:c r="D834" s="50" t="str">
        <x:v>LONG_BUY_ZONE</x:v>
      </x:c>
      <x:c r="E834" s="50" t="str">
        <x:v>OXY LONG BUY ZONE</x:v>
      </x:c>
      <x:c r="F834" s="50" t="str">
        <x:v>WATCH</x:v>
      </x:c>
      <x:c r="G834" s="50"/>
      <x:c r="H834" s="50" t="str">
        <x:v>LONG</x:v>
      </x:c>
      <x:c r="I834" s="71" t="n">
        <x:v>56.22</x:v>
      </x:c>
      <x:c r="J834" s="76" t="str">
        <x:v>SIP</x:v>
      </x:c>
    </x:row>
    <x:row r="835">
      <x:c r="A835" s="50" t="str">
        <x:v>019fdcd4-da0c-7a65-bce0-9010f9ada2a2</x:v>
      </x:c>
      <x:c r="B835" s="50" t="str">
        <x:v>DE</x:v>
      </x:c>
      <x:c r="C835" s="70" t="n">
        <x:v>46241.64311125</x:v>
      </x:c>
      <x:c r="D835" s="50" t="str">
        <x:v>LONG_BUY_ZONE</x:v>
      </x:c>
      <x:c r="E835" s="50" t="str">
        <x:v>DE LONG BUY ZONE</x:v>
      </x:c>
      <x:c r="F835" s="50" t="str">
        <x:v>WATCH</x:v>
      </x:c>
      <x:c r="G835" s="50"/>
      <x:c r="H835" s="50" t="str">
        <x:v>LONG</x:v>
      </x:c>
      <x:c r="I835" s="71" t="n">
        <x:v>623.69</x:v>
      </x:c>
      <x:c r="J835" s="76" t="str">
        <x:v>SIP</x:v>
      </x:c>
    </x:row>
    <x:row r="836">
      <x:c r="A836" s="50" t="str">
        <x:v>019fdcd5-c42b-7dfd-8602-a54f1ebb36f6</x:v>
      </x:c>
      <x:c r="B836" s="50" t="str">
        <x:v>KDP</x:v>
      </x:c>
      <x:c r="C836" s="70" t="n">
        <x:v>46241.64380494213</x:v>
      </x:c>
      <x:c r="D836" s="50" t="str">
        <x:v>LONG_BUY_ZONE</x:v>
      </x:c>
      <x:c r="E836" s="50" t="str">
        <x:v>KDP LONG BUY ZONE</x:v>
      </x:c>
      <x:c r="F836" s="50" t="str">
        <x:v>WATCH</x:v>
      </x:c>
      <x:c r="G836" s="50"/>
      <x:c r="H836" s="50" t="str">
        <x:v>LONG</x:v>
      </x:c>
      <x:c r="I836" s="71" t="n">
        <x:v>30.025</x:v>
      </x:c>
      <x:c r="J836" s="76" t="str">
        <x:v>SIP</x:v>
      </x:c>
    </x:row>
    <x:row r="837">
      <x:c r="A837" s="50" t="str">
        <x:v>019fdcd6-a77e-7e32-a097-f9ae13b142d6</x:v>
      </x:c>
      <x:c r="B837" s="50" t="str">
        <x:v>SBUX</x:v>
      </x:c>
      <x:c r="C837" s="70" t="n">
        <x:v>46241.64447849537</x:v>
      </x:c>
      <x:c r="D837" s="50" t="str">
        <x:v>HIGH_CONVICTION_BUY</x:v>
      </x:c>
      <x:c r="E837" s="50" t="str">
        <x:v>SBUX HIGH CONVICTION BUY</x:v>
      </x:c>
      <x:c r="F837" s="50" t="str">
        <x:v>ACTION</x:v>
      </x:c>
      <x:c r="G837" s="50" t="str">
        <x:v>L3_HIGH_CONVICTION</x:v>
      </x:c>
      <x:c r="H837" s="50" t="str">
        <x:v>LONG</x:v>
      </x:c>
      <x:c r="I837" s="71" t="n">
        <x:v>106.365</x:v>
      </x:c>
      <x:c r="J837" s="76" t="str">
        <x:v>SIP</x:v>
      </x:c>
    </x:row>
    <x:row r="838">
      <x:c r="A838" s="50" t="str">
        <x:v>019fdcd6-a80d-73b3-afcc-681310f14a63</x:v>
      </x:c>
      <x:c r="B838" s="50" t="str">
        <x:v>SBUX</x:v>
      </x:c>
      <x:c r="C838" s="70" t="n">
        <x:v>46241.64448015046</x:v>
      </x:c>
      <x:c r="D838" s="50" t="str">
        <x:v>ENTRY_OPPORTUNITY_PROGRESS</x:v>
      </x:c>
      <x:c r="E838" s="50" t="str">
        <x:v>SBUX ENTRY L3 [#########-]</x:v>
      </x:c>
      <x:c r="F838" s="50" t="str">
        <x:v>ACTION</x:v>
      </x:c>
      <x:c r="G838" s="50"/>
      <x:c r="H838" s="50" t="str">
        <x:v>LONG</x:v>
      </x:c>
      <x:c r="I838" s="71" t="n">
        <x:v>106.365</x:v>
      </x:c>
      <x:c r="J838" s="76" t="str">
        <x:v>SIP</x:v>
      </x:c>
    </x:row>
    <x:row r="839">
      <x:c r="A839" s="50" t="str">
        <x:v>019fdcd9-61d3-7c83-a6c6-746e1b67babf</x:v>
      </x:c>
      <x:c r="B839" s="50" t="str">
        <x:v>DE</x:v>
      </x:c>
      <x:c r="C839" s="70" t="n">
        <x:v>46241.646547627315</x:v>
      </x:c>
      <x:c r="D839" s="50" t="str">
        <x:v>SWING_SETUP</x:v>
      </x:c>
      <x:c r="E839" s="50" t="str">
        <x:v>DE SWING SETUP</x:v>
      </x:c>
      <x:c r="F839" s="50" t="str">
        <x:v>WATCH</x:v>
      </x:c>
      <x:c r="G839" s="50"/>
      <x:c r="H839" s="50" t="str">
        <x:v>LONG</x:v>
      </x:c>
      <x:c r="I839" s="71" t="n">
        <x:v>622.705</x:v>
      </x:c>
      <x:c r="J839" s="76" t="str">
        <x:v>SIP</x:v>
      </x:c>
    </x:row>
    <x:row r="840">
      <x:c r="A840" s="50" t="str">
        <x:v>019fdcd9-62f9-79ca-a62c-e76eb367204e</x:v>
      </x:c>
      <x:c r="B840" s="50" t="str">
        <x:v>PSX</x:v>
      </x:c>
      <x:c r="C840" s="70" t="n">
        <x:v>46241.64655103009</x:v>
      </x:c>
      <x:c r="D840" s="50" t="str">
        <x:v>SWING_SETUP</x:v>
      </x:c>
      <x:c r="E840" s="50" t="str">
        <x:v>PSX SWING SETUP</x:v>
      </x:c>
      <x:c r="F840" s="50" t="str">
        <x:v>WATCH</x:v>
      </x:c>
      <x:c r="G840" s="50"/>
      <x:c r="H840" s="50" t="str">
        <x:v>LONG</x:v>
      </x:c>
      <x:c r="I840" s="71" t="n">
        <x:v>204.375</x:v>
      </x:c>
      <x:c r="J840" s="76" t="str">
        <x:v>SIP</x:v>
      </x:c>
    </x:row>
    <x:row r="841">
      <x:c r="A841" s="50" t="str">
        <x:v>019fdcd9-65c5-7edc-b698-46916d9fd4f3</x:v>
      </x:c>
      <x:c r="B841" s="50" t="str">
        <x:v>ONDS</x:v>
      </x:c>
      <x:c r="C841" s="70" t="n">
        <x:v>46241.646559305555</x:v>
      </x:c>
      <x:c r="D841" s="50" t="str">
        <x:v>SWING_SETUP</x:v>
      </x:c>
      <x:c r="E841" s="50" t="str">
        <x:v>ONDS SWING SETUP</x:v>
      </x:c>
      <x:c r="F841" s="50" t="str">
        <x:v>WATCH</x:v>
      </x:c>
      <x:c r="G841" s="50"/>
      <x:c r="H841" s="50" t="str">
        <x:v>LONG</x:v>
      </x:c>
      <x:c r="I841" s="71" t="n">
        <x:v>8.925</x:v>
      </x:c>
      <x:c r="J841" s="76" t="str">
        <x:v>SIP</x:v>
      </x:c>
    </x:row>
    <x:row r="842">
      <x:c r="A842" s="50" t="str">
        <x:v>019fdcd9-66b5-721d-8a40-d46e24f82eb4</x:v>
      </x:c>
      <x:c r="B842" s="50" t="str">
        <x:v>NXE</x:v>
      </x:c>
      <x:c r="C842" s="70" t="n">
        <x:v>46241.64656209491</x:v>
      </x:c>
      <x:c r="D842" s="50" t="str">
        <x:v>SWING_SETUP</x:v>
      </x:c>
      <x:c r="E842" s="50" t="str">
        <x:v>NXE SWING SETUP</x:v>
      </x:c>
      <x:c r="F842" s="50" t="str">
        <x:v>WATCH</x:v>
      </x:c>
      <x:c r="G842" s="50"/>
      <x:c r="H842" s="50" t="str">
        <x:v>LONG</x:v>
      </x:c>
      <x:c r="I842" s="71" t="n">
        <x:v>10.655</x:v>
      </x:c>
      <x:c r="J842" s="76" t="str">
        <x:v>SIP</x:v>
      </x:c>
    </x:row>
    <x:row r="843">
      <x:c r="A843" s="50" t="str">
        <x:v>019fdcd9-66c3-787f-8cf9-c465d49b9ea9</x:v>
      </x:c>
      <x:c r="B843" s="50" t="str">
        <x:v>HPE</x:v>
      </x:c>
      <x:c r="C843" s="70" t="n">
        <x:v>46241.646562256945</x:v>
      </x:c>
      <x:c r="D843" s="50" t="str">
        <x:v>SWING_SETUP</x:v>
      </x:c>
      <x:c r="E843" s="50" t="str">
        <x:v>HPE SWING SETUP</x:v>
      </x:c>
      <x:c r="F843" s="50" t="str">
        <x:v>WATCH</x:v>
      </x:c>
      <x:c r="G843" s="50"/>
      <x:c r="H843" s="50" t="str">
        <x:v>LONG</x:v>
      </x:c>
      <x:c r="I843" s="71" t="n">
        <x:v>52.48</x:v>
      </x:c>
      <x:c r="J843" s="76" t="str">
        <x:v>SIP</x:v>
      </x:c>
    </x:row>
    <x:row r="844">
      <x:c r="A844" s="50" t="str">
        <x:v>019fdcd9-6739-76a4-844f-460a71f32e18</x:v>
      </x:c>
      <x:c r="B844" s="50" t="str">
        <x:v>SCHW</x:v>
      </x:c>
      <x:c r="C844" s="70" t="n">
        <x:v>46241.646563622686</x:v>
      </x:c>
      <x:c r="D844" s="50" t="str">
        <x:v>SWING_SETUP</x:v>
      </x:c>
      <x:c r="E844" s="50" t="str">
        <x:v>SCHW SWING SETUP</x:v>
      </x:c>
      <x:c r="F844" s="50" t="str">
        <x:v>WATCH</x:v>
      </x:c>
      <x:c r="G844" s="50"/>
      <x:c r="H844" s="50" t="str">
        <x:v>LONG</x:v>
      </x:c>
      <x:c r="I844" s="71" t="n">
        <x:v>106.865</x:v>
      </x:c>
      <x:c r="J844" s="76" t="str">
        <x:v>SIP</x:v>
      </x:c>
    </x:row>
    <x:row r="845">
      <x:c r="A845" s="50" t="str">
        <x:v>019fdcd9-6746-7f44-93b2-9fbb797eb1f4</x:v>
      </x:c>
      <x:c r="B845" s="50" t="str">
        <x:v>CROX</x:v>
      </x:c>
      <x:c r="C845" s="70" t="n">
        <x:v>46241.64656376158</x:v>
      </x:c>
      <x:c r="D845" s="50" t="str">
        <x:v>SWING_SETUP</x:v>
      </x:c>
      <x:c r="E845" s="50" t="str">
        <x:v>CROX SWING SETUP</x:v>
      </x:c>
      <x:c r="F845" s="50" t="str">
        <x:v>WATCH</x:v>
      </x:c>
      <x:c r="G845" s="50"/>
      <x:c r="H845" s="50" t="str">
        <x:v>LONG</x:v>
      </x:c>
      <x:c r="I845" s="71" t="n">
        <x:v>137.88</x:v>
      </x:c>
      <x:c r="J845" s="76" t="str">
        <x:v>SIP</x:v>
      </x:c>
    </x:row>
    <x:row r="846">
      <x:c r="A846" s="50" t="str">
        <x:v>019fdcd9-6851-7bc1-8926-a0b970459e80</x:v>
      </x:c>
      <x:c r="B846" s="50" t="str">
        <x:v>JNJ</x:v>
      </x:c>
      <x:c r="C846" s="70" t="n">
        <x:v>46241.64656686343</x:v>
      </x:c>
      <x:c r="D846" s="50" t="str">
        <x:v>LONG_BUY_ZONE</x:v>
      </x:c>
      <x:c r="E846" s="50" t="str">
        <x:v>JNJ LONG BUY ZONE</x:v>
      </x:c>
      <x:c r="F846" s="50" t="str">
        <x:v>WATCH</x:v>
      </x:c>
      <x:c r="G846" s="50"/>
      <x:c r="H846" s="50" t="str">
        <x:v>LONG</x:v>
      </x:c>
      <x:c r="I846" s="71" t="n">
        <x:v>256.3</x:v>
      </x:c>
      <x:c r="J846" s="76" t="str">
        <x:v>SIP</x:v>
      </x:c>
    </x:row>
    <x:row r="847">
      <x:c r="A847" s="50" t="str">
        <x:v>019fdcd9-68ed-732c-993b-d328e38bbfa4</x:v>
      </x:c>
      <x:c r="B847" s="50" t="str">
        <x:v>NUE</x:v>
      </x:c>
      <x:c r="C847" s="70" t="n">
        <x:v>46241.646568668984</x:v>
      </x:c>
      <x:c r="D847" s="50" t="str">
        <x:v>SWING_SETUP</x:v>
      </x:c>
      <x:c r="E847" s="50" t="str">
        <x:v>NUE SWING SETUP</x:v>
      </x:c>
      <x:c r="F847" s="50" t="str">
        <x:v>WATCH</x:v>
      </x:c>
      <x:c r="G847" s="50"/>
      <x:c r="H847" s="50" t="str">
        <x:v>LONG</x:v>
      </x:c>
      <x:c r="I847" s="71" t="n">
        <x:v>271.43</x:v>
      </x:c>
      <x:c r="J847" s="76" t="str">
        <x:v>SIP</x:v>
      </x:c>
    </x:row>
    <x:row r="848">
      <x:c r="A848" s="50" t="str">
        <x:v>019fdcd9-68ff-7f85-9b8a-6c5df3afa619</x:v>
      </x:c>
      <x:c r="B848" s="50" t="str">
        <x:v>APH</x:v>
      </x:c>
      <x:c r="C848" s="70" t="n">
        <x:v>46241.64656887732</x:v>
      </x:c>
      <x:c r="D848" s="50" t="str">
        <x:v>LONG_BUY_ZONE</x:v>
      </x:c>
      <x:c r="E848" s="50" t="str">
        <x:v>APH LONG BUY ZONE</x:v>
      </x:c>
      <x:c r="F848" s="50" t="str">
        <x:v>WATCH</x:v>
      </x:c>
      <x:c r="G848" s="50"/>
      <x:c r="H848" s="50" t="str">
        <x:v>LONG</x:v>
      </x:c>
      <x:c r="I848" s="71" t="n">
        <x:v>168.19</x:v>
      </x:c>
      <x:c r="J848" s="76" t="str">
        <x:v>SIP</x:v>
      </x:c>
    </x:row>
    <x:row r="849">
      <x:c r="A849" s="50" t="str">
        <x:v>019fdcd9-6974-7491-9595-1ffed922ba1b</x:v>
      </x:c>
      <x:c r="B849" s="50" t="str">
        <x:v>SMR</x:v>
      </x:c>
      <x:c r="C849" s="70" t="n">
        <x:v>46241.64657023148</x:v>
      </x:c>
      <x:c r="D849" s="50" t="str">
        <x:v>SWING_SETUP</x:v>
      </x:c>
      <x:c r="E849" s="50" t="str">
        <x:v>SMR SWING SETUP</x:v>
      </x:c>
      <x:c r="F849" s="50" t="str">
        <x:v>WATCH</x:v>
      </x:c>
      <x:c r="G849" s="50"/>
      <x:c r="H849" s="50" t="str">
        <x:v>LONG</x:v>
      </x:c>
      <x:c r="I849" s="71" t="n">
        <x:v>9.845</x:v>
      </x:c>
      <x:c r="J849" s="76" t="str">
        <x:v>SIP</x:v>
      </x:c>
    </x:row>
    <x:row r="850">
      <x:c r="A850" s="50" t="str">
        <x:v>019fdcd9-69a5-7b3e-be89-73751d5c6e9c</x:v>
      </x:c>
      <x:c r="B850" s="50" t="str">
        <x:v>UEC</x:v>
      </x:c>
      <x:c r="C850" s="70" t="n">
        <x:v>46241.64657079861</x:v>
      </x:c>
      <x:c r="D850" s="50" t="str">
        <x:v>SWING_SETUP</x:v>
      </x:c>
      <x:c r="E850" s="50" t="str">
        <x:v>UEC SWING SETUP</x:v>
      </x:c>
      <x:c r="F850" s="50" t="str">
        <x:v>WATCH</x:v>
      </x:c>
      <x:c r="G850" s="50"/>
      <x:c r="H850" s="50" t="str">
        <x:v>LONG</x:v>
      </x:c>
      <x:c r="I850" s="71" t="n">
        <x:v>11.31</x:v>
      </x:c>
      <x:c r="J850" s="76" t="str">
        <x:v>SIP</x:v>
      </x:c>
    </x:row>
    <x:row r="851">
      <x:c r="A851" s="50" t="str">
        <x:v>019fdcd9-6a7e-750c-884d-e523ad96de72</x:v>
      </x:c>
      <x:c r="B851" s="50" t="str">
        <x:v>RDW</x:v>
      </x:c>
      <x:c r="C851" s="70" t="n">
        <x:v>46241.64657331019</x:v>
      </x:c>
      <x:c r="D851" s="50" t="str">
        <x:v>SWING_SETUP</x:v>
      </x:c>
      <x:c r="E851" s="50" t="str">
        <x:v>RDW SWING SETUP</x:v>
      </x:c>
      <x:c r="F851" s="50" t="str">
        <x:v>WATCH</x:v>
      </x:c>
      <x:c r="G851" s="50"/>
      <x:c r="H851" s="50" t="str">
        <x:v>LONG</x:v>
      </x:c>
      <x:c r="I851" s="71" t="n">
        <x:v>13.135</x:v>
      </x:c>
      <x:c r="J851" s="76" t="str">
        <x:v>SIP</x:v>
      </x:c>
    </x:row>
    <x:row r="852">
      <x:c r="A852" s="50" t="str">
        <x:v>019fdcd9-6b91-7e3f-9edc-3973dd69587d</x:v>
      </x:c>
      <x:c r="B852" s="50" t="str">
        <x:v>SE</x:v>
      </x:c>
      <x:c r="C852" s="70" t="n">
        <x:v>46241.646576493054</x:v>
      </x:c>
      <x:c r="D852" s="50" t="str">
        <x:v>SWING_SETUP</x:v>
      </x:c>
      <x:c r="E852" s="50" t="str">
        <x:v>SE SWING SETUP</x:v>
      </x:c>
      <x:c r="F852" s="50" t="str">
        <x:v>WATCH</x:v>
      </x:c>
      <x:c r="G852" s="50"/>
      <x:c r="H852" s="50" t="str">
        <x:v>LONG</x:v>
      </x:c>
      <x:c r="I852" s="71" t="n">
        <x:v>113.87</x:v>
      </x:c>
      <x:c r="J852" s="76" t="str">
        <x:v>SIP</x:v>
      </x:c>
    </x:row>
    <x:row r="853">
      <x:c r="A853" s="50" t="str">
        <x:v>019fdcda-4dc1-7f22-ae2d-7e641c1da77a</x:v>
      </x:c>
      <x:c r="B853" s="50" t="str">
        <x:v>MRK</x:v>
      </x:c>
      <x:c r="C853" s="70" t="n">
        <x:v>46241.64724667824</x:v>
      </x:c>
      <x:c r="D853" s="50" t="str">
        <x:v>LONG_BUY_ZONE</x:v>
      </x:c>
      <x:c r="E853" s="50" t="str">
        <x:v>MRK LONG BUY ZONE</x:v>
      </x:c>
      <x:c r="F853" s="50" t="str">
        <x:v>WATCH</x:v>
      </x:c>
      <x:c r="G853" s="50"/>
      <x:c r="H853" s="50" t="str">
        <x:v>LONG</x:v>
      </x:c>
      <x:c r="I853" s="71" t="n">
        <x:v>127.7494</x:v>
      </x:c>
      <x:c r="J853" s="76" t="str">
        <x:v>SIP</x:v>
      </x:c>
    </x:row>
    <x:row r="854">
      <x:c r="A854" s="50" t="str">
        <x:v>019fdcda-4f33-7428-9d51-85f71fa0f57b</x:v>
      </x:c>
      <x:c r="B854" s="50" t="str">
        <x:v>INTU</x:v>
      </x:c>
      <x:c r="C854" s="70" t="n">
        <x:v>46241.64725096065</x:v>
      </x:c>
      <x:c r="D854" s="50" t="str">
        <x:v>SWING_SETUP</x:v>
      </x:c>
      <x:c r="E854" s="50" t="str">
        <x:v>INTU SWING SETUP</x:v>
      </x:c>
      <x:c r="F854" s="50" t="str">
        <x:v>WATCH</x:v>
      </x:c>
      <x:c r="G854" s="50"/>
      <x:c r="H854" s="50" t="str">
        <x:v>LONG</x:v>
      </x:c>
      <x:c r="I854" s="71" t="n">
        <x:v>331.2</x:v>
      </x:c>
      <x:c r="J854" s="76" t="str">
        <x:v>SIP</x:v>
      </x:c>
    </x:row>
    <x:row r="855">
      <x:c r="A855" s="50" t="str">
        <x:v>019fdcda-51bb-74b0-a035-bdb60d3c40a4</x:v>
      </x:c>
      <x:c r="B855" s="50" t="str">
        <x:v>BABA</x:v>
      </x:c>
      <x:c r="C855" s="70" t="n">
        <x:v>46241.647258460645</x:v>
      </x:c>
      <x:c r="D855" s="50" t="str">
        <x:v>SWING_SETUP</x:v>
      </x:c>
      <x:c r="E855" s="50" t="str">
        <x:v>BABA SWING SETUP</x:v>
      </x:c>
      <x:c r="F855" s="50" t="str">
        <x:v>WATCH</x:v>
      </x:c>
      <x:c r="G855" s="50"/>
      <x:c r="H855" s="50" t="str">
        <x:v>LONG</x:v>
      </x:c>
      <x:c r="I855" s="71" t="n">
        <x:v>127.93</x:v>
      </x:c>
      <x:c r="J855" s="76" t="str">
        <x:v>SIP</x:v>
      </x:c>
    </x:row>
    <x:row r="856">
      <x:c r="A856" s="50" t="str">
        <x:v>019fdcda-52ab-79f7-b758-a69f77e7de88</x:v>
      </x:c>
      <x:c r="B856" s="50" t="str">
        <x:v>PLTR</x:v>
      </x:c>
      <x:c r="C856" s="70" t="n">
        <x:v>46241.647261238424</x:v>
      </x:c>
      <x:c r="D856" s="50" t="str">
        <x:v>SWING_SETUP</x:v>
      </x:c>
      <x:c r="E856" s="50" t="str">
        <x:v>PLTR SWING SETUP</x:v>
      </x:c>
      <x:c r="F856" s="50" t="str">
        <x:v>WATCH</x:v>
      </x:c>
      <x:c r="G856" s="50"/>
      <x:c r="H856" s="50" t="str">
        <x:v>LONG</x:v>
      </x:c>
      <x:c r="I856" s="71" t="n">
        <x:v>169.026</x:v>
      </x:c>
      <x:c r="J856" s="76" t="str">
        <x:v>SIP</x:v>
      </x:c>
    </x:row>
    <x:row r="857">
      <x:c r="A857" s="50" t="str">
        <x:v>019fdcdb-38a2-771a-8061-1823f810582f</x:v>
      </x:c>
      <x:c r="B857" s="50" t="str">
        <x:v>ROBO</x:v>
      </x:c>
      <x:c r="C857" s="70" t="n">
        <x:v>46241.64794261574</x:v>
      </x:c>
      <x:c r="D857" s="50" t="str">
        <x:v>SWING_SETUP</x:v>
      </x:c>
      <x:c r="E857" s="50" t="str">
        <x:v>ROBO SWING SETUP</x:v>
      </x:c>
      <x:c r="F857" s="50" t="str">
        <x:v>WATCH</x:v>
      </x:c>
      <x:c r="G857" s="50"/>
      <x:c r="H857" s="50" t="str">
        <x:v>LONG</x:v>
      </x:c>
      <x:c r="I857" s="71" t="n">
        <x:v>84.4</x:v>
      </x:c>
      <x:c r="J857" s="76" t="str">
        <x:v>SIP</x:v>
      </x:c>
    </x:row>
    <x:row r="858">
      <x:c r="A858" s="50" t="str">
        <x:v>019fdcdb-3bfb-778a-a009-e87913e25d49</x:v>
      </x:c>
      <x:c r="B858" s="50" t="str">
        <x:v>LMT</x:v>
      </x:c>
      <x:c r="C858" s="70" t="n">
        <x:v>46241.647952534724</x:v>
      </x:c>
      <x:c r="D858" s="50" t="str">
        <x:v>SWING_SETUP</x:v>
      </x:c>
      <x:c r="E858" s="50" t="str">
        <x:v>LMT SWING SETUP</x:v>
      </x:c>
      <x:c r="F858" s="50" t="str">
        <x:v>WATCH</x:v>
      </x:c>
      <x:c r="G858" s="50"/>
      <x:c r="H858" s="50" t="str">
        <x:v>LONG</x:v>
      </x:c>
      <x:c r="I858" s="71" t="n">
        <x:v>580.9</x:v>
      </x:c>
      <x:c r="J858" s="76" t="str">
        <x:v>SIP</x:v>
      </x:c>
    </x:row>
    <x:row r="859">
      <x:c r="A859" s="50" t="str">
        <x:v>019fdcdb-3c26-74ea-8562-4533dbd9990f</x:v>
      </x:c>
      <x:c r="B859" s="50" t="str">
        <x:v>APA</x:v>
      </x:c>
      <x:c r="C859" s="70" t="n">
        <x:v>46241.64795303241</x:v>
      </x:c>
      <x:c r="D859" s="50" t="str">
        <x:v>SWING_SETUP</x:v>
      </x:c>
      <x:c r="E859" s="50" t="str">
        <x:v>APA SWING SETUP</x:v>
      </x:c>
      <x:c r="F859" s="50" t="str">
        <x:v>WATCH</x:v>
      </x:c>
      <x:c r="G859" s="50"/>
      <x:c r="H859" s="50" t="str">
        <x:v>LONG</x:v>
      </x:c>
      <x:c r="I859" s="71" t="n">
        <x:v>37.1</x:v>
      </x:c>
      <x:c r="J859" s="76" t="str">
        <x:v>SIP</x:v>
      </x:c>
    </x:row>
    <x:row r="860">
      <x:c r="A860" s="50" t="str">
        <x:v>019fdcdb-3c2d-77bf-9d2d-6b9deb1d6292</x:v>
      </x:c>
      <x:c r="B860" s="50" t="str">
        <x:v>WELL</x:v>
      </x:c>
      <x:c r="C860" s="70" t="n">
        <x:v>46241.647953113425</x:v>
      </x:c>
      <x:c r="D860" s="50" t="str">
        <x:v>SWING_SETUP</x:v>
      </x:c>
      <x:c r="E860" s="50" t="str">
        <x:v>WELL SWING SETUP</x:v>
      </x:c>
      <x:c r="F860" s="50" t="str">
        <x:v>WATCH</x:v>
      </x:c>
      <x:c r="G860" s="50"/>
      <x:c r="H860" s="50" t="str">
        <x:v>LONG</x:v>
      </x:c>
      <x:c r="I860" s="71" t="n">
        <x:v>236.89</x:v>
      </x:c>
      <x:c r="J860" s="76" t="str">
        <x:v>SIP</x:v>
      </x:c>
    </x:row>
    <x:row r="861">
      <x:c r="A861" s="50" t="str">
        <x:v>019fdcdb-3c36-7dc1-a85f-6729fd62ba95</x:v>
      </x:c>
      <x:c r="B861" s="50" t="str">
        <x:v>DASH</x:v>
      </x:c>
      <x:c r="C861" s="70" t="n">
        <x:v>46241.647953217594</x:v>
      </x:c>
      <x:c r="D861" s="50" t="str">
        <x:v>SWING_SETUP</x:v>
      </x:c>
      <x:c r="E861" s="50" t="str">
        <x:v>DASH SWING SETUP</x:v>
      </x:c>
      <x:c r="F861" s="50" t="str">
        <x:v>WATCH</x:v>
      </x:c>
      <x:c r="G861" s="50"/>
      <x:c r="H861" s="50" t="str">
        <x:v>LONG</x:v>
      </x:c>
      <x:c r="I861" s="71" t="n">
        <x:v>220.63</x:v>
      </x:c>
      <x:c r="J861" s="76" t="str">
        <x:v>SIP</x:v>
      </x:c>
    </x:row>
    <x:row r="862">
      <x:c r="A862" s="50" t="str">
        <x:v>019fdcdb-3c44-7aaa-8d1e-c8df512a39fc</x:v>
      </x:c>
      <x:c r="B862" s="50" t="str">
        <x:v>ABNB</x:v>
      </x:c>
      <x:c r="C862" s="70" t="n">
        <x:v>46241.64795337963</x:v>
      </x:c>
      <x:c r="D862" s="50" t="str">
        <x:v>SWING_SETUP</x:v>
      </x:c>
      <x:c r="E862" s="50" t="str">
        <x:v>ABNB SWING SETUP</x:v>
      </x:c>
      <x:c r="F862" s="50" t="str">
        <x:v>WATCH</x:v>
      </x:c>
      <x:c r="G862" s="50"/>
      <x:c r="H862" s="50" t="str">
        <x:v>LONG</x:v>
      </x:c>
      <x:c r="I862" s="71" t="n">
        <x:v>174.3</x:v>
      </x:c>
      <x:c r="J862" s="76" t="str">
        <x:v>SIP</x:v>
      </x:c>
    </x:row>
    <x:row r="863">
      <x:c r="A863" s="50" t="str">
        <x:v>019fdcdb-3c57-7f0c-aaff-3fb23c864b2d</x:v>
      </x:c>
      <x:c r="B863" s="50" t="str">
        <x:v>DLR</x:v>
      </x:c>
      <x:c r="C863" s="70" t="n">
        <x:v>46241.64795359954</x:v>
      </x:c>
      <x:c r="D863" s="50" t="str">
        <x:v>SWING_SETUP</x:v>
      </x:c>
      <x:c r="E863" s="50" t="str">
        <x:v>DLR SWING SETUP</x:v>
      </x:c>
      <x:c r="F863" s="50" t="str">
        <x:v>WATCH</x:v>
      </x:c>
      <x:c r="G863" s="50"/>
      <x:c r="H863" s="50" t="str">
        <x:v>LONG</x:v>
      </x:c>
      <x:c r="I863" s="71" t="n">
        <x:v>195.06</x:v>
      </x:c>
      <x:c r="J863" s="76" t="str">
        <x:v>SIP</x:v>
      </x:c>
    </x:row>
    <x:row r="864">
      <x:c r="A864" s="50" t="str">
        <x:v>019fdcdb-3cb6-7412-87a9-dba0704e1ee6</x:v>
      </x:c>
      <x:c r="B864" s="50" t="str">
        <x:v>GRAB</x:v>
      </x:c>
      <x:c r="C864" s="70" t="n">
        <x:v>46241.647954699074</x:v>
      </x:c>
      <x:c r="D864" s="50" t="str">
        <x:v>SWING_SETUP</x:v>
      </x:c>
      <x:c r="E864" s="50" t="str">
        <x:v>GRAB SWING SETUP</x:v>
      </x:c>
      <x:c r="F864" s="50" t="str">
        <x:v>WATCH</x:v>
      </x:c>
      <x:c r="G864" s="50"/>
      <x:c r="H864" s="50" t="str">
        <x:v>LONG</x:v>
      </x:c>
      <x:c r="I864" s="71" t="n">
        <x:v>3.671</x:v>
      </x:c>
      <x:c r="J864" s="76" t="str">
        <x:v>SIP</x:v>
      </x:c>
    </x:row>
    <x:row r="865">
      <x:c r="A865" s="50" t="str">
        <x:v>019fdcdb-4110-760e-98b6-f4d9992394a2</x:v>
      </x:c>
      <x:c r="B865" s="50" t="str">
        <x:v>SBUX</x:v>
      </x:c>
      <x:c r="C865" s="70" t="n">
        <x:v>46241.64796758102</x:v>
      </x:c>
      <x:c r="D865" s="50" t="str">
        <x:v>LONG_BUY_ZONE</x:v>
      </x:c>
      <x:c r="E865" s="50" t="str">
        <x:v>SBUX LONG BUY ZONE</x:v>
      </x:c>
      <x:c r="F865" s="50" t="str">
        <x:v>WATCH</x:v>
      </x:c>
      <x:c r="G865" s="50"/>
      <x:c r="H865" s="50" t="str">
        <x:v>LONG</x:v>
      </x:c>
      <x:c r="I865" s="71" t="n">
        <x:v>106.465</x:v>
      </x:c>
      <x:c r="J865" s="76" t="str">
        <x:v>SIP</x:v>
      </x:c>
    </x:row>
    <x:row r="866">
      <x:c r="A866" s="50" t="str">
        <x:v>019fdcdc-2353-73b3-87d1-310068761ca4</x:v>
      </x:c>
      <x:c r="B866" s="50" t="str">
        <x:v>NVDA</x:v>
      </x:c>
      <x:c r="C866" s="70" t="n">
        <x:v>46241.648637997685</x:v>
      </x:c>
      <x:c r="D866" s="50" t="str">
        <x:v>SWING_SETUP</x:v>
      </x:c>
      <x:c r="E866" s="50" t="str">
        <x:v>NVDA SWING SETUP</x:v>
      </x:c>
      <x:c r="F866" s="50" t="str">
        <x:v>WATCH</x:v>
      </x:c>
      <x:c r="G866" s="50"/>
      <x:c r="H866" s="50" t="str">
        <x:v>LONG</x:v>
      </x:c>
      <x:c r="I866" s="71" t="n">
        <x:v>224.2</x:v>
      </x:c>
      <x:c r="J866" s="76" t="str">
        <x:v>SIP</x:v>
      </x:c>
    </x:row>
    <x:row r="867">
      <x:c r="A867" s="50" t="str">
        <x:v>019fdcdc-23b5-7654-8fdf-4c8aab2e4f30</x:v>
      </x:c>
      <x:c r="B867" s="50" t="str">
        <x:v>ANET</x:v>
      </x:c>
      <x:c r="C867" s="70" t="n">
        <x:v>46241.64863912037</x:v>
      </x:c>
      <x:c r="D867" s="50" t="str">
        <x:v>SWING_SETUP</x:v>
      </x:c>
      <x:c r="E867" s="50" t="str">
        <x:v>ANET SWING SETUP</x:v>
      </x:c>
      <x:c r="F867" s="50" t="str">
        <x:v>WATCH</x:v>
      </x:c>
      <x:c r="G867" s="50"/>
      <x:c r="H867" s="50" t="str">
        <x:v>LONG</x:v>
      </x:c>
      <x:c r="I867" s="71" t="n">
        <x:v>191.14</x:v>
      </x:c>
      <x:c r="J867" s="76" t="str">
        <x:v>SIP</x:v>
      </x:c>
    </x:row>
    <x:row r="868">
      <x:c r="A868" s="50" t="str">
        <x:v>019fdcdc-23bc-70b7-bbb7-1cb1ad01dc34</x:v>
      </x:c>
      <x:c r="B868" s="50" t="str">
        <x:v>MDLZ</x:v>
      </x:c>
      <x:c r="C868" s="70" t="n">
        <x:v>46241.64863921297</x:v>
      </x:c>
      <x:c r="D868" s="50" t="str">
        <x:v>SWING_SETUP</x:v>
      </x:c>
      <x:c r="E868" s="50" t="str">
        <x:v>MDLZ SWING SETUP</x:v>
      </x:c>
      <x:c r="F868" s="50" t="str">
        <x:v>WATCH</x:v>
      </x:c>
      <x:c r="G868" s="50"/>
      <x:c r="H868" s="50" t="str">
        <x:v>LONG</x:v>
      </x:c>
      <x:c r="I868" s="71" t="n">
        <x:v>62.69</x:v>
      </x:c>
      <x:c r="J868" s="76" t="str">
        <x:v>SIP</x:v>
      </x:c>
    </x:row>
    <x:row r="869">
      <x:c r="A869" s="50" t="str">
        <x:v>019fdcdc-23c5-79e5-b060-81842a27bb6b</x:v>
      </x:c>
      <x:c r="B869" s="50" t="str">
        <x:v>VZ</x:v>
      </x:c>
      <x:c r="C869" s="70" t="n">
        <x:v>46241.64863931713</x:v>
      </x:c>
      <x:c r="D869" s="50" t="str">
        <x:v>SWING_SETUP</x:v>
      </x:c>
      <x:c r="E869" s="50" t="str">
        <x:v>VZ SWING SETUP</x:v>
      </x:c>
      <x:c r="F869" s="50" t="str">
        <x:v>WATCH</x:v>
      </x:c>
      <x:c r="G869" s="50"/>
      <x:c r="H869" s="50" t="str">
        <x:v>LONG</x:v>
      </x:c>
      <x:c r="I869" s="71" t="n">
        <x:v>46.725</x:v>
      </x:c>
      <x:c r="J869" s="76" t="str">
        <x:v>SIP</x:v>
      </x:c>
    </x:row>
    <x:row r="870">
      <x:c r="A870" s="50" t="str">
        <x:v>019fdcdc-23d5-7be2-a42a-73773375c02b</x:v>
      </x:c>
      <x:c r="B870" s="50" t="str">
        <x:v>UNP</x:v>
      </x:c>
      <x:c r="C870" s="70" t="n">
        <x:v>46241.64863950232</x:v>
      </x:c>
      <x:c r="D870" s="50" t="str">
        <x:v>SWING_SETUP</x:v>
      </x:c>
      <x:c r="E870" s="50" t="str">
        <x:v>UNP SWING SETUP</x:v>
      </x:c>
      <x:c r="F870" s="50" t="str">
        <x:v>WATCH</x:v>
      </x:c>
      <x:c r="G870" s="50"/>
      <x:c r="H870" s="50" t="str">
        <x:v>LONG</x:v>
      </x:c>
      <x:c r="I870" s="71" t="n">
        <x:v>295.21</x:v>
      </x:c>
      <x:c r="J870" s="76" t="str">
        <x:v>SIP</x:v>
      </x:c>
    </x:row>
    <x:row r="871">
      <x:c r="A871" s="50" t="str">
        <x:v>019fdcdc-23df-7e44-ba75-157b5d0a2d5b</x:v>
      </x:c>
      <x:c r="B871" s="50" t="str">
        <x:v>OXY</x:v>
      </x:c>
      <x:c r="C871" s="70" t="n">
        <x:v>46241.648639618055</x:v>
      </x:c>
      <x:c r="D871" s="50" t="str">
        <x:v>SWING_SETUP</x:v>
      </x:c>
      <x:c r="E871" s="50" t="str">
        <x:v>OXY SWING SETUP</x:v>
      </x:c>
      <x:c r="F871" s="50" t="str">
        <x:v>WATCH</x:v>
      </x:c>
      <x:c r="G871" s="50"/>
      <x:c r="H871" s="50" t="str">
        <x:v>LONG</x:v>
      </x:c>
      <x:c r="I871" s="71" t="n">
        <x:v>56.18</x:v>
      </x:c>
      <x:c r="J871" s="76" t="str">
        <x:v>SIP</x:v>
      </x:c>
    </x:row>
    <x:row r="872">
      <x:c r="A872" s="50" t="str">
        <x:v>019fdcdc-23f6-7948-884b-3fac056cbced</x:v>
      </x:c>
      <x:c r="B872" s="50" t="str">
        <x:v>COP</x:v>
      </x:c>
      <x:c r="C872" s="70" t="n">
        <x:v>46241.64863988426</x:v>
      </x:c>
      <x:c r="D872" s="50" t="str">
        <x:v>SWING_SETUP</x:v>
      </x:c>
      <x:c r="E872" s="50" t="str">
        <x:v>COP SWING SETUP</x:v>
      </x:c>
      <x:c r="F872" s="50" t="str">
        <x:v>WATCH</x:v>
      </x:c>
      <x:c r="G872" s="50"/>
      <x:c r="H872" s="50" t="str">
        <x:v>LONG</x:v>
      </x:c>
      <x:c r="I872" s="71" t="n">
        <x:v>117.64</x:v>
      </x:c>
      <x:c r="J872" s="76" t="str">
        <x:v>SIP</x:v>
      </x:c>
    </x:row>
    <x:row r="873">
      <x:c r="A873" s="50" t="str">
        <x:v>019fdcdc-2419-74ab-8fd7-f8b1bafe0fa8</x:v>
      </x:c>
      <x:c r="B873" s="50" t="str">
        <x:v>SBUX</x:v>
      </x:c>
      <x:c r="C873" s="70" t="n">
        <x:v>46241.64864028935</x:v>
      </x:c>
      <x:c r="D873" s="50" t="str">
        <x:v>SWING_SETUP</x:v>
      </x:c>
      <x:c r="E873" s="50" t="str">
        <x:v>SBUX SWING SETUP</x:v>
      </x:c>
      <x:c r="F873" s="50" t="str">
        <x:v>WATCH</x:v>
      </x:c>
      <x:c r="G873" s="50"/>
      <x:c r="H873" s="50" t="str">
        <x:v>LONG</x:v>
      </x:c>
      <x:c r="I873" s="71" t="n">
        <x:v>106.295</x:v>
      </x:c>
      <x:c r="J873" s="76" t="str">
        <x:v>SIP</x:v>
      </x:c>
    </x:row>
    <x:row r="874">
      <x:c r="A874" s="50" t="str">
        <x:v>019fdcdc-2572-77d6-8c60-c1e27426b9f1</x:v>
      </x:c>
      <x:c r="B874" s="50" t="str">
        <x:v>PM</x:v>
      </x:c>
      <x:c r="C874" s="70" t="n">
        <x:v>46241.64864428241</x:v>
      </x:c>
      <x:c r="D874" s="50" t="str">
        <x:v>LONG_BUY_ZONE</x:v>
      </x:c>
      <x:c r="E874" s="50" t="str">
        <x:v>PM LONG BUY ZONE</x:v>
      </x:c>
      <x:c r="F874" s="50" t="str">
        <x:v>WATCH</x:v>
      </x:c>
      <x:c r="G874" s="50"/>
      <x:c r="H874" s="50" t="str">
        <x:v>LONG</x:v>
      </x:c>
      <x:c r="I874" s="71" t="n">
        <x:v>189.815</x:v>
      </x:c>
      <x:c r="J874" s="76" t="str">
        <x:v>SIP</x:v>
      </x:c>
    </x:row>
    <x:row r="875">
      <x:c r="A875" s="50" t="str">
        <x:v>019fdcdc-2587-765a-9770-c8b2416bbd1a</x:v>
      </x:c>
      <x:c r="B875" s="50" t="str">
        <x:v>BMY</x:v>
      </x:c>
      <x:c r="C875" s="70" t="n">
        <x:v>46241.64864452546</x:v>
      </x:c>
      <x:c r="D875" s="50" t="str">
        <x:v>SWING_SETUP</x:v>
      </x:c>
      <x:c r="E875" s="50" t="str">
        <x:v>BMY SWING SETUP</x:v>
      </x:c>
      <x:c r="F875" s="50" t="str">
        <x:v>WATCH</x:v>
      </x:c>
      <x:c r="G875" s="50"/>
      <x:c r="H875" s="50" t="str">
        <x:v>LONG</x:v>
      </x:c>
      <x:c r="I875" s="71" t="n">
        <x:v>64.34</x:v>
      </x:c>
      <x:c r="J875" s="76" t="str">
        <x:v>SIP</x:v>
      </x:c>
    </x:row>
    <x:row r="876">
      <x:c r="A876" s="50" t="str">
        <x:v>019fdcdc-2607-7a8a-b648-3040f12a243a</x:v>
      </x:c>
      <x:c r="B876" s="50" t="str">
        <x:v>JD</x:v>
      </x:c>
      <x:c r="C876" s="70" t="n">
        <x:v>46241.648645995374</x:v>
      </x:c>
      <x:c r="D876" s="50" t="str">
        <x:v>SWING_SETUP</x:v>
      </x:c>
      <x:c r="E876" s="50" t="str">
        <x:v>JD SWING SETUP</x:v>
      </x:c>
      <x:c r="F876" s="50" t="str">
        <x:v>WATCH</x:v>
      </x:c>
      <x:c r="G876" s="50"/>
      <x:c r="H876" s="50" t="str">
        <x:v>LONG</x:v>
      </x:c>
      <x:c r="I876" s="71" t="n">
        <x:v>32.93</x:v>
      </x:c>
      <x:c r="J876" s="76" t="str">
        <x:v>SIP</x:v>
      </x:c>
    </x:row>
    <x:row r="877">
      <x:c r="A877" s="50" t="str">
        <x:v>019fdcdc-262f-73a1-a1a0-28ba33c9821b</x:v>
      </x:c>
      <x:c r="B877" s="50" t="str">
        <x:v>BAC</x:v>
      </x:c>
      <x:c r="C877" s="70" t="n">
        <x:v>46241.648646469905</x:v>
      </x:c>
      <x:c r="D877" s="50" t="str">
        <x:v>SWING_SETUP</x:v>
      </x:c>
      <x:c r="E877" s="50" t="str">
        <x:v>BAC SWING SETUP</x:v>
      </x:c>
      <x:c r="F877" s="50" t="str">
        <x:v>WATCH</x:v>
      </x:c>
      <x:c r="G877" s="50"/>
      <x:c r="H877" s="50" t="str">
        <x:v>LONG</x:v>
      </x:c>
      <x:c r="I877" s="71" t="n">
        <x:v>62.88</x:v>
      </x:c>
      <x:c r="J877" s="76" t="str">
        <x:v>SIP</x:v>
      </x:c>
    </x:row>
    <x:row r="878">
      <x:c r="A878" s="50" t="str">
        <x:v>019fdcdc-2640-7617-8ccc-097ab3877e6e</x:v>
      </x:c>
      <x:c r="B878" s="50" t="str">
        <x:v>JPM</x:v>
      </x:c>
      <x:c r="C878" s="70" t="n">
        <x:v>46241.64864666667</x:v>
      </x:c>
      <x:c r="D878" s="50" t="str">
        <x:v>SWING_SETUP</x:v>
      </x:c>
      <x:c r="E878" s="50" t="str">
        <x:v>JPM SWING SETUP</x:v>
      </x:c>
      <x:c r="F878" s="50" t="str">
        <x:v>WATCH</x:v>
      </x:c>
      <x:c r="G878" s="50"/>
      <x:c r="H878" s="50" t="str">
        <x:v>LONG</x:v>
      </x:c>
      <x:c r="I878" s="71" t="n">
        <x:v>356.57</x:v>
      </x:c>
      <x:c r="J878" s="76" t="str">
        <x:v>SIP</x:v>
      </x:c>
    </x:row>
    <x:row r="879">
      <x:c r="A879" s="50" t="str">
        <x:v>019fdcdc-2651-7826-9f1d-231731757a41</x:v>
      </x:c>
      <x:c r="B879" s="50" t="str">
        <x:v>ECL</x:v>
      </x:c>
      <x:c r="C879" s="70" t="n">
        <x:v>46241.648646863425</x:v>
      </x:c>
      <x:c r="D879" s="50" t="str">
        <x:v>SWING_SETUP</x:v>
      </x:c>
      <x:c r="E879" s="50" t="str">
        <x:v>ECL SWING SETUP</x:v>
      </x:c>
      <x:c r="F879" s="50" t="str">
        <x:v>WATCH</x:v>
      </x:c>
      <x:c r="G879" s="50"/>
      <x:c r="H879" s="50" t="str">
        <x:v>LONG</x:v>
      </x:c>
      <x:c r="I879" s="71" t="n">
        <x:v>285.98</x:v>
      </x:c>
      <x:c r="J879" s="76" t="str">
        <x:v>SIP</x:v>
      </x:c>
    </x:row>
    <x:row r="880">
      <x:c r="A880" s="50" t="str">
        <x:v>019fdcdc-2661-70f8-a1d4-eeca97baf8c5</x:v>
      </x:c>
      <x:c r="B880" s="50" t="str">
        <x:v>PFE</x:v>
      </x:c>
      <x:c r="C880" s="70" t="n">
        <x:v>46241.64864704861</x:v>
      </x:c>
      <x:c r="D880" s="50" t="str">
        <x:v>SWING_SETUP</x:v>
      </x:c>
      <x:c r="E880" s="50" t="str">
        <x:v>PFE SWING SETUP</x:v>
      </x:c>
      <x:c r="F880" s="50" t="str">
        <x:v>WATCH</x:v>
      </x:c>
      <x:c r="G880" s="50"/>
      <x:c r="H880" s="50" t="str">
        <x:v>LONG</x:v>
      </x:c>
      <x:c r="I880" s="71" t="n">
        <x:v>26.385</x:v>
      </x:c>
      <x:c r="J880" s="76" t="str">
        <x:v>SIP</x:v>
      </x:c>
    </x:row>
    <x:row r="881">
      <x:c r="A881" s="50" t="str">
        <x:v>019fdcdc-268a-77b6-8eeb-80b97e6f9344</x:v>
      </x:c>
      <x:c r="B881" s="50" t="str">
        <x:v>ETHA</x:v>
      </x:c>
      <x:c r="C881" s="70" t="n">
        <x:v>46241.64864752315</x:v>
      </x:c>
      <x:c r="D881" s="50" t="str">
        <x:v>SWING_SETUP</x:v>
      </x:c>
      <x:c r="E881" s="50" t="str">
        <x:v>ETHA SWING SETUP</x:v>
      </x:c>
      <x:c r="F881" s="50" t="str">
        <x:v>WATCH</x:v>
      </x:c>
      <x:c r="G881" s="50"/>
      <x:c r="H881" s="50" t="str">
        <x:v>LONG</x:v>
      </x:c>
      <x:c r="I881" s="71" t="n">
        <x:v>14.4567</x:v>
      </x:c>
      <x:c r="J881" s="76" t="str">
        <x:v>SIP</x:v>
      </x:c>
    </x:row>
    <x:row r="882">
      <x:c r="A882" s="50" t="str">
        <x:v>019fdcdc-269a-79de-b672-a2c82cb5eb35</x:v>
      </x:c>
      <x:c r="B882" s="50" t="str">
        <x:v>TMDX</x:v>
      </x:c>
      <x:c r="C882" s="70" t="n">
        <x:v>46241.64864770833</x:v>
      </x:c>
      <x:c r="D882" s="50" t="str">
        <x:v>SWING_SETUP</x:v>
      </x:c>
      <x:c r="E882" s="50" t="str">
        <x:v>TMDX SWING SETUP</x:v>
      </x:c>
      <x:c r="F882" s="50" t="str">
        <x:v>WATCH</x:v>
      </x:c>
      <x:c r="G882" s="50"/>
      <x:c r="H882" s="50" t="str">
        <x:v>LONG</x:v>
      </x:c>
      <x:c r="I882" s="71" t="n">
        <x:v>81.25</x:v>
      </x:c>
      <x:c r="J882" s="76" t="str">
        <x:v>SIP</x:v>
      </x:c>
    </x:row>
    <x:row r="883">
      <x:c r="A883" s="50" t="str">
        <x:v>019fdcdc-26c0-7c8a-9ba6-60ab2c6180c5</x:v>
      </x:c>
      <x:c r="B883" s="50" t="str">
        <x:v>BKNG</x:v>
      </x:c>
      <x:c r="C883" s="70" t="n">
        <x:v>46241.64864814815</x:v>
      </x:c>
      <x:c r="D883" s="50" t="str">
        <x:v>SWING_SETUP</x:v>
      </x:c>
      <x:c r="E883" s="50" t="str">
        <x:v>BKNG SWING SETUP</x:v>
      </x:c>
      <x:c r="F883" s="50" t="str">
        <x:v>WATCH</x:v>
      </x:c>
      <x:c r="G883" s="50"/>
      <x:c r="H883" s="50" t="str">
        <x:v>LONG</x:v>
      </x:c>
      <x:c r="I883" s="71" t="n">
        <x:v>214.83</x:v>
      </x:c>
      <x:c r="J883" s="76" t="str">
        <x:v>SIP</x:v>
      </x:c>
    </x:row>
    <x:row r="884">
      <x:c r="A884" s="50" t="str">
        <x:v>019fdcdc-2721-7dbd-a7d4-364d99034f8a</x:v>
      </x:c>
      <x:c r="B884" s="50" t="str">
        <x:v>KO</x:v>
      </x:c>
      <x:c r="C884" s="70" t="n">
        <x:v>46241.648649270835</x:v>
      </x:c>
      <x:c r="D884" s="50" t="str">
        <x:v>SWING_SETUP</x:v>
      </x:c>
      <x:c r="E884" s="50" t="str">
        <x:v>KO SWING SETUP</x:v>
      </x:c>
      <x:c r="F884" s="50" t="str">
        <x:v>WATCH</x:v>
      </x:c>
      <x:c r="G884" s="50"/>
      <x:c r="H884" s="50" t="str">
        <x:v>LONG</x:v>
      </x:c>
      <x:c r="I884" s="71" t="n">
        <x:v>86.875</x:v>
      </x:c>
      <x:c r="J884" s="76" t="str">
        <x:v>SIP</x:v>
      </x:c>
    </x:row>
    <x:row r="885">
      <x:c r="A885" s="50" t="str">
        <x:v>019fdcdc-2748-705d-a176-7d18eb1964a0</x:v>
      </x:c>
      <x:c r="B885" s="50" t="str">
        <x:v>CEG</x:v>
      </x:c>
      <x:c r="C885" s="70" t="n">
        <x:v>46241.648649710645</x:v>
      </x:c>
      <x:c r="D885" s="50" t="str">
        <x:v>SWING_SETUP</x:v>
      </x:c>
      <x:c r="E885" s="50" t="str">
        <x:v>CEG SWING SETUP</x:v>
      </x:c>
      <x:c r="F885" s="50" t="str">
        <x:v>WATCH</x:v>
      </x:c>
      <x:c r="G885" s="50"/>
      <x:c r="H885" s="50" t="str">
        <x:v>LONG</x:v>
      </x:c>
      <x:c r="I885" s="71" t="n">
        <x:v>268.97</x:v>
      </x:c>
      <x:c r="J885" s="76" t="str">
        <x:v>SIP</x:v>
      </x:c>
    </x:row>
    <x:row r="886">
      <x:c r="A886" s="50" t="str">
        <x:v>019fdcdd-0dd1-74b2-ab35-0570d05c8a67</x:v>
      </x:c>
      <x:c r="B886" s="50" t="str">
        <x:v>HRL</x:v>
      </x:c>
      <x:c r="C886" s="70" t="n">
        <x:v>46241.649332789355</x:v>
      </x:c>
      <x:c r="D886" s="50" t="str">
        <x:v>LONG_BUY_ZONE</x:v>
      </x:c>
      <x:c r="E886" s="50" t="str">
        <x:v>HRL LONG BUY ZONE</x:v>
      </x:c>
      <x:c r="F886" s="50" t="str">
        <x:v>WATCH</x:v>
      </x:c>
      <x:c r="G886" s="50"/>
      <x:c r="H886" s="50" t="str">
        <x:v>LONG</x:v>
      </x:c>
      <x:c r="I886" s="71" t="n">
        <x:v>25.16</x:v>
      </x:c>
      <x:c r="J886" s="76" t="str">
        <x:v>SIP</x:v>
      </x:c>
    </x:row>
    <x:row r="887">
      <x:c r="A887" s="50" t="str">
        <x:v>019fdcdd-0dd6-7e40-83b3-d3e485d762f0</x:v>
      </x:c>
      <x:c r="B887" s="50" t="str">
        <x:v>BLK</x:v>
      </x:c>
      <x:c r="C887" s="70" t="n">
        <x:v>46241.649332835645</x:v>
      </x:c>
      <x:c r="D887" s="50" t="str">
        <x:v>SWING_SETUP</x:v>
      </x:c>
      <x:c r="E887" s="50" t="str">
        <x:v>BLK SWING SETUP</x:v>
      </x:c>
      <x:c r="F887" s="50" t="str">
        <x:v>WATCH</x:v>
      </x:c>
      <x:c r="G887" s="50"/>
      <x:c r="H887" s="50" t="str">
        <x:v>LONG</x:v>
      </x:c>
      <x:c r="I887" s="71" t="n">
        <x:v>1135.57</x:v>
      </x:c>
      <x:c r="J887" s="76" t="str">
        <x:v>SIP</x:v>
      </x:c>
    </x:row>
    <x:row r="888">
      <x:c r="A888" s="50" t="str">
        <x:v>019fdcdd-10fa-76f7-b1f1-7edfaabf9850</x:v>
      </x:c>
      <x:c r="B888" s="50" t="str">
        <x:v>SHW</x:v>
      </x:c>
      <x:c r="C888" s="70" t="n">
        <x:v>46241.64934215278</x:v>
      </x:c>
      <x:c r="D888" s="50" t="str">
        <x:v>SWING_SETUP</x:v>
      </x:c>
      <x:c r="E888" s="50" t="str">
        <x:v>SHW SWING SETUP</x:v>
      </x:c>
      <x:c r="F888" s="50" t="str">
        <x:v>WATCH</x:v>
      </x:c>
      <x:c r="G888" s="50"/>
      <x:c r="H888" s="50" t="str">
        <x:v>LONG</x:v>
      </x:c>
      <x:c r="I888" s="71" t="n">
        <x:v>369.485</x:v>
      </x:c>
      <x:c r="J888" s="76" t="str">
        <x:v>SIP</x:v>
      </x:c>
    </x:row>
    <x:row r="889">
      <x:c r="A889" s="50" t="str">
        <x:v>019fdcdd-119c-742e-af7d-b79e4ebcb2bb</x:v>
      </x:c>
      <x:c r="B889" s="50" t="str">
        <x:v>KO</x:v>
      </x:c>
      <x:c r="C889" s="70" t="n">
        <x:v>46241.64934402778</x:v>
      </x:c>
      <x:c r="D889" s="50" t="str">
        <x:v>LONG_BUY_ZONE</x:v>
      </x:c>
      <x:c r="E889" s="50" t="str">
        <x:v>KO LONG BUY ZONE</x:v>
      </x:c>
      <x:c r="F889" s="50" t="str">
        <x:v>WATCH</x:v>
      </x:c>
      <x:c r="G889" s="50"/>
      <x:c r="H889" s="50" t="str">
        <x:v>LONG</x:v>
      </x:c>
      <x:c r="I889" s="71" t="n">
        <x:v>86.825</x:v>
      </x:c>
      <x:c r="J889" s="76" t="str">
        <x:v>SIP</x:v>
      </x:c>
    </x:row>
    <x:row r="890">
      <x:c r="A890" s="50" t="str">
        <x:v>019fdcdd-1549-77b3-a430-70c9599d77fa</x:v>
      </x:c>
      <x:c r="B890" s="50" t="str">
        <x:v>ECL</x:v>
      </x:c>
      <x:c r="C890" s="70" t="n">
        <x:v>46241.64935491898</x:v>
      </x:c>
      <x:c r="D890" s="50" t="str">
        <x:v>LONG_BUY_ZONE</x:v>
      </x:c>
      <x:c r="E890" s="50" t="str">
        <x:v>ECL LONG BUY ZONE</x:v>
      </x:c>
      <x:c r="F890" s="50" t="str">
        <x:v>WATCH</x:v>
      </x:c>
      <x:c r="G890" s="50"/>
      <x:c r="H890" s="50" t="str">
        <x:v>LONG</x:v>
      </x:c>
      <x:c r="I890" s="71" t="n">
        <x:v>285.425</x:v>
      </x:c>
      <x:c r="J890" s="76" t="str">
        <x:v>SIP</x:v>
      </x:c>
    </x:row>
    <x:row r="891">
      <x:c r="A891" s="50" t="str">
        <x:v>019fdcdd-16e1-7723-9dd3-f88e7601ecda</x:v>
      </x:c>
      <x:c r="B891" s="50" t="str">
        <x:v>ABBV</x:v>
      </x:c>
      <x:c r="C891" s="70" t="n">
        <x:v>46241.649359641204</x:v>
      </x:c>
      <x:c r="D891" s="50" t="str">
        <x:v>LONG_BUY_ZONE</x:v>
      </x:c>
      <x:c r="E891" s="50" t="str">
        <x:v>ABBV LONG BUY ZONE</x:v>
      </x:c>
      <x:c r="F891" s="50" t="str">
        <x:v>WATCH</x:v>
      </x:c>
      <x:c r="G891" s="50"/>
      <x:c r="H891" s="50" t="str">
        <x:v>LONG</x:v>
      </x:c>
      <x:c r="I891" s="71" t="n">
        <x:v>243.835</x:v>
      </x:c>
      <x:c r="J891" s="76" t="str">
        <x:v>SIP</x:v>
      </x:c>
    </x:row>
    <x:row r="892">
      <x:c r="A892" s="50" t="str">
        <x:v>019fdcdd-fb95-7da8-a02b-8d8e1c7f8982</x:v>
      </x:c>
      <x:c r="B892" s="50" t="str">
        <x:v>PM</x:v>
      </x:c>
      <x:c r="C892" s="70" t="n">
        <x:v>46241.65003726852</x:v>
      </x:c>
      <x:c r="D892" s="50" t="str">
        <x:v>SWING_SETUP</x:v>
      </x:c>
      <x:c r="E892" s="50" t="str">
        <x:v>PM SWING SETUP</x:v>
      </x:c>
      <x:c r="F892" s="50" t="str">
        <x:v>WATCH</x:v>
      </x:c>
      <x:c r="G892" s="50"/>
      <x:c r="H892" s="50" t="str">
        <x:v>LONG</x:v>
      </x:c>
      <x:c r="I892" s="71" t="n">
        <x:v>189.71</x:v>
      </x:c>
      <x:c r="J892" s="76" t="str">
        <x:v>SIP</x:v>
      </x:c>
    </x:row>
    <x:row r="893">
      <x:c r="A893" s="50" t="str">
        <x:v>019fdcdd-fc55-7dfc-a6d6-2e3f88da0520</x:v>
      </x:c>
      <x:c r="B893" s="50" t="str">
        <x:v>MMM</x:v>
      </x:c>
      <x:c r="C893" s="70" t="n">
        <x:v>46241.65003950232</x:v>
      </x:c>
      <x:c r="D893" s="50" t="str">
        <x:v>SWING_SETUP</x:v>
      </x:c>
      <x:c r="E893" s="50" t="str">
        <x:v>MMM SWING SETUP</x:v>
      </x:c>
      <x:c r="F893" s="50" t="str">
        <x:v>WATCH</x:v>
      </x:c>
      <x:c r="G893" s="50"/>
      <x:c r="H893" s="50" t="str">
        <x:v>LONG</x:v>
      </x:c>
      <x:c r="I893" s="71" t="n">
        <x:v>182.84</x:v>
      </x:c>
      <x:c r="J893" s="76" t="str">
        <x:v>SIP</x:v>
      </x:c>
    </x:row>
    <x:row r="894">
      <x:c r="A894" s="50" t="str">
        <x:v>019fdcdd-fc62-7927-bcc8-8c9a2fe029ec</x:v>
      </x:c>
      <x:c r="B894" s="50" t="str">
        <x:v>ABT</x:v>
      </x:c>
      <x:c r="C894" s="70" t="n">
        <x:v>46241.65003965278</x:v>
      </x:c>
      <x:c r="D894" s="50" t="str">
        <x:v>SWING_SETUP</x:v>
      </x:c>
      <x:c r="E894" s="50" t="str">
        <x:v>ABT SWING SETUP</x:v>
      </x:c>
      <x:c r="F894" s="50" t="str">
        <x:v>WATCH</x:v>
      </x:c>
      <x:c r="G894" s="50"/>
      <x:c r="H894" s="50" t="str">
        <x:v>LONG</x:v>
      </x:c>
      <x:c r="I894" s="71" t="n">
        <x:v>107.155</x:v>
      </x:c>
      <x:c r="J894" s="76" t="str">
        <x:v>SIP</x:v>
      </x:c>
    </x:row>
    <x:row r="895">
      <x:c r="A895" s="50" t="str">
        <x:v>019fdcdd-fcb7-7eff-b70f-d5ce9a2e1085</x:v>
      </x:c>
      <x:c r="B895" s="50" t="str">
        <x:v>GD</x:v>
      </x:c>
      <x:c r="C895" s="70" t="n">
        <x:v>46241.650040636574</x:v>
      </x:c>
      <x:c r="D895" s="50" t="str">
        <x:v>SWING_SETUP</x:v>
      </x:c>
      <x:c r="E895" s="50" t="str">
        <x:v>GD SWING SETUP</x:v>
      </x:c>
      <x:c r="F895" s="50" t="str">
        <x:v>WATCH</x:v>
      </x:c>
      <x:c r="G895" s="50"/>
      <x:c r="H895" s="50" t="str">
        <x:v>LONG</x:v>
      </x:c>
      <x:c r="I895" s="71" t="n">
        <x:v>386.445</x:v>
      </x:c>
      <x:c r="J895" s="76" t="str">
        <x:v>SIP</x:v>
      </x:c>
    </x:row>
    <x:row r="896">
      <x:c r="A896" s="50" t="str">
        <x:v>019fdcdd-fe5c-71f4-a85e-1038e93149a1</x:v>
      </x:c>
      <x:c r="B896" s="50" t="str">
        <x:v>RCL</x:v>
      </x:c>
      <x:c r="C896" s="70" t="n">
        <x:v>46241.65004550926</x:v>
      </x:c>
      <x:c r="D896" s="50" t="str">
        <x:v>SWING_SETUP</x:v>
      </x:c>
      <x:c r="E896" s="50" t="str">
        <x:v>RCL SWING SETUP</x:v>
      </x:c>
      <x:c r="F896" s="50" t="str">
        <x:v>WATCH</x:v>
      </x:c>
      <x:c r="G896" s="50"/>
      <x:c r="H896" s="50" t="str">
        <x:v>LONG</x:v>
      </x:c>
      <x:c r="I896" s="71" t="n">
        <x:v>321.1386</x:v>
      </x:c>
      <x:c r="J896" s="76" t="str">
        <x:v>SIP</x:v>
      </x:c>
    </x:row>
    <x:row r="897">
      <x:c r="A897" s="50" t="str">
        <x:v>019fdcde-054c-79a1-afac-81641371d44e</x:v>
      </x:c>
      <x:c r="B897" s="50" t="str">
        <x:v>RCL</x:v>
      </x:c>
      <x:c r="C897" s="70" t="n">
        <x:v>46241.65006605324</x:v>
      </x:c>
      <x:c r="D897" s="50" t="str">
        <x:v>LONG_BUY_ZONE</x:v>
      </x:c>
      <x:c r="E897" s="50" t="str">
        <x:v>RCL LONG BUY ZONE</x:v>
      </x:c>
      <x:c r="F897" s="50" t="str">
        <x:v>WATCH</x:v>
      </x:c>
      <x:c r="G897" s="50"/>
      <x:c r="H897" s="50" t="str">
        <x:v>LONG</x:v>
      </x:c>
      <x:c r="I897" s="71" t="n">
        <x:v>321.1225</x:v>
      </x:c>
      <x:c r="J897" s="76" t="str">
        <x:v>SIP</x:v>
      </x:c>
    </x:row>
    <x:row r="898">
      <x:c r="A898" s="50" t="str">
        <x:v>019fdcde-081c-7a0f-bb11-30a6db3a3178</x:v>
      </x:c>
      <x:c r="B898" s="50" t="str">
        <x:v>APD</x:v>
      </x:c>
      <x:c r="C898" s="70" t="n">
        <x:v>46241.650074398145</x:v>
      </x:c>
      <x:c r="D898" s="50" t="str">
        <x:v>LONG_BUY_ZONE</x:v>
      </x:c>
      <x:c r="E898" s="50" t="str">
        <x:v>APD LONG BUY ZONE</x:v>
      </x:c>
      <x:c r="F898" s="50" t="str">
        <x:v>WATCH</x:v>
      </x:c>
      <x:c r="G898" s="50"/>
      <x:c r="H898" s="50" t="str">
        <x:v>LONG</x:v>
      </x:c>
      <x:c r="I898" s="71" t="n">
        <x:v>300.32</x:v>
      </x:c>
      <x:c r="J898" s="76" t="str">
        <x:v>SIP</x:v>
      </x:c>
    </x:row>
    <x:row r="899">
      <x:c r="A899" s="50" t="str">
        <x:v>019fdcde-f5aa-7a09-94b1-79255689f065</x:v>
      </x:c>
      <x:c r="B899" s="50" t="str">
        <x:v>GS</x:v>
      </x:c>
      <x:c r="C899" s="70" t="n">
        <x:v>46241.65077826389</x:v>
      </x:c>
      <x:c r="D899" s="50" t="str">
        <x:v>LONG_BUY_ZONE</x:v>
      </x:c>
      <x:c r="E899" s="50" t="str">
        <x:v>GS LONG BUY ZONE</x:v>
      </x:c>
      <x:c r="F899" s="50" t="str">
        <x:v>WATCH</x:v>
      </x:c>
      <x:c r="G899" s="50"/>
      <x:c r="H899" s="50" t="str">
        <x:v>LONG</x:v>
      </x:c>
      <x:c r="I899" s="71" t="n">
        <x:v>1040.18</x:v>
      </x:c>
      <x:c r="J899" s="76" t="str">
        <x:v>SIP</x:v>
      </x:c>
    </x:row>
    <x:row r="900">
      <x:c r="A900" s="50" t="str">
        <x:v>019fdce0-b91e-7420-9f50-25750f73bd29</x:v>
      </x:c>
      <x:c r="B900" s="50" t="str">
        <x:v>PYPL</x:v>
      </x:c>
      <x:c r="C900" s="70" t="n">
        <x:v>46241.652115902776</x:v>
      </x:c>
      <x:c r="D900" s="50" t="str">
        <x:v>SWING_SETUP</x:v>
      </x:c>
      <x:c r="E900" s="50" t="str">
        <x:v>PYPL SWING SETUP</x:v>
      </x:c>
      <x:c r="F900" s="50" t="str">
        <x:v>WATCH</x:v>
      </x:c>
      <x:c r="G900" s="50"/>
      <x:c r="H900" s="50" t="str">
        <x:v>LONG</x:v>
      </x:c>
      <x:c r="I900" s="71" t="n">
        <x:v>59.36</x:v>
      </x:c>
      <x:c r="J900" s="76" t="str">
        <x:v>SIP</x:v>
      </x:c>
    </x:row>
    <x:row r="901">
      <x:c r="A901" s="50" t="str">
        <x:v>019fdce0-c652-785e-bd45-50821aac6aac</x:v>
      </x:c>
      <x:c r="B901" s="50" t="str">
        <x:v>VZ</x:v>
      </x:c>
      <x:c r="C901" s="70" t="n">
        <x:v>46241.65215502315</x:v>
      </x:c>
      <x:c r="D901" s="50" t="str">
        <x:v>LONG_BUY_ZONE</x:v>
      </x:c>
      <x:c r="E901" s="50" t="str">
        <x:v>VZ LONG BUY ZONE</x:v>
      </x:c>
      <x:c r="F901" s="50" t="str">
        <x:v>WATCH</x:v>
      </x:c>
      <x:c r="G901" s="50"/>
      <x:c r="H901" s="50" t="str">
        <x:v>LONG</x:v>
      </x:c>
      <x:c r="I901" s="71" t="n">
        <x:v>46.745</x:v>
      </x:c>
      <x:c r="J901" s="76" t="str">
        <x:v>SIP</x:v>
      </x:c>
    </x:row>
    <x:row r="902">
      <x:c r="A902" s="50" t="str">
        <x:v>019fdce2-910d-700a-9df2-d86b54cc7c24</x:v>
      </x:c>
      <x:c r="B902" s="50" t="str">
        <x:v>CRM</x:v>
      </x:c>
      <x:c r="C902" s="70" t="n">
        <x:v>46241.653514224534</x:v>
      </x:c>
      <x:c r="D902" s="50" t="str">
        <x:v>SWING_SETUP</x:v>
      </x:c>
      <x:c r="E902" s="50" t="str">
        <x:v>CRM SWING SETUP</x:v>
      </x:c>
      <x:c r="F902" s="50" t="str">
        <x:v>WATCH</x:v>
      </x:c>
      <x:c r="G902" s="50"/>
      <x:c r="H902" s="50" t="str">
        <x:v>LONG</x:v>
      </x:c>
      <x:c r="I902" s="71" t="n">
        <x:v>191.54</x:v>
      </x:c>
      <x:c r="J902" s="76" t="str">
        <x:v>SIP</x:v>
      </x:c>
    </x:row>
    <x:row r="903">
      <x:c r="A903" s="50" t="str">
        <x:v>019fdce2-9eac-7561-bf3f-54951f8d6e28</x:v>
      </x:c>
      <x:c r="B903" s="50" t="str">
        <x:v>OXY</x:v>
      </x:c>
      <x:c r="C903" s="70" t="n">
        <x:v>46241.65355458333</x:v>
      </x:c>
      <x:c r="D903" s="50" t="str">
        <x:v>LONG_BUY_ZONE</x:v>
      </x:c>
      <x:c r="E903" s="50" t="str">
        <x:v>OXY LONG BUY ZONE</x:v>
      </x:c>
      <x:c r="F903" s="50" t="str">
        <x:v>WATCH</x:v>
      </x:c>
      <x:c r="G903" s="50"/>
      <x:c r="H903" s="50" t="str">
        <x:v>LONG</x:v>
      </x:c>
      <x:c r="I903" s="71" t="n">
        <x:v>56.24</x:v>
      </x:c>
      <x:c r="J903" s="76" t="str">
        <x:v>SIP</x:v>
      </x:c>
    </x:row>
    <x:row r="904">
      <x:c r="A904" s="50" t="str">
        <x:v>019fdce3-7e47-7b27-a458-f4dc1fd6fa21</x:v>
      </x:c>
      <x:c r="B904" s="50" t="str">
        <x:v>CLPT</x:v>
      </x:c>
      <x:c r="C904" s="70" t="n">
        <x:v>46241.654217118055</x:v>
      </x:c>
      <x:c r="D904" s="50" t="str">
        <x:v>ENTRY_WATCH</x:v>
      </x:c>
      <x:c r="E904" s="50" t="str">
        <x:v>CLPT ENTRY IN_ZONE EARLY WATCH</x:v>
      </x:c>
      <x:c r="F904" s="50" t="str">
        <x:v>WATCH</x:v>
      </x:c>
      <x:c r="G904" s="50"/>
      <x:c r="H904" s="50" t="str">
        <x:v>LONG</x:v>
      </x:c>
      <x:c r="I904" s="71" t="n">
        <x:v>14.2</x:v>
      </x:c>
      <x:c r="J904" s="76" t="str">
        <x:v>SIP</x:v>
      </x:c>
    </x:row>
    <x:row r="905">
      <x:c r="A905" s="50" t="str">
        <x:v>019fdce3-8007-737e-a7a9-79b496a54006</x:v>
      </x:c>
      <x:c r="B905" s="50" t="str">
        <x:v>DE</x:v>
      </x:c>
      <x:c r="C905" s="70" t="n">
        <x:v>46241.65422230324</x:v>
      </x:c>
      <x:c r="D905" s="50" t="str">
        <x:v>LONG_BUY_ZONE</x:v>
      </x:c>
      <x:c r="E905" s="50" t="str">
        <x:v>DE LONG BUY ZONE</x:v>
      </x:c>
      <x:c r="F905" s="50" t="str">
        <x:v>WATCH</x:v>
      </x:c>
      <x:c r="G905" s="50"/>
      <x:c r="H905" s="50" t="str">
        <x:v>LONG</x:v>
      </x:c>
      <x:c r="I905" s="71" t="n">
        <x:v>622.71</x:v>
      </x:c>
      <x:c r="J905" s="76" t="str">
        <x:v>SIP</x:v>
      </x:c>
    </x:row>
    <x:row r="906">
      <x:c r="A906" s="50" t="str">
        <x:v>019fdce3-82b3-729e-93d3-048a6f67528a</x:v>
      </x:c>
      <x:c r="B906" s="50" t="str">
        <x:v>KDP</x:v>
      </x:c>
      <x:c r="C906" s="70" t="n">
        <x:v>46241.65423021991</x:v>
      </x:c>
      <x:c r="D906" s="50" t="str">
        <x:v>LONG_BUY_ZONE</x:v>
      </x:c>
      <x:c r="E906" s="50" t="str">
        <x:v>KDP LONG BUY ZONE</x:v>
      </x:c>
      <x:c r="F906" s="50" t="str">
        <x:v>WATCH</x:v>
      </x:c>
      <x:c r="G906" s="50"/>
      <x:c r="H906" s="50" t="str">
        <x:v>LONG</x:v>
      </x:c>
      <x:c r="I906" s="71" t="n">
        <x:v>30.045</x:v>
      </x:c>
      <x:c r="J906" s="76" t="str">
        <x:v>SIP</x:v>
      </x:c>
    </x:row>
    <x:row r="907">
      <x:c r="A907" s="50" t="str">
        <x:v>019fdce4-6361-7553-8f97-18bf80670b71</x:v>
      </x:c>
      <x:c r="B907" s="50" t="str">
        <x:v>PLTR</x:v>
      </x:c>
      <x:c r="C907" s="70" t="n">
        <x:v>46241.6548959375</x:v>
      </x:c>
      <x:c r="D907" s="50" t="str">
        <x:v>ENTRY_CONFIRMED</x:v>
      </x:c>
      <x:c r="E907" s="50" t="str">
        <x:v>PLTR ENTRY CONFIRMED</x:v>
      </x:c>
      <x:c r="F907" s="50" t="str">
        <x:v>ACTION</x:v>
      </x:c>
      <x:c r="G907" s="50" t="str">
        <x:v>L2_SWING_CONFIRMED</x:v>
      </x:c>
      <x:c r="H907" s="50" t="str">
        <x:v>LONG</x:v>
      </x:c>
      <x:c r="I907" s="71" t="n">
        <x:v>169.7909</x:v>
      </x:c>
      <x:c r="J907" s="76" t="str">
        <x:v>SIP</x:v>
      </x:c>
    </x:row>
    <x:row r="908">
      <x:c r="A908" s="50" t="str">
        <x:v>019fdce7-1f1d-7c63-9393-6b90b7cdc62e</x:v>
      </x:c>
      <x:c r="B908" s="50" t="str">
        <x:v>PSX</x:v>
      </x:c>
      <x:c r="C908" s="70" t="n">
        <x:v>46241.65696921296</x:v>
      </x:c>
      <x:c r="D908" s="50" t="str">
        <x:v>SWING_SETUP</x:v>
      </x:c>
      <x:c r="E908" s="50" t="str">
        <x:v>PSX SWING SETUP</x:v>
      </x:c>
      <x:c r="F908" s="50" t="str">
        <x:v>WATCH</x:v>
      </x:c>
      <x:c r="G908" s="50"/>
      <x:c r="H908" s="50" t="str">
        <x:v>LONG</x:v>
      </x:c>
      <x:c r="I908" s="71" t="n">
        <x:v>205.2</x:v>
      </x:c>
      <x:c r="J908" s="76" t="str">
        <x:v>SIP</x:v>
      </x:c>
    </x:row>
    <x:row r="909">
      <x:c r="A909" s="50" t="str">
        <x:v>019fdce7-1f61-79eb-ad4a-b9a0c92d73af</x:v>
      </x:c>
      <x:c r="B909" s="50" t="str">
        <x:v>MSFT</x:v>
      </x:c>
      <x:c r="C909" s="70" t="n">
        <x:v>46241.65697001157</x:v>
      </x:c>
      <x:c r="D909" s="50" t="str">
        <x:v>SWING_SETUP</x:v>
      </x:c>
      <x:c r="E909" s="50" t="str">
        <x:v>MSFT SWING SETUP</x:v>
      </x:c>
      <x:c r="F909" s="50" t="str">
        <x:v>WATCH</x:v>
      </x:c>
      <x:c r="G909" s="50"/>
      <x:c r="H909" s="50" t="str">
        <x:v>LONG</x:v>
      </x:c>
      <x:c r="I909" s="71" t="n">
        <x:v>503.6599</x:v>
      </x:c>
      <x:c r="J909" s="76" t="str">
        <x:v>SIP</x:v>
      </x:c>
    </x:row>
    <x:row r="910">
      <x:c r="A910" s="50" t="str">
        <x:v>019fdce7-22df-7fad-8ac3-a7dbd708ed79</x:v>
      </x:c>
      <x:c r="B910" s="50" t="str">
        <x:v>NXE</x:v>
      </x:c>
      <x:c r="C910" s="70" t="n">
        <x:v>46241.6569803588</x:v>
      </x:c>
      <x:c r="D910" s="50" t="str">
        <x:v>SWING_SETUP</x:v>
      </x:c>
      <x:c r="E910" s="50" t="str">
        <x:v>NXE SWING SETUP</x:v>
      </x:c>
      <x:c r="F910" s="50" t="str">
        <x:v>WATCH</x:v>
      </x:c>
      <x:c r="G910" s="50"/>
      <x:c r="H910" s="50" t="str">
        <x:v>LONG</x:v>
      </x:c>
      <x:c r="I910" s="71" t="n">
        <x:v>10.61</x:v>
      </x:c>
      <x:c r="J910" s="76" t="str">
        <x:v>SIP</x:v>
      </x:c>
    </x:row>
    <x:row r="911">
      <x:c r="A911" s="50" t="str">
        <x:v>019fdce7-23d8-7a94-9674-05bba0c22a9d</x:v>
      </x:c>
      <x:c r="B911" s="50" t="str">
        <x:v>HRL</x:v>
      </x:c>
      <x:c r="C911" s="70" t="n">
        <x:v>46241.656983229164</x:v>
      </x:c>
      <x:c r="D911" s="50" t="str">
        <x:v>SWING_SETUP</x:v>
      </x:c>
      <x:c r="E911" s="50" t="str">
        <x:v>HRL SWING SETUP</x:v>
      </x:c>
      <x:c r="F911" s="50" t="str">
        <x:v>WATCH</x:v>
      </x:c>
      <x:c r="G911" s="50"/>
      <x:c r="H911" s="50" t="str">
        <x:v>LONG</x:v>
      </x:c>
      <x:c r="I911" s="71" t="n">
        <x:v>25.19</x:v>
      </x:c>
      <x:c r="J911" s="76" t="str">
        <x:v>SIP</x:v>
      </x:c>
    </x:row>
    <x:row r="912">
      <x:c r="A912" s="50" t="str">
        <x:v>019fdce7-2492-776a-869e-2199c3e5f64b</x:v>
      </x:c>
      <x:c r="B912" s="50" t="str">
        <x:v>ONDS</x:v>
      </x:c>
      <x:c r="C912" s="70" t="n">
        <x:v>46241.65698539352</x:v>
      </x:c>
      <x:c r="D912" s="50" t="str">
        <x:v>SWING_SETUP</x:v>
      </x:c>
      <x:c r="E912" s="50" t="str">
        <x:v>ONDS SWING SETUP</x:v>
      </x:c>
      <x:c r="F912" s="50" t="str">
        <x:v>WATCH</x:v>
      </x:c>
      <x:c r="G912" s="50"/>
      <x:c r="H912" s="50" t="str">
        <x:v>LONG</x:v>
      </x:c>
      <x:c r="I912" s="71" t="n">
        <x:v>8.925</x:v>
      </x:c>
      <x:c r="J912" s="76" t="str">
        <x:v>SIP</x:v>
      </x:c>
    </x:row>
    <x:row r="913">
      <x:c r="A913" s="50" t="str">
        <x:v>019fdce7-25c8-7dbb-97dd-bed2fe453abc</x:v>
      </x:c>
      <x:c r="B913" s="50" t="str">
        <x:v>APH</x:v>
      </x:c>
      <x:c r="C913" s="70" t="n">
        <x:v>46241.65698898148</x:v>
      </x:c>
      <x:c r="D913" s="50" t="str">
        <x:v>LONG_BUY_ZONE</x:v>
      </x:c>
      <x:c r="E913" s="50" t="str">
        <x:v>APH LONG BUY ZONE</x:v>
      </x:c>
      <x:c r="F913" s="50" t="str">
        <x:v>WATCH</x:v>
      </x:c>
      <x:c r="G913" s="50"/>
      <x:c r="H913" s="50" t="str">
        <x:v>LONG</x:v>
      </x:c>
      <x:c r="I913" s="71" t="n">
        <x:v>167.365</x:v>
      </x:c>
      <x:c r="J913" s="76" t="str">
        <x:v>SIP</x:v>
      </x:c>
    </x:row>
    <x:row r="914">
      <x:c r="A914" s="50" t="str">
        <x:v>019fdce7-2618-7a7e-a0fa-95484b9250c5</x:v>
      </x:c>
      <x:c r="B914" s="50" t="str">
        <x:v>NUE</x:v>
      </x:c>
      <x:c r="C914" s="70" t="n">
        <x:v>46241.65698990741</x:v>
      </x:c>
      <x:c r="D914" s="50" t="str">
        <x:v>SWING_SETUP</x:v>
      </x:c>
      <x:c r="E914" s="50" t="str">
        <x:v>NUE SWING SETUP</x:v>
      </x:c>
      <x:c r="F914" s="50" t="str">
        <x:v>WATCH</x:v>
      </x:c>
      <x:c r="G914" s="50"/>
      <x:c r="H914" s="50" t="str">
        <x:v>LONG</x:v>
      </x:c>
      <x:c r="I914" s="71" t="n">
        <x:v>271.4</x:v>
      </x:c>
      <x:c r="J914" s="76" t="str">
        <x:v>SIP</x:v>
      </x:c>
    </x:row>
    <x:row r="915">
      <x:c r="A915" s="50" t="str">
        <x:v>019fdce7-2684-7fe5-9926-8955bb497e3a</x:v>
      </x:c>
      <x:c r="B915" s="50" t="str">
        <x:v>DE</x:v>
      </x:c>
      <x:c r="C915" s="70" t="n">
        <x:v>46241.656991145835</x:v>
      </x:c>
      <x:c r="D915" s="50" t="str">
        <x:v>SWING_SETUP</x:v>
      </x:c>
      <x:c r="E915" s="50" t="str">
        <x:v>DE SWING SETUP</x:v>
      </x:c>
      <x:c r="F915" s="50" t="str">
        <x:v>WATCH</x:v>
      </x:c>
      <x:c r="G915" s="50"/>
      <x:c r="H915" s="50" t="str">
        <x:v>LONG</x:v>
      </x:c>
      <x:c r="I915" s="71" t="n">
        <x:v>622.705</x:v>
      </x:c>
      <x:c r="J915" s="76" t="str">
        <x:v>SIP</x:v>
      </x:c>
    </x:row>
    <x:row r="916">
      <x:c r="A916" s="50" t="str">
        <x:v>019fdce7-26ba-736e-b233-2a4135c67c75</x:v>
      </x:c>
      <x:c r="B916" s="50" t="str">
        <x:v>RDW</x:v>
      </x:c>
      <x:c r="C916" s="70" t="n">
        <x:v>46241.65699178241</x:v>
      </x:c>
      <x:c r="D916" s="50" t="str">
        <x:v>SWING_SETUP</x:v>
      </x:c>
      <x:c r="E916" s="50" t="str">
        <x:v>RDW SWING SETUP</x:v>
      </x:c>
      <x:c r="F916" s="50" t="str">
        <x:v>WATCH</x:v>
      </x:c>
      <x:c r="G916" s="50"/>
      <x:c r="H916" s="50" t="str">
        <x:v>LONG</x:v>
      </x:c>
      <x:c r="I916" s="71" t="n">
        <x:v>13.325</x:v>
      </x:c>
      <x:c r="J916" s="76" t="str">
        <x:v>SIP</x:v>
      </x:c>
    </x:row>
    <x:row r="917">
      <x:c r="A917" s="50" t="str">
        <x:v>019fdce7-28d4-78eb-9ebe-802b029a18b7</x:v>
      </x:c>
      <x:c r="B917" s="50" t="str">
        <x:v>UEC</x:v>
      </x:c>
      <x:c r="C917" s="70" t="n">
        <x:v>46241.65699800926</x:v>
      </x:c>
      <x:c r="D917" s="50" t="str">
        <x:v>SWING_SETUP</x:v>
      </x:c>
      <x:c r="E917" s="50" t="str">
        <x:v>UEC SWING SETUP</x:v>
      </x:c>
      <x:c r="F917" s="50" t="str">
        <x:v>WATCH</x:v>
      </x:c>
      <x:c r="G917" s="50"/>
      <x:c r="H917" s="50" t="str">
        <x:v>LONG</x:v>
      </x:c>
      <x:c r="I917" s="71" t="n">
        <x:v>11.285</x:v>
      </x:c>
      <x:c r="J917" s="76" t="str">
        <x:v>SIP</x:v>
      </x:c>
    </x:row>
    <x:row r="918">
      <x:c r="A918" s="50" t="str">
        <x:v>019fdce7-2a38-787e-b00e-974d09813553</x:v>
      </x:c>
      <x:c r="B918" s="50" t="str">
        <x:v>CROX</x:v>
      </x:c>
      <x:c r="C918" s="70" t="n">
        <x:v>46241.65700212963</x:v>
      </x:c>
      <x:c r="D918" s="50" t="str">
        <x:v>SWING_SETUP</x:v>
      </x:c>
      <x:c r="E918" s="50" t="str">
        <x:v>CROX SWING SETUP</x:v>
      </x:c>
      <x:c r="F918" s="50" t="str">
        <x:v>WATCH</x:v>
      </x:c>
      <x:c r="G918" s="50"/>
      <x:c r="H918" s="50" t="str">
        <x:v>LONG</x:v>
      </x:c>
      <x:c r="I918" s="71" t="n">
        <x:v>137.99</x:v>
      </x:c>
      <x:c r="J918" s="76" t="str">
        <x:v>SIP</x:v>
      </x:c>
    </x:row>
    <x:row r="919">
      <x:c r="A919" s="50" t="str">
        <x:v>019fdce7-2b68-781b-85bd-edd72670d01d</x:v>
      </x:c>
      <x:c r="B919" s="50" t="str">
        <x:v>TTWO</x:v>
      </x:c>
      <x:c r="C919" s="70" t="n">
        <x:v>46241.65700564815</x:v>
      </x:c>
      <x:c r="D919" s="50" t="str">
        <x:v>SWING_SETUP</x:v>
      </x:c>
      <x:c r="E919" s="50" t="str">
        <x:v>TTWO SWING SETUP</x:v>
      </x:c>
      <x:c r="F919" s="50" t="str">
        <x:v>WATCH</x:v>
      </x:c>
      <x:c r="G919" s="50"/>
      <x:c r="H919" s="50" t="str">
        <x:v>LONG</x:v>
      </x:c>
      <x:c r="I919" s="71" t="n">
        <x:v>242.69</x:v>
      </x:c>
      <x:c r="J919" s="76" t="str">
        <x:v>SIP</x:v>
      </x:c>
    </x:row>
    <x:row r="920">
      <x:c r="A920" s="50" t="str">
        <x:v>019fdce7-2b9c-7a0d-a41d-3a31f34a12cc</x:v>
      </x:c>
      <x:c r="B920" s="50" t="str">
        <x:v>SNOW</x:v>
      </x:c>
      <x:c r="C920" s="70" t="n">
        <x:v>46241.65700625</x:v>
      </x:c>
      <x:c r="D920" s="50" t="str">
        <x:v>SWING_SETUP</x:v>
      </x:c>
      <x:c r="E920" s="50" t="str">
        <x:v>SNOW SWING SETUP</x:v>
      </x:c>
      <x:c r="F920" s="50" t="str">
        <x:v>WATCH</x:v>
      </x:c>
      <x:c r="G920" s="50"/>
      <x:c r="H920" s="50" t="str">
        <x:v>LONG</x:v>
      </x:c>
      <x:c r="I920" s="71" t="n">
        <x:v>324.26</x:v>
      </x:c>
      <x:c r="J920" s="76" t="str">
        <x:v>SIP</x:v>
      </x:c>
    </x:row>
    <x:row r="921">
      <x:c r="A921" s="50" t="str">
        <x:v>019fdce7-2e08-7ee2-8635-bd4a1025ffb5</x:v>
      </x:c>
      <x:c r="B921" s="50" t="str">
        <x:v>SMR</x:v>
      </x:c>
      <x:c r="C921" s="70" t="n">
        <x:v>46241.657013414355</x:v>
      </x:c>
      <x:c r="D921" s="50" t="str">
        <x:v>SWING_SETUP</x:v>
      </x:c>
      <x:c r="E921" s="50" t="str">
        <x:v>SMR SWING SETUP</x:v>
      </x:c>
      <x:c r="F921" s="50" t="str">
        <x:v>WATCH</x:v>
      </x:c>
      <x:c r="G921" s="50"/>
      <x:c r="H921" s="50" t="str">
        <x:v>LONG</x:v>
      </x:c>
      <x:c r="I921" s="71" t="n">
        <x:v>9.905</x:v>
      </x:c>
      <x:c r="J921" s="76" t="str">
        <x:v>SIP</x:v>
      </x:c>
    </x:row>
    <x:row r="922">
      <x:c r="A922" s="50" t="str">
        <x:v>019fdce8-0a33-7acc-9dd7-8c962d2c8efa</x:v>
      </x:c>
      <x:c r="B922" s="50" t="str">
        <x:v>MRK</x:v>
      </x:c>
      <x:c r="C922" s="70" t="n">
        <x:v>46241.65766576389</x:v>
      </x:c>
      <x:c r="D922" s="50" t="str">
        <x:v>LONG_BUY_ZONE</x:v>
      </x:c>
      <x:c r="E922" s="50" t="str">
        <x:v>MRK LONG BUY ZONE</x:v>
      </x:c>
      <x:c r="F922" s="50" t="str">
        <x:v>WATCH</x:v>
      </x:c>
      <x:c r="G922" s="50"/>
      <x:c r="H922" s="50" t="str">
        <x:v>LONG</x:v>
      </x:c>
      <x:c r="I922" s="71" t="n">
        <x:v>127.62</x:v>
      </x:c>
      <x:c r="J922" s="76" t="str">
        <x:v>SIP</x:v>
      </x:c>
    </x:row>
    <x:row r="923">
      <x:c r="A923" s="50" t="str">
        <x:v>019fdce8-0c71-7336-8ca0-7f192b5a807f</x:v>
      </x:c>
      <x:c r="B923" s="50" t="str">
        <x:v>INTU</x:v>
      </x:c>
      <x:c r="C923" s="70" t="n">
        <x:v>46241.65767241898</x:v>
      </x:c>
      <x:c r="D923" s="50" t="str">
        <x:v>SWING_SETUP</x:v>
      </x:c>
      <x:c r="E923" s="50" t="str">
        <x:v>INTU SWING SETUP</x:v>
      </x:c>
      <x:c r="F923" s="50" t="str">
        <x:v>WATCH</x:v>
      </x:c>
      <x:c r="G923" s="50"/>
      <x:c r="H923" s="50" t="str">
        <x:v>LONG</x:v>
      </x:c>
      <x:c r="I923" s="71" t="n">
        <x:v>330.39</x:v>
      </x:c>
      <x:c r="J923" s="76" t="str">
        <x:v>SIP</x:v>
      </x:c>
    </x:row>
    <x:row r="924">
      <x:c r="A924" s="50" t="str">
        <x:v>019fdce8-10bb-7ef5-bf0f-b4a3c441cc71</x:v>
      </x:c>
      <x:c r="B924" s="50" t="str">
        <x:v>BABA</x:v>
      </x:c>
      <x:c r="C924" s="70" t="n">
        <x:v>46241.65768512731</x:v>
      </x:c>
      <x:c r="D924" s="50" t="str">
        <x:v>SWING_SETUP</x:v>
      </x:c>
      <x:c r="E924" s="50" t="str">
        <x:v>BABA SWING SETUP</x:v>
      </x:c>
      <x:c r="F924" s="50" t="str">
        <x:v>WATCH</x:v>
      </x:c>
      <x:c r="G924" s="50"/>
      <x:c r="H924" s="50" t="str">
        <x:v>LONG</x:v>
      </x:c>
      <x:c r="I924" s="71" t="n">
        <x:v>128.15</x:v>
      </x:c>
      <x:c r="J924" s="76" t="str">
        <x:v>SIP</x:v>
      </x:c>
    </x:row>
    <x:row r="925">
      <x:c r="A925" s="50" t="str">
        <x:v>019fdce8-1294-7546-9951-f994ab0a103f</x:v>
      </x:c>
      <x:c r="B925" s="50" t="str">
        <x:v>PLTR</x:v>
      </x:c>
      <x:c r="C925" s="70" t="n">
        <x:v>46241.65769060185</x:v>
      </x:c>
      <x:c r="D925" s="50" t="str">
        <x:v>SWING_SETUP</x:v>
      </x:c>
      <x:c r="E925" s="50" t="str">
        <x:v>PLTR SWING SETUP</x:v>
      </x:c>
      <x:c r="F925" s="50" t="str">
        <x:v>WATCH</x:v>
      </x:c>
      <x:c r="G925" s="50"/>
      <x:c r="H925" s="50" t="str">
        <x:v>LONG</x:v>
      </x:c>
      <x:c r="I925" s="71" t="n">
        <x:v>169.74</x:v>
      </x:c>
      <x:c r="J925" s="76" t="str">
        <x:v>SIP</x:v>
      </x:c>
    </x:row>
    <x:row r="926">
      <x:c r="A926" s="50" t="str">
        <x:v>019fdce8-12ef-719a-bc89-3a65a3994e5d</x:v>
      </x:c>
      <x:c r="B926" s="50" t="str">
        <x:v>SCHW</x:v>
      </x:c>
      <x:c r="C926" s="70" t="n">
        <x:v>46241.65769165509</x:v>
      </x:c>
      <x:c r="D926" s="50" t="str">
        <x:v>SWING_SETUP</x:v>
      </x:c>
      <x:c r="E926" s="50" t="str">
        <x:v>SCHW SWING SETUP</x:v>
      </x:c>
      <x:c r="F926" s="50" t="str">
        <x:v>WATCH</x:v>
      </x:c>
      <x:c r="G926" s="50"/>
      <x:c r="H926" s="50" t="str">
        <x:v>LONG</x:v>
      </x:c>
      <x:c r="I926" s="71" t="n">
        <x:v>106.895</x:v>
      </x:c>
      <x:c r="J926" s="76" t="str">
        <x:v>SIP</x:v>
      </x:c>
    </x:row>
    <x:row r="927">
      <x:c r="A927" s="50" t="str">
        <x:v>019fdce8-1bf5-793e-ac44-95dba5bce58d</x:v>
      </x:c>
      <x:c r="B927" s="50" t="str">
        <x:v>JNJ</x:v>
      </x:c>
      <x:c r="C927" s="70" t="n">
        <x:v>46241.6577183912</x:v>
      </x:c>
      <x:c r="D927" s="50" t="str">
        <x:v>LONG_BUY_ZONE</x:v>
      </x:c>
      <x:c r="E927" s="50" t="str">
        <x:v>JNJ LONG BUY ZONE</x:v>
      </x:c>
      <x:c r="F927" s="50" t="str">
        <x:v>WATCH</x:v>
      </x:c>
      <x:c r="G927" s="50"/>
      <x:c r="H927" s="50" t="str">
        <x:v>LONG</x:v>
      </x:c>
      <x:c r="I927" s="71" t="n">
        <x:v>256.07</x:v>
      </x:c>
      <x:c r="J927" s="76" t="str">
        <x:v>SIP</x:v>
      </x:c>
    </x:row>
    <x:row r="928">
      <x:c r="A928" s="50" t="str">
        <x:v>019fdce8-f9f4-7bb3-8adb-46086984e987</x:v>
      </x:c>
      <x:c r="B928" s="50" t="str">
        <x:v>ROBO</x:v>
      </x:c>
      <x:c r="C928" s="70" t="n">
        <x:v>46241.65837615741</x:v>
      </x:c>
      <x:c r="D928" s="50" t="str">
        <x:v>SWING_SETUP</x:v>
      </x:c>
      <x:c r="E928" s="50" t="str">
        <x:v>ROBO SWING SETUP</x:v>
      </x:c>
      <x:c r="F928" s="50" t="str">
        <x:v>WATCH</x:v>
      </x:c>
      <x:c r="G928" s="50"/>
      <x:c r="H928" s="50" t="str">
        <x:v>LONG</x:v>
      </x:c>
      <x:c r="I928" s="71" t="n">
        <x:v>84.45</x:v>
      </x:c>
      <x:c r="J928" s="76" t="str">
        <x:v>SIP</x:v>
      </x:c>
    </x:row>
    <x:row r="929">
      <x:c r="A929" s="50" t="str">
        <x:v>019fdce9-e0d0-7202-8cb1-49e05a0b3e13</x:v>
      </x:c>
      <x:c r="B929" s="50" t="str">
        <x:v>RDW</x:v>
      </x:c>
      <x:c r="C929" s="70" t="n">
        <x:v>46241.65906017361</x:v>
      </x:c>
      <x:c r="D929" s="50" t="str">
        <x:v>ENTRY_CONFIRMED</x:v>
      </x:c>
      <x:c r="E929" s="50" t="str">
        <x:v>RDW ENTRY CONFIRMED</x:v>
      </x:c>
      <x:c r="F929" s="50" t="str">
        <x:v>ACTION</x:v>
      </x:c>
      <x:c r="G929" s="50" t="str">
        <x:v>L2_SWING_CONFIRMED</x:v>
      </x:c>
      <x:c r="H929" s="50" t="str">
        <x:v>LONG</x:v>
      </x:c>
      <x:c r="I929" s="71" t="n">
        <x:v>13.355</x:v>
      </x:c>
      <x:c r="J929" s="76" t="str">
        <x:v>SIP</x:v>
      </x:c>
    </x:row>
    <x:row r="930">
      <x:c r="A930" s="50" t="str">
        <x:v>019fdce9-e212-7c92-adb7-6350deeaf7de</x:v>
      </x:c>
      <x:c r="B930" s="50" t="str">
        <x:v>LMT</x:v>
      </x:c>
      <x:c r="C930" s="70" t="n">
        <x:v>46241.65906391204</x:v>
      </x:c>
      <x:c r="D930" s="50" t="str">
        <x:v>SWING_SETUP</x:v>
      </x:c>
      <x:c r="E930" s="50" t="str">
        <x:v>LMT SWING SETUP</x:v>
      </x:c>
      <x:c r="F930" s="50" t="str">
        <x:v>WATCH</x:v>
      </x:c>
      <x:c r="G930" s="50"/>
      <x:c r="H930" s="50" t="str">
        <x:v>LONG</x:v>
      </x:c>
      <x:c r="I930" s="71" t="n">
        <x:v>580.97</x:v>
      </x:c>
      <x:c r="J930" s="76" t="str">
        <x:v>SIP</x:v>
      </x:c>
    </x:row>
    <x:row r="931">
      <x:c r="A931" s="50" t="str">
        <x:v>019fdce9-e26f-7909-b6bf-bb610d528573</x:v>
      </x:c>
      <x:c r="B931" s="50" t="str">
        <x:v>APA</x:v>
      </x:c>
      <x:c r="C931" s="70" t="n">
        <x:v>46241.659064976855</x:v>
      </x:c>
      <x:c r="D931" s="50" t="str">
        <x:v>SWING_SETUP</x:v>
      </x:c>
      <x:c r="E931" s="50" t="str">
        <x:v>APA SWING SETUP</x:v>
      </x:c>
      <x:c r="F931" s="50" t="str">
        <x:v>WATCH</x:v>
      </x:c>
      <x:c r="G931" s="50"/>
      <x:c r="H931" s="50" t="str">
        <x:v>LONG</x:v>
      </x:c>
      <x:c r="I931" s="71" t="n">
        <x:v>37.275</x:v>
      </x:c>
      <x:c r="J931" s="76" t="str">
        <x:v>SIP</x:v>
      </x:c>
    </x:row>
    <x:row r="932">
      <x:c r="A932" s="50" t="str">
        <x:v>019fdce9-e27f-7936-ba62-3c906d0019e3</x:v>
      </x:c>
      <x:c r="B932" s="50" t="str">
        <x:v>WELL</x:v>
      </x:c>
      <x:c r="C932" s="70" t="n">
        <x:v>46241.65906517361</x:v>
      </x:c>
      <x:c r="D932" s="50" t="str">
        <x:v>SWING_SETUP</x:v>
      </x:c>
      <x:c r="E932" s="50" t="str">
        <x:v>WELL SWING SETUP</x:v>
      </x:c>
      <x:c r="F932" s="50" t="str">
        <x:v>WATCH</x:v>
      </x:c>
      <x:c r="G932" s="50"/>
      <x:c r="H932" s="50" t="str">
        <x:v>LONG</x:v>
      </x:c>
      <x:c r="I932" s="71" t="n">
        <x:v>237.02</x:v>
      </x:c>
      <x:c r="J932" s="76" t="str">
        <x:v>SIP</x:v>
      </x:c>
    </x:row>
    <x:row r="933">
      <x:c r="A933" s="50" t="str">
        <x:v>019fdce9-e28c-7d02-abe7-9d6695988f3c</x:v>
      </x:c>
      <x:c r="B933" s="50" t="str">
        <x:v>DASH</x:v>
      </x:c>
      <x:c r="C933" s="70" t="n">
        <x:v>46241.6590653125</x:v>
      </x:c>
      <x:c r="D933" s="50" t="str">
        <x:v>SWING_SETUP</x:v>
      </x:c>
      <x:c r="E933" s="50" t="str">
        <x:v>DASH SWING SETUP</x:v>
      </x:c>
      <x:c r="F933" s="50" t="str">
        <x:v>WATCH</x:v>
      </x:c>
      <x:c r="G933" s="50"/>
      <x:c r="H933" s="50" t="str">
        <x:v>LONG</x:v>
      </x:c>
      <x:c r="I933" s="71" t="n">
        <x:v>220.87</x:v>
      </x:c>
      <x:c r="J933" s="76" t="str">
        <x:v>SIP</x:v>
      </x:c>
    </x:row>
    <x:row r="934">
      <x:c r="A934" s="50" t="str">
        <x:v>019fdce9-e2a2-767e-8548-fe0452ace427</x:v>
      </x:c>
      <x:c r="B934" s="50" t="str">
        <x:v>ABNB</x:v>
      </x:c>
      <x:c r="C934" s="70" t="n">
        <x:v>46241.6590655787</x:v>
      </x:c>
      <x:c r="D934" s="50" t="str">
        <x:v>SWING_SETUP</x:v>
      </x:c>
      <x:c r="E934" s="50" t="str">
        <x:v>ABNB SWING SETUP</x:v>
      </x:c>
      <x:c r="F934" s="50" t="str">
        <x:v>WATCH</x:v>
      </x:c>
      <x:c r="G934" s="50"/>
      <x:c r="H934" s="50" t="str">
        <x:v>LONG</x:v>
      </x:c>
      <x:c r="I934" s="71" t="n">
        <x:v>174.9</x:v>
      </x:c>
      <x:c r="J934" s="76" t="str">
        <x:v>SIP</x:v>
      </x:c>
    </x:row>
    <x:row r="935">
      <x:c r="A935" s="50" t="str">
        <x:v>019fdce9-e2c9-763b-bbd5-02721f4a877f</x:v>
      </x:c>
      <x:c r="B935" s="50" t="str">
        <x:v>DLR</x:v>
      </x:c>
      <x:c r="C935" s="70" t="n">
        <x:v>46241.65906603009</x:v>
      </x:c>
      <x:c r="D935" s="50" t="str">
        <x:v>SWING_SETUP</x:v>
      </x:c>
      <x:c r="E935" s="50" t="str">
        <x:v>DLR SWING SETUP</x:v>
      </x:c>
      <x:c r="F935" s="50" t="str">
        <x:v>WATCH</x:v>
      </x:c>
      <x:c r="G935" s="50"/>
      <x:c r="H935" s="50" t="str">
        <x:v>LONG</x:v>
      </x:c>
      <x:c r="I935" s="71" t="n">
        <x:v>195.32</x:v>
      </x:c>
      <x:c r="J935" s="76" t="str">
        <x:v>SIP</x:v>
      </x:c>
    </x:row>
    <x:row r="936">
      <x:c r="A936" s="50" t="str">
        <x:v>019fdce9-e41b-7fb5-83bc-326b3cf2bb00</x:v>
      </x:c>
      <x:c r="B936" s="50" t="str">
        <x:v>ANET</x:v>
      </x:c>
      <x:c r="C936" s="70" t="n">
        <x:v>46241.65906994213</x:v>
      </x:c>
      <x:c r="D936" s="50" t="str">
        <x:v>SWING_SETUP</x:v>
      </x:c>
      <x:c r="E936" s="50" t="str">
        <x:v>ANET SWING SETUP</x:v>
      </x:c>
      <x:c r="F936" s="50" t="str">
        <x:v>WATCH</x:v>
      </x:c>
      <x:c r="G936" s="50"/>
      <x:c r="H936" s="50" t="str">
        <x:v>LONG</x:v>
      </x:c>
      <x:c r="I936" s="71" t="n">
        <x:v>191.25</x:v>
      </x:c>
      <x:c r="J936" s="76" t="str">
        <x:v>SIP</x:v>
      </x:c>
    </x:row>
    <x:row r="937">
      <x:c r="A937" s="50" t="str">
        <x:v>019fdce9-e43f-7963-b4a3-4390a8fb23e8</x:v>
      </x:c>
      <x:c r="B937" s="50" t="str">
        <x:v>NVDA</x:v>
      </x:c>
      <x:c r="C937" s="70" t="n">
        <x:v>46241.65907035879</x:v>
      </x:c>
      <x:c r="D937" s="50" t="str">
        <x:v>SWING_SETUP</x:v>
      </x:c>
      <x:c r="E937" s="50" t="str">
        <x:v>NVDA SWING SETUP</x:v>
      </x:c>
      <x:c r="F937" s="50" t="str">
        <x:v>WATCH</x:v>
      </x:c>
      <x:c r="G937" s="50"/>
      <x:c r="H937" s="50" t="str">
        <x:v>LONG</x:v>
      </x:c>
      <x:c r="I937" s="71" t="n">
        <x:v>224.35</x:v>
      </x:c>
      <x:c r="J937" s="76" t="str">
        <x:v>SIP</x:v>
      </x:c>
    </x:row>
    <x:row r="938">
      <x:c r="A938" s="50" t="str">
        <x:v>019fdce9-e4d7-768e-9242-ae0e0709b811</x:v>
      </x:c>
      <x:c r="B938" s="50" t="str">
        <x:v>MDLZ</x:v>
      </x:c>
      <x:c r="C938" s="70" t="n">
        <x:v>46241.659072118055</x:v>
      </x:c>
      <x:c r="D938" s="50" t="str">
        <x:v>SWING_SETUP</x:v>
      </x:c>
      <x:c r="E938" s="50" t="str">
        <x:v>MDLZ SWING SETUP</x:v>
      </x:c>
      <x:c r="F938" s="50" t="str">
        <x:v>WATCH</x:v>
      </x:c>
      <x:c r="G938" s="50"/>
      <x:c r="H938" s="50" t="str">
        <x:v>LONG</x:v>
      </x:c>
      <x:c r="I938" s="71" t="n">
        <x:v>62.755</x:v>
      </x:c>
      <x:c r="J938" s="76" t="str">
        <x:v>SIP</x:v>
      </x:c>
    </x:row>
    <x:row r="939">
      <x:c r="A939" s="50" t="str">
        <x:v>019fdce9-e4e7-77d4-8caf-7d995a861fdd</x:v>
      </x:c>
      <x:c r="B939" s="50" t="str">
        <x:v>VZ</x:v>
      </x:c>
      <x:c r="C939" s="70" t="n">
        <x:v>46241.65907230324</x:v>
      </x:c>
      <x:c r="D939" s="50" t="str">
        <x:v>SWING_SETUP</x:v>
      </x:c>
      <x:c r="E939" s="50" t="str">
        <x:v>VZ SWING SETUP</x:v>
      </x:c>
      <x:c r="F939" s="50" t="str">
        <x:v>WATCH</x:v>
      </x:c>
      <x:c r="G939" s="50"/>
      <x:c r="H939" s="50" t="str">
        <x:v>LONG</x:v>
      </x:c>
      <x:c r="I939" s="71" t="n">
        <x:v>46.785</x:v>
      </x:c>
      <x:c r="J939" s="76" t="str">
        <x:v>SIP</x:v>
      </x:c>
    </x:row>
    <x:row r="940">
      <x:c r="A940" s="50" t="str">
        <x:v>019fdce9-e501-79c8-9a7a-b9db50f16275</x:v>
      </x:c>
      <x:c r="B940" s="50" t="str">
        <x:v>UNP</x:v>
      </x:c>
      <x:c r="C940" s="70" t="n">
        <x:v>46241.65907260417</x:v>
      </x:c>
      <x:c r="D940" s="50" t="str">
        <x:v>SWING_SETUP</x:v>
      </x:c>
      <x:c r="E940" s="50" t="str">
        <x:v>UNP SWING SETUP</x:v>
      </x:c>
      <x:c r="F940" s="50" t="str">
        <x:v>WATCH</x:v>
      </x:c>
      <x:c r="G940" s="50"/>
      <x:c r="H940" s="50" t="str">
        <x:v>LONG</x:v>
      </x:c>
      <x:c r="I940" s="71" t="n">
        <x:v>295.14</x:v>
      </x:c>
      <x:c r="J940" s="76" t="str">
        <x:v>SIP</x:v>
      </x:c>
    </x:row>
    <x:row r="941">
      <x:c r="A941" s="50" t="str">
        <x:v>019fdce9-e50f-78ee-a9c7-b844d0413c88</x:v>
      </x:c>
      <x:c r="B941" s="50" t="str">
        <x:v>OXY</x:v>
      </x:c>
      <x:c r="C941" s="70" t="n">
        <x:v>46241.659072766204</x:v>
      </x:c>
      <x:c r="D941" s="50" t="str">
        <x:v>SWING_SETUP</x:v>
      </x:c>
      <x:c r="E941" s="50" t="str">
        <x:v>OXY SWING SETUP</x:v>
      </x:c>
      <x:c r="F941" s="50" t="str">
        <x:v>WATCH</x:v>
      </x:c>
      <x:c r="G941" s="50"/>
      <x:c r="H941" s="50" t="str">
        <x:v>LONG</x:v>
      </x:c>
      <x:c r="I941" s="71" t="n">
        <x:v>56.1432</x:v>
      </x:c>
      <x:c r="J941" s="76" t="str">
        <x:v>SIP</x:v>
      </x:c>
    </x:row>
    <x:row r="942">
      <x:c r="A942" s="50" t="str">
        <x:v>019fdce9-e531-732a-9ec4-6bea510e249f</x:v>
      </x:c>
      <x:c r="B942" s="50" t="str">
        <x:v>COP</x:v>
      </x:c>
      <x:c r="C942" s="70" t="n">
        <x:v>46241.659073159724</x:v>
      </x:c>
      <x:c r="D942" s="50" t="str">
        <x:v>SWING_SETUP</x:v>
      </x:c>
      <x:c r="E942" s="50" t="str">
        <x:v>COP SWING SETUP</x:v>
      </x:c>
      <x:c r="F942" s="50" t="str">
        <x:v>WATCH</x:v>
      </x:c>
      <x:c r="G942" s="50"/>
      <x:c r="H942" s="50" t="str">
        <x:v>LONG</x:v>
      </x:c>
      <x:c r="I942" s="71" t="n">
        <x:v>117.7</x:v>
      </x:c>
      <x:c r="J942" s="76" t="str">
        <x:v>SIP</x:v>
      </x:c>
    </x:row>
    <x:row r="943">
      <x:c r="A943" s="50" t="str">
        <x:v>019fdce9-e561-7215-b9a3-5be3f1271b83</x:v>
      </x:c>
      <x:c r="B943" s="50" t="str">
        <x:v>SBUX</x:v>
      </x:c>
      <x:c r="C943" s="70" t="n">
        <x:v>46241.65907371528</x:v>
      </x:c>
      <x:c r="D943" s="50" t="str">
        <x:v>SWING_SETUP</x:v>
      </x:c>
      <x:c r="E943" s="50" t="str">
        <x:v>SBUX SWING SETUP</x:v>
      </x:c>
      <x:c r="F943" s="50" t="str">
        <x:v>WATCH</x:v>
      </x:c>
      <x:c r="G943" s="50"/>
      <x:c r="H943" s="50" t="str">
        <x:v>LONG</x:v>
      </x:c>
      <x:c r="I943" s="71" t="n">
        <x:v>106.45</x:v>
      </x:c>
      <x:c r="J943" s="76" t="str">
        <x:v>SIP</x:v>
      </x:c>
    </x:row>
    <x:row r="944">
      <x:c r="A944" s="50" t="str">
        <x:v>019fdce9-e7bc-79da-b283-4e8f029ed75c</x:v>
      </x:c>
      <x:c r="B944" s="50" t="str">
        <x:v>BMY</x:v>
      </x:c>
      <x:c r="C944" s="70" t="n">
        <x:v>46241.659080694444</x:v>
      </x:c>
      <x:c r="D944" s="50" t="str">
        <x:v>SWING_SETUP</x:v>
      </x:c>
      <x:c r="E944" s="50" t="str">
        <x:v>BMY SWING SETUP</x:v>
      </x:c>
      <x:c r="F944" s="50" t="str">
        <x:v>WATCH</x:v>
      </x:c>
      <x:c r="G944" s="50"/>
      <x:c r="H944" s="50" t="str">
        <x:v>LONG</x:v>
      </x:c>
      <x:c r="I944" s="71" t="n">
        <x:v>64.16</x:v>
      </x:c>
      <x:c r="J944" s="76" t="str">
        <x:v>SIP</x:v>
      </x:c>
    </x:row>
    <x:row r="945">
      <x:c r="A945" s="50" t="str">
        <x:v>019fdce9-ea46-705b-8bd0-1b16d7e139bf</x:v>
      </x:c>
      <x:c r="B945" s="50" t="str">
        <x:v>SBUX</x:v>
      </x:c>
      <x:c r="C945" s="70" t="n">
        <x:v>46241.659088217595</x:v>
      </x:c>
      <x:c r="D945" s="50" t="str">
        <x:v>LONG_BUY_ZONE</x:v>
      </x:c>
      <x:c r="E945" s="50" t="str">
        <x:v>SBUX LONG BUY ZONE</x:v>
      </x:c>
      <x:c r="F945" s="50" t="str">
        <x:v>WATCH</x:v>
      </x:c>
      <x:c r="G945" s="50"/>
      <x:c r="H945" s="50" t="str">
        <x:v>LONG</x:v>
      </x:c>
      <x:c r="I945" s="71" t="n">
        <x:v>106.5</x:v>
      </x:c>
      <x:c r="J945" s="76" t="str">
        <x:v>SIP</x:v>
      </x:c>
    </x:row>
    <x:row r="946">
      <x:c r="A946" s="50" t="str">
        <x:v>019fdcea-c974-78c3-9571-5fe794fe0c8f</x:v>
      </x:c>
      <x:c r="B946" s="50" t="str">
        <x:v>PM</x:v>
      </x:c>
      <x:c r="C946" s="70" t="n">
        <x:v>46241.659749479164</x:v>
      </x:c>
      <x:c r="D946" s="50" t="str">
        <x:v>LONG_BUY_ZONE</x:v>
      </x:c>
      <x:c r="E946" s="50" t="str">
        <x:v>PM LONG BUY ZONE</x:v>
      </x:c>
      <x:c r="F946" s="50" t="str">
        <x:v>WATCH</x:v>
      </x:c>
      <x:c r="G946" s="50"/>
      <x:c r="H946" s="50" t="str">
        <x:v>LONG</x:v>
      </x:c>
      <x:c r="I946" s="71" t="n">
        <x:v>189.195</x:v>
      </x:c>
      <x:c r="J946" s="76" t="str">
        <x:v>SIP</x:v>
      </x:c>
    </x:row>
    <x:row r="947">
      <x:c r="A947" s="50" t="str">
        <x:v>019fdcea-cc32-79aa-9896-cf72168a648c</x:v>
      </x:c>
      <x:c r="B947" s="50" t="str">
        <x:v>BLK</x:v>
      </x:c>
      <x:c r="C947" s="70" t="n">
        <x:v>46241.659757615744</x:v>
      </x:c>
      <x:c r="D947" s="50" t="str">
        <x:v>SWING_SETUP</x:v>
      </x:c>
      <x:c r="E947" s="50" t="str">
        <x:v>BLK SWING SETUP</x:v>
      </x:c>
      <x:c r="F947" s="50" t="str">
        <x:v>WATCH</x:v>
      </x:c>
      <x:c r="G947" s="50"/>
      <x:c r="H947" s="50" t="str">
        <x:v>LONG</x:v>
      </x:c>
      <x:c r="I947" s="71" t="n">
        <x:v>1132.29</x:v>
      </x:c>
      <x:c r="J947" s="76" t="str">
        <x:v>SIP</x:v>
      </x:c>
    </x:row>
    <x:row r="948">
      <x:c r="A948" s="50" t="str">
        <x:v>019fdcea-cebe-750b-b104-21889abd84ea</x:v>
      </x:c>
      <x:c r="B948" s="50" t="str">
        <x:v>ECL</x:v>
      </x:c>
      <x:c r="C948" s="70" t="n">
        <x:v>46241.65976515046</x:v>
      </x:c>
      <x:c r="D948" s="50" t="str">
        <x:v>SWING_SETUP</x:v>
      </x:c>
      <x:c r="E948" s="50" t="str">
        <x:v>ECL SWING SETUP</x:v>
      </x:c>
      <x:c r="F948" s="50" t="str">
        <x:v>WATCH</x:v>
      </x:c>
      <x:c r="G948" s="50"/>
      <x:c r="H948" s="50" t="str">
        <x:v>LONG</x:v>
      </x:c>
      <x:c r="I948" s="71" t="n">
        <x:v>285.41</x:v>
      </x:c>
      <x:c r="J948" s="76" t="str">
        <x:v>SIP</x:v>
      </x:c>
    </x:row>
    <x:row r="949">
      <x:c r="A949" s="50" t="str">
        <x:v>019fdcea-ced7-75c6-840d-51031c02b40a</x:v>
      </x:c>
      <x:c r="B949" s="50" t="str">
        <x:v>PFE</x:v>
      </x:c>
      <x:c r="C949" s="70" t="n">
        <x:v>46241.659765439814</x:v>
      </x:c>
      <x:c r="D949" s="50" t="str">
        <x:v>SWING_SETUP</x:v>
      </x:c>
      <x:c r="E949" s="50" t="str">
        <x:v>PFE SWING SETUP</x:v>
      </x:c>
      <x:c r="F949" s="50" t="str">
        <x:v>WATCH</x:v>
      </x:c>
      <x:c r="G949" s="50"/>
      <x:c r="H949" s="50" t="str">
        <x:v>LONG</x:v>
      </x:c>
      <x:c r="I949" s="71" t="n">
        <x:v>26.3506</x:v>
      </x:c>
      <x:c r="J949" s="76" t="str">
        <x:v>SIP</x:v>
      </x:c>
    </x:row>
    <x:row r="950">
      <x:c r="A950" s="50" t="str">
        <x:v>019fdcea-cf09-7a7b-8229-85d1814aaa42</x:v>
      </x:c>
      <x:c r="B950" s="50" t="str">
        <x:v>JD</x:v>
      </x:c>
      <x:c r="C950" s="70" t="n">
        <x:v>46241.65976603009</x:v>
      </x:c>
      <x:c r="D950" s="50" t="str">
        <x:v>SWING_SETUP</x:v>
      </x:c>
      <x:c r="E950" s="50" t="str">
        <x:v>JD SWING SETUP</x:v>
      </x:c>
      <x:c r="F950" s="50" t="str">
        <x:v>WATCH</x:v>
      </x:c>
      <x:c r="G950" s="50"/>
      <x:c r="H950" s="50" t="str">
        <x:v>LONG</x:v>
      </x:c>
      <x:c r="I950" s="71" t="n">
        <x:v>32.93</x:v>
      </x:c>
      <x:c r="J950" s="76" t="str">
        <x:v>SIP</x:v>
      </x:c>
    </x:row>
    <x:row r="951">
      <x:c r="A951" s="50" t="str">
        <x:v>019fdcea-cf3f-7f33-9acc-f1ef19282a8e</x:v>
      </x:c>
      <x:c r="B951" s="50" t="str">
        <x:v>BAC</x:v>
      </x:c>
      <x:c r="C951" s="70" t="n">
        <x:v>46241.659766655095</x:v>
      </x:c>
      <x:c r="D951" s="50" t="str">
        <x:v>SWING_SETUP</x:v>
      </x:c>
      <x:c r="E951" s="50" t="str">
        <x:v>BAC SWING SETUP</x:v>
      </x:c>
      <x:c r="F951" s="50" t="str">
        <x:v>WATCH</x:v>
      </x:c>
      <x:c r="G951" s="50"/>
      <x:c r="H951" s="50" t="str">
        <x:v>LONG</x:v>
      </x:c>
      <x:c r="I951" s="71" t="n">
        <x:v>62.91</x:v>
      </x:c>
      <x:c r="J951" s="76" t="str">
        <x:v>SIP</x:v>
      </x:c>
    </x:row>
    <x:row r="952">
      <x:c r="A952" s="50" t="str">
        <x:v>019fdcea-cf59-77c0-81c6-bb3302ac0358</x:v>
      </x:c>
      <x:c r="B952" s="50" t="str">
        <x:v>JPM</x:v>
      </x:c>
      <x:c r="C952" s="70" t="n">
        <x:v>46241.65976695602</x:v>
      </x:c>
      <x:c r="D952" s="50" t="str">
        <x:v>SWING_SETUP</x:v>
      </x:c>
      <x:c r="E952" s="50" t="str">
        <x:v>JPM SWING SETUP</x:v>
      </x:c>
      <x:c r="F952" s="50" t="str">
        <x:v>WATCH</x:v>
      </x:c>
      <x:c r="G952" s="50"/>
      <x:c r="H952" s="50" t="str">
        <x:v>LONG</x:v>
      </x:c>
      <x:c r="I952" s="71" t="n">
        <x:v>356.495</x:v>
      </x:c>
      <x:c r="J952" s="76" t="str">
        <x:v>SIP</x:v>
      </x:c>
    </x:row>
    <x:row r="953">
      <x:c r="A953" s="50" t="str">
        <x:v>019fdcea-cf73-7a0a-be62-7a92e3db4311</x:v>
      </x:c>
      <x:c r="B953" s="50" t="str">
        <x:v>TMDX</x:v>
      </x:c>
      <x:c r="C953" s="70" t="n">
        <x:v>46241.65976725695</x:v>
      </x:c>
      <x:c r="D953" s="50" t="str">
        <x:v>SWING_SETUP</x:v>
      </x:c>
      <x:c r="E953" s="50" t="str">
        <x:v>TMDX SWING SETUP</x:v>
      </x:c>
      <x:c r="F953" s="50" t="str">
        <x:v>WATCH</x:v>
      </x:c>
      <x:c r="G953" s="50"/>
      <x:c r="H953" s="50" t="str">
        <x:v>LONG</x:v>
      </x:c>
      <x:c r="I953" s="71" t="n">
        <x:v>81.25</x:v>
      </x:c>
      <x:c r="J953" s="76" t="str">
        <x:v>SIP</x:v>
      </x:c>
    </x:row>
    <x:row r="954">
      <x:c r="A954" s="50" t="str">
        <x:v>019fdcea-cfc2-79bb-91de-3c12399c3417</x:v>
      </x:c>
      <x:c r="B954" s="50" t="str">
        <x:v>ETHA</x:v>
      </x:c>
      <x:c r="C954" s="70" t="n">
        <x:v>46241.659768171296</x:v>
      </x:c>
      <x:c r="D954" s="50" t="str">
        <x:v>SWING_SETUP</x:v>
      </x:c>
      <x:c r="E954" s="50" t="str">
        <x:v>ETHA SWING SETUP</x:v>
      </x:c>
      <x:c r="F954" s="50" t="str">
        <x:v>WATCH</x:v>
      </x:c>
      <x:c r="G954" s="50"/>
      <x:c r="H954" s="50" t="str">
        <x:v>LONG</x:v>
      </x:c>
      <x:c r="I954" s="71" t="n">
        <x:v>14.485</x:v>
      </x:c>
      <x:c r="J954" s="76" t="str">
        <x:v>SIP</x:v>
      </x:c>
    </x:row>
    <x:row r="955">
      <x:c r="A955" s="50" t="str">
        <x:v>019fdcea-d016-72b8-8505-d5fbd9737f5f</x:v>
      </x:c>
      <x:c r="B955" s="50" t="str">
        <x:v>BKNG</x:v>
      </x:c>
      <x:c r="C955" s="70" t="n">
        <x:v>46241.659769143516</x:v>
      </x:c>
      <x:c r="D955" s="50" t="str">
        <x:v>SWING_SETUP</x:v>
      </x:c>
      <x:c r="E955" s="50" t="str">
        <x:v>BKNG SWING SETUP</x:v>
      </x:c>
      <x:c r="F955" s="50" t="str">
        <x:v>WATCH</x:v>
      </x:c>
      <x:c r="G955" s="50"/>
      <x:c r="H955" s="50" t="str">
        <x:v>LONG</x:v>
      </x:c>
      <x:c r="I955" s="71" t="n">
        <x:v>214.63</x:v>
      </x:c>
      <x:c r="J955" s="76" t="str">
        <x:v>SIP</x:v>
      </x:c>
    </x:row>
    <x:row r="956">
      <x:c r="A956" s="50" t="str">
        <x:v>019fdcea-d094-7535-ab54-a5dcb56b0211</x:v>
      </x:c>
      <x:c r="B956" s="50" t="str">
        <x:v>KO</x:v>
      </x:c>
      <x:c r="C956" s="70" t="n">
        <x:v>46241.65977060185</x:v>
      </x:c>
      <x:c r="D956" s="50" t="str">
        <x:v>SWING_SETUP</x:v>
      </x:c>
      <x:c r="E956" s="50" t="str">
        <x:v>KO SWING SETUP</x:v>
      </x:c>
      <x:c r="F956" s="50" t="str">
        <x:v>WATCH</x:v>
      </x:c>
      <x:c r="G956" s="50"/>
      <x:c r="H956" s="50" t="str">
        <x:v>LONG</x:v>
      </x:c>
      <x:c r="I956" s="71" t="n">
        <x:v>86.85</x:v>
      </x:c>
      <x:c r="J956" s="76" t="str">
        <x:v>SIP</x:v>
      </x:c>
    </x:row>
    <x:row r="957">
      <x:c r="A957" s="50" t="str">
        <x:v>019fdcea-d0d2-7c4b-977d-888fa1756725</x:v>
      </x:c>
      <x:c r="B957" s="50" t="str">
        <x:v>CEG</x:v>
      </x:c>
      <x:c r="C957" s="70" t="n">
        <x:v>46241.65977131944</x:v>
      </x:c>
      <x:c r="D957" s="50" t="str">
        <x:v>SWING_SETUP</x:v>
      </x:c>
      <x:c r="E957" s="50" t="str">
        <x:v>CEG SWING SETUP</x:v>
      </x:c>
      <x:c r="F957" s="50" t="str">
        <x:v>WATCH</x:v>
      </x:c>
      <x:c r="G957" s="50"/>
      <x:c r="H957" s="50" t="str">
        <x:v>LONG</x:v>
      </x:c>
      <x:c r="I957" s="71" t="n">
        <x:v>270.1325</x:v>
      </x:c>
      <x:c r="J957" s="76" t="str">
        <x:v>SIP</x:v>
      </x:c>
    </x:row>
    <x:row r="958">
      <x:c r="A958" s="50" t="str">
        <x:v>019fdcea-d0fa-7909-a03c-86b8ccc51d16</x:v>
      </x:c>
      <x:c r="B958" s="50" t="str">
        <x:v>BBWI</x:v>
      </x:c>
      <x:c r="C958" s="70" t="n">
        <x:v>46241.659771782404</x:v>
      </x:c>
      <x:c r="D958" s="50" t="str">
        <x:v>ENTRY_WATCH</x:v>
      </x:c>
      <x:c r="E958" s="50" t="str">
        <x:v>BBWI ENTRY IN_ZONE EARLY WATCH</x:v>
      </x:c>
      <x:c r="F958" s="50" t="str">
        <x:v>WATCH</x:v>
      </x:c>
      <x:c r="G958" s="50"/>
      <x:c r="H958" s="50" t="str">
        <x:v>LONG</x:v>
      </x:c>
      <x:c r="I958" s="71" t="n">
        <x:v>20.29</x:v>
      </x:c>
      <x:c r="J958" s="76" t="str">
        <x:v>SIP</x:v>
      </x:c>
    </x:row>
    <x:row r="959">
      <x:c r="A959" s="50" t="str">
        <x:v>019fdcea-d15b-7e61-9894-9bb0189ab588</x:v>
      </x:c>
      <x:c r="B959" s="50" t="str">
        <x:v>SHW</x:v>
      </x:c>
      <x:c r="C959" s="70" t="n">
        <x:v>46241.65977290509</x:v>
      </x:c>
      <x:c r="D959" s="50" t="str">
        <x:v>SWING_SETUP</x:v>
      </x:c>
      <x:c r="E959" s="50" t="str">
        <x:v>SHW SWING SETUP</x:v>
      </x:c>
      <x:c r="F959" s="50" t="str">
        <x:v>WATCH</x:v>
      </x:c>
      <x:c r="G959" s="50"/>
      <x:c r="H959" s="50" t="str">
        <x:v>LONG</x:v>
      </x:c>
      <x:c r="I959" s="71" t="n">
        <x:v>368.65</x:v>
      </x:c>
      <x:c r="J959" s="76" t="str">
        <x:v>SIP</x:v>
      </x:c>
    </x:row>
    <x:row r="960">
      <x:c r="A960" s="50" t="str">
        <x:v>019fdcea-d69f-7fd9-a111-cfa4ffacdbb8</x:v>
      </x:c>
      <x:c r="B960" s="50" t="str">
        <x:v>ABBV</x:v>
      </x:c>
      <x:c r="C960" s="70" t="n">
        <x:v>46241.65978850694</x:v>
      </x:c>
      <x:c r="D960" s="50" t="str">
        <x:v>LONG_BUY_ZONE</x:v>
      </x:c>
      <x:c r="E960" s="50" t="str">
        <x:v>ABBV LONG BUY ZONE</x:v>
      </x:c>
      <x:c r="F960" s="50" t="str">
        <x:v>WATCH</x:v>
      </x:c>
      <x:c r="G960" s="50"/>
      <x:c r="H960" s="50" t="str">
        <x:v>LONG</x:v>
      </x:c>
      <x:c r="I960" s="71" t="n">
        <x:v>244.26</x:v>
      </x:c>
      <x:c r="J960" s="76" t="str">
        <x:v>SIP</x:v>
      </x:c>
    </x:row>
    <x:row r="961">
      <x:c r="A961" s="50" t="str">
        <x:v>019fdceb-b1da-74c7-ba68-bf1261e0c22b</x:v>
      </x:c>
      <x:c r="B961" s="50" t="str">
        <x:v>HRL</x:v>
      </x:c>
      <x:c r="C961" s="70" t="n">
        <x:v>46241.6604380787</x:v>
      </x:c>
      <x:c r="D961" s="50" t="str">
        <x:v>LONG_BUY_ZONE</x:v>
      </x:c>
      <x:c r="E961" s="50" t="str">
        <x:v>HRL LONG BUY ZONE</x:v>
      </x:c>
      <x:c r="F961" s="50" t="str">
        <x:v>WATCH</x:v>
      </x:c>
      <x:c r="G961" s="50"/>
      <x:c r="H961" s="50" t="str">
        <x:v>LONG</x:v>
      </x:c>
      <x:c r="I961" s="71" t="n">
        <x:v>25.185</x:v>
      </x:c>
      <x:c r="J961" s="76" t="str">
        <x:v>SIP</x:v>
      </x:c>
    </x:row>
    <x:row r="962">
      <x:c r="A962" s="50" t="str">
        <x:v>019fdceb-b5be-7eed-b941-da2125ee42d5</x:v>
      </x:c>
      <x:c r="B962" s="50" t="str">
        <x:v>BBWI</x:v>
      </x:c>
      <x:c r="C962" s="70" t="n">
        <x:v>46241.66044959491</x:v>
      </x:c>
      <x:c r="D962" s="50" t="str">
        <x:v>ENTRY_WATCH</x:v>
      </x:c>
      <x:c r="E962" s="50" t="str">
        <x:v>BBWI ENTRY BREAKAWAY WATCH</x:v>
      </x:c>
      <x:c r="F962" s="50" t="str">
        <x:v>WATCH</x:v>
      </x:c>
      <x:c r="G962" s="50"/>
      <x:c r="H962" s="50" t="str">
        <x:v>LONG</x:v>
      </x:c>
      <x:c r="I962" s="71" t="n">
        <x:v>20.3201</x:v>
      </x:c>
      <x:c r="J962" s="76" t="str">
        <x:v>SIP</x:v>
      </x:c>
    </x:row>
    <x:row r="963">
      <x:c r="A963" s="50" t="str">
        <x:v>019fdceb-bb68-7339-9054-13fd7a268bad</x:v>
      </x:c>
      <x:c r="B963" s="50" t="str">
        <x:v>PM</x:v>
      </x:c>
      <x:c r="C963" s="70" t="n">
        <x:v>46241.66046637732</x:v>
      </x:c>
      <x:c r="D963" s="50" t="str">
        <x:v>SWING_SETUP</x:v>
      </x:c>
      <x:c r="E963" s="50" t="str">
        <x:v>PM SWING SETUP</x:v>
      </x:c>
      <x:c r="F963" s="50" t="str">
        <x:v>WATCH</x:v>
      </x:c>
      <x:c r="G963" s="50"/>
      <x:c r="H963" s="50" t="str">
        <x:v>LONG</x:v>
      </x:c>
      <x:c r="I963" s="71" t="n">
        <x:v>189.625</x:v>
      </x:c>
      <x:c r="J963" s="76" t="str">
        <x:v>SIP</x:v>
      </x:c>
    </x:row>
    <x:row r="964">
      <x:c r="A964" s="50" t="str">
        <x:v>019fdceb-bc11-7730-94b8-87d240fe8dda</x:v>
      </x:c>
      <x:c r="B964" s="50" t="str">
        <x:v>MMM</x:v>
      </x:c>
      <x:c r="C964" s="70" t="n">
        <x:v>46241.660468333335</x:v>
      </x:c>
      <x:c r="D964" s="50" t="str">
        <x:v>SWING_SETUP</x:v>
      </x:c>
      <x:c r="E964" s="50" t="str">
        <x:v>MMM SWING SETUP</x:v>
      </x:c>
      <x:c r="F964" s="50" t="str">
        <x:v>WATCH</x:v>
      </x:c>
      <x:c r="G964" s="50"/>
      <x:c r="H964" s="50" t="str">
        <x:v>LONG</x:v>
      </x:c>
      <x:c r="I964" s="71" t="n">
        <x:v>182.5129</x:v>
      </x:c>
      <x:c r="J964" s="76" t="str">
        <x:v>SIP</x:v>
      </x:c>
    </x:row>
    <x:row r="965">
      <x:c r="A965" s="50" t="str">
        <x:v>019fdceb-bc1e-71ae-aa94-12bac41b20d1</x:v>
      </x:c>
      <x:c r="B965" s="50" t="str">
        <x:v>ABT</x:v>
      </x:c>
      <x:c r="C965" s="70" t="n">
        <x:v>46241.66046849537</x:v>
      </x:c>
      <x:c r="D965" s="50" t="str">
        <x:v>SWING_SETUP</x:v>
      </x:c>
      <x:c r="E965" s="50" t="str">
        <x:v>ABT SWING SETUP</x:v>
      </x:c>
      <x:c r="F965" s="50" t="str">
        <x:v>WATCH</x:v>
      </x:c>
      <x:c r="G965" s="50"/>
      <x:c r="H965" s="50" t="str">
        <x:v>LONG</x:v>
      </x:c>
      <x:c r="I965" s="71" t="n">
        <x:v>107.015</x:v>
      </x:c>
      <x:c r="J965" s="76" t="str">
        <x:v>SIP</x:v>
      </x:c>
    </x:row>
    <x:row r="966">
      <x:c r="A966" s="50" t="str">
        <x:v>019fdceb-c3ac-7851-b7b7-5041bf744e93</x:v>
      </x:c>
      <x:c r="B966" s="50" t="str">
        <x:v>RCL</x:v>
      </x:c>
      <x:c r="C966" s="70" t="n">
        <x:v>46241.66049087963</x:v>
      </x:c>
      <x:c r="D966" s="50" t="str">
        <x:v>LONG_BUY_ZONE</x:v>
      </x:c>
      <x:c r="E966" s="50" t="str">
        <x:v>RCL LONG BUY ZONE</x:v>
      </x:c>
      <x:c r="F966" s="50" t="str">
        <x:v>WATCH</x:v>
      </x:c>
      <x:c r="G966" s="50"/>
      <x:c r="H966" s="50" t="str">
        <x:v>LONG</x:v>
      </x:c>
      <x:c r="I966" s="71" t="n">
        <x:v>321.04</x:v>
      </x:c>
      <x:c r="J966" s="76" t="str">
        <x:v>SIP</x:v>
      </x:c>
    </x:row>
    <x:row r="967">
      <x:c r="A967" s="50" t="str">
        <x:v>019fdceb-c5d5-737e-87b1-c2147cb64c87</x:v>
      </x:c>
      <x:c r="B967" s="50" t="str">
        <x:v>ECL</x:v>
      </x:c>
      <x:c r="C967" s="70" t="n">
        <x:v>46241.660497268516</x:v>
      </x:c>
      <x:c r="D967" s="50" t="str">
        <x:v>LONG_BUY_ZONE</x:v>
      </x:c>
      <x:c r="E967" s="50" t="str">
        <x:v>ECL LONG BUY ZONE</x:v>
      </x:c>
      <x:c r="F967" s="50" t="str">
        <x:v>WATCH</x:v>
      </x:c>
      <x:c r="G967" s="50"/>
      <x:c r="H967" s="50" t="str">
        <x:v>LONG</x:v>
      </x:c>
      <x:c r="I967" s="71" t="n">
        <x:v>285.58</x:v>
      </x:c>
      <x:c r="J967" s="76" t="str">
        <x:v>SIP</x:v>
      </x:c>
    </x:row>
    <x:row r="968">
      <x:c r="A968" s="50" t="str">
        <x:v>019fdcec-a203-7d20-a0aa-17d6df0551ee</x:v>
      </x:c>
      <x:c r="B968" s="50" t="str">
        <x:v>GD</x:v>
      </x:c>
      <x:c r="C968" s="70" t="n">
        <x:v>46241.66114965278</x:v>
      </x:c>
      <x:c r="D968" s="50" t="str">
        <x:v>SWING_SETUP</x:v>
      </x:c>
      <x:c r="E968" s="50" t="str">
        <x:v>GD SWING SETUP</x:v>
      </x:c>
      <x:c r="F968" s="50" t="str">
        <x:v>WATCH</x:v>
      </x:c>
      <x:c r="G968" s="50"/>
      <x:c r="H968" s="50" t="str">
        <x:v>LONG</x:v>
      </x:c>
      <x:c r="I968" s="71" t="n">
        <x:v>386.95</x:v>
      </x:c>
      <x:c r="J968" s="76" t="str">
        <x:v>SIP</x:v>
      </x:c>
    </x:row>
    <x:row r="969">
      <x:c r="A969" s="50" t="str">
        <x:v>019fdcec-a39d-7d75-bf89-bf2f216049e7</x:v>
      </x:c>
      <x:c r="B969" s="50" t="str">
        <x:v>RCL</x:v>
      </x:c>
      <x:c r="C969" s="70" t="n">
        <x:v>46241.661154409725</x:v>
      </x:c>
      <x:c r="D969" s="50" t="str">
        <x:v>SWING_SETUP</x:v>
      </x:c>
      <x:c r="E969" s="50" t="str">
        <x:v>RCL SWING SETUP</x:v>
      </x:c>
      <x:c r="F969" s="50" t="str">
        <x:v>WATCH</x:v>
      </x:c>
      <x:c r="G969" s="50"/>
      <x:c r="H969" s="50" t="str">
        <x:v>LONG</x:v>
      </x:c>
      <x:c r="I969" s="71" t="n">
        <x:v>320.85</x:v>
      </x:c>
      <x:c r="J969" s="76" t="str">
        <x:v>SIP</x:v>
      </x:c>
    </x:row>
    <x:row r="970">
      <x:c r="A970" s="50" t="str">
        <x:v>019fdcec-a93a-72f8-8246-c78b034059ce</x:v>
      </x:c>
      <x:c r="B970" s="50" t="str">
        <x:v>APD</x:v>
      </x:c>
      <x:c r="C970" s="70" t="n">
        <x:v>46241.66117104167</x:v>
      </x:c>
      <x:c r="D970" s="50" t="str">
        <x:v>LONG_BUY_ZONE</x:v>
      </x:c>
      <x:c r="E970" s="50" t="str">
        <x:v>APD LONG BUY ZONE</x:v>
      </x:c>
      <x:c r="F970" s="50" t="str">
        <x:v>WATCH</x:v>
      </x:c>
      <x:c r="G970" s="50"/>
      <x:c r="H970" s="50" t="str">
        <x:v>LONG</x:v>
      </x:c>
      <x:c r="I970" s="71" t="n">
        <x:v>300.455</x:v>
      </x:c>
      <x:c r="J970" s="76" t="str">
        <x:v>SIP</x:v>
      </x:c>
    </x:row>
    <x:row r="971">
      <x:c r="A971" s="50" t="str">
        <x:v>019fdced-8877-74ce-a714-1fe24ec560e6</x:v>
      </x:c>
      <x:c r="B971" s="50" t="str">
        <x:v>GS</x:v>
      </x:c>
      <x:c r="C971" s="70" t="n">
        <x:v>46241.661832488426</x:v>
      </x:c>
      <x:c r="D971" s="50" t="str">
        <x:v>LONG_BUY_ZONE</x:v>
      </x:c>
      <x:c r="E971" s="50" t="str">
        <x:v>GS LONG BUY ZONE</x:v>
      </x:c>
      <x:c r="F971" s="50" t="str">
        <x:v>WATCH</x:v>
      </x:c>
      <x:c r="G971" s="50"/>
      <x:c r="H971" s="50" t="str">
        <x:v>LONG</x:v>
      </x:c>
      <x:c r="I971" s="71" t="n">
        <x:v>1039.58</x:v>
      </x:c>
      <x:c r="J971" s="76" t="str">
        <x:v>SIP</x:v>
      </x:c>
    </x:row>
    <x:row r="972">
      <x:c r="A972" s="50" t="str">
        <x:v>019fdcee-7697-79f9-956b-bc8045244f40</x:v>
      </x:c>
      <x:c r="B972" s="50" t="str">
        <x:v>PYPL</x:v>
      </x:c>
      <x:c r="C972" s="70" t="n">
        <x:v>46241.66253804398</x:v>
      </x:c>
      <x:c r="D972" s="50" t="str">
        <x:v>SWING_SETUP</x:v>
      </x:c>
      <x:c r="E972" s="50" t="str">
        <x:v>PYPL SWING SETUP</x:v>
      </x:c>
      <x:c r="F972" s="50" t="str">
        <x:v>WATCH</x:v>
      </x:c>
      <x:c r="G972" s="50"/>
      <x:c r="H972" s="50" t="str">
        <x:v>LONG</x:v>
      </x:c>
      <x:c r="I972" s="71" t="n">
        <x:v>59.37</x:v>
      </x:c>
      <x:c r="J972" s="76" t="str">
        <x:v>SIP</x:v>
      </x:c>
    </x:row>
    <x:row r="973">
      <x:c r="A973" s="50" t="str">
        <x:v>019fdcef-606e-78bd-9c73-2f54bd825f43</x:v>
      </x:c>
      <x:c r="B973" s="50" t="str">
        <x:v>VZ</x:v>
      </x:c>
      <x:c r="C973" s="70" t="n">
        <x:v>46241.66323090278</x:v>
      </x:c>
      <x:c r="D973" s="50" t="str">
        <x:v>LONG_BUY_ZONE</x:v>
      </x:c>
      <x:c r="E973" s="50" t="str">
        <x:v>VZ LONG BUY ZONE</x:v>
      </x:c>
      <x:c r="F973" s="50" t="str">
        <x:v>WATCH</x:v>
      </x:c>
      <x:c r="G973" s="50"/>
      <x:c r="H973" s="50" t="str">
        <x:v>LONG</x:v>
      </x:c>
      <x:c r="I973" s="71" t="n">
        <x:v>46.825</x:v>
      </x:c>
      <x:c r="J973" s="76" t="str">
        <x:v>SIP</x:v>
      </x:c>
    </x:row>
    <x:row r="974">
      <x:c r="A974" s="50" t="str">
        <x:v>019fdcef-63e3-7dcb-8f71-3baa0f20b28f</x:v>
      </x:c>
      <x:c r="B974" s="50" t="str">
        <x:v>SMR</x:v>
      </x:c>
      <x:c r="C974" s="70" t="n">
        <x:v>46241.663241145834</x:v>
      </x:c>
      <x:c r="D974" s="50" t="str">
        <x:v>ENTRY_CONFIRMED</x:v>
      </x:c>
      <x:c r="E974" s="50" t="str">
        <x:v>SMR ENTRY CONFIRMED</x:v>
      </x:c>
      <x:c r="F974" s="50" t="str">
        <x:v>ACTION</x:v>
      </x:c>
      <x:c r="G974" s="50" t="str">
        <x:v>L2_SWING_CONFIRMED</x:v>
      </x:c>
      <x:c r="H974" s="50" t="str">
        <x:v>LONG</x:v>
      </x:c>
      <x:c r="I974" s="71" t="n">
        <x:v>9.955</x:v>
      </x:c>
      <x:c r="J974" s="76" t="str">
        <x:v>SIP</x:v>
      </x:c>
    </x:row>
    <x:row r="975">
      <x:c r="A975" s="50" t="str">
        <x:v>019fdcf0-4c57-755a-9af7-6fd8875bdebb</x:v>
      </x:c>
      <x:c r="B975" s="50" t="str">
        <x:v>BBWI</x:v>
      </x:c>
      <x:c r="C975" s="70" t="n">
        <x:v>46241.66392989583</x:v>
      </x:c>
      <x:c r="D975" s="50" t="str">
        <x:v>ENTRY_WATCH</x:v>
      </x:c>
      <x:c r="E975" s="50" t="str">
        <x:v>BBWI ENTRY IN_ZONE EARLY WATCH</x:v>
      </x:c>
      <x:c r="F975" s="50" t="str">
        <x:v>WATCH</x:v>
      </x:c>
      <x:c r="G975" s="50"/>
      <x:c r="H975" s="50" t="str">
        <x:v>LONG</x:v>
      </x:c>
      <x:c r="I975" s="71" t="n">
        <x:v>20.265</x:v>
      </x:c>
      <x:c r="J975" s="76" t="str">
        <x:v>SIP</x:v>
      </x:c>
    </x:row>
    <x:row r="976">
      <x:c r="A976" s="50" t="str">
        <x:v>019fdcf0-4f06-7cf6-a290-2c40775c4f8a</x:v>
      </x:c>
      <x:c r="B976" s="50" t="str">
        <x:v>CRM</x:v>
      </x:c>
      <x:c r="C976" s="70" t="n">
        <x:v>46241.663937847225</x:v>
      </x:c>
      <x:c r="D976" s="50" t="str">
        <x:v>SWING_SETUP</x:v>
      </x:c>
      <x:c r="E976" s="50" t="str">
        <x:v>CRM SWING SETUP</x:v>
      </x:c>
      <x:c r="F976" s="50" t="str">
        <x:v>WATCH</x:v>
      </x:c>
      <x:c r="G976" s="50"/>
      <x:c r="H976" s="50" t="str">
        <x:v>LONG</x:v>
      </x:c>
      <x:c r="I976" s="71" t="n">
        <x:v>191.29</x:v>
      </x:c>
      <x:c r="J976" s="76" t="str">
        <x:v>SIP</x:v>
      </x:c>
    </x:row>
    <x:row r="977">
      <x:c r="A977" s="50" t="str">
        <x:v>019fdcf0-55d7-74b5-90df-0c9d0d62b958</x:v>
      </x:c>
      <x:c r="B977" s="50" t="str">
        <x:v>SOUN</x:v>
      </x:c>
      <x:c r="C977" s="70" t="n">
        <x:v>46241.66395804398</x:v>
      </x:c>
      <x:c r="D977" s="50" t="str">
        <x:v>ENTRY_WATCH</x:v>
      </x:c>
      <x:c r="E977" s="50" t="str">
        <x:v>SOUN ENTRY ARMED</x:v>
      </x:c>
      <x:c r="F977" s="50" t="str">
        <x:v>INFO</x:v>
      </x:c>
      <x:c r="G977" s="50"/>
      <x:c r="H977" s="50" t="str">
        <x:v>LONG</x:v>
      </x:c>
      <x:c r="I977" s="71" t="n">
        <x:v>7.835</x:v>
      </x:c>
      <x:c r="J977" s="76" t="str">
        <x:v>SIP</x:v>
      </x:c>
    </x:row>
    <x:row r="978">
      <x:c r="A978" s="50" t="str">
        <x:v>019fdcf0-56b3-74fb-bc90-e09147b2a4db</x:v>
      </x:c>
      <x:c r="B978" s="50" t="str">
        <x:v>SOUN</x:v>
      </x:c>
      <x:c r="C978" s="70" t="n">
        <x:v>46241.663960590275</x:v>
      </x:c>
      <x:c r="D978" s="50" t="str">
        <x:v>ENTRY_OPPORTUNITY_PROGRESS</x:v>
      </x:c>
      <x:c r="E978" s="50" t="str">
        <x:v>SOUN ENTRY ARMED [##--------]</x:v>
      </x:c>
      <x:c r="F978" s="50" t="str">
        <x:v>INFO</x:v>
      </x:c>
      <x:c r="G978" s="50"/>
      <x:c r="H978" s="50" t="str">
        <x:v>LONG</x:v>
      </x:c>
      <x:c r="I978" s="71" t="n">
        <x:v>7.835</x:v>
      </x:c>
      <x:c r="J978" s="76" t="str">
        <x:v>SIP</x:v>
      </x:c>
    </x:row>
    <x:row r="979">
      <x:c r="A979" s="50" t="str">
        <x:v>019fdcf1-3dcd-794b-9740-74aa4cfe9260</x:v>
      </x:c>
      <x:c r="B979" s="50" t="str">
        <x:v>OXY</x:v>
      </x:c>
      <x:c r="C979" s="70" t="n">
        <x:v>46241.66464533565</x:v>
      </x:c>
      <x:c r="D979" s="50" t="str">
        <x:v>LONG_BUY_ZONE</x:v>
      </x:c>
      <x:c r="E979" s="50" t="str">
        <x:v>OXY LONG BUY ZONE</x:v>
      </x:c>
      <x:c r="F979" s="50" t="str">
        <x:v>WATCH</x:v>
      </x:c>
      <x:c r="G979" s="50"/>
      <x:c r="H979" s="50" t="str">
        <x:v>LONG</x:v>
      </x:c>
      <x:c r="I979" s="71" t="n">
        <x:v>56.3</x:v>
      </x:c>
      <x:c r="J979" s="76" t="str">
        <x:v>SIP</x:v>
      </x:c>
    </x:row>
    <x:row r="980">
      <x:c r="A980" s="50" t="str">
        <x:v>019fdcf1-4130-7054-8dc7-fd48dea0e3d2</x:v>
      </x:c>
      <x:c r="B980" s="50" t="str">
        <x:v>DE</x:v>
      </x:c>
      <x:c r="C980" s="70" t="n">
        <x:v>46241.66465537037</x:v>
      </x:c>
      <x:c r="D980" s="50" t="str">
        <x:v>LONG_BUY_ZONE</x:v>
      </x:c>
      <x:c r="E980" s="50" t="str">
        <x:v>DE LONG BUY ZONE</x:v>
      </x:c>
      <x:c r="F980" s="50" t="str">
        <x:v>WATCH</x:v>
      </x:c>
      <x:c r="G980" s="50"/>
      <x:c r="H980" s="50" t="str">
        <x:v>LONG</x:v>
      </x:c>
      <x:c r="I980" s="71" t="n">
        <x:v>622.11</x:v>
      </x:c>
      <x:c r="J980" s="76" t="str">
        <x:v>SIP</x:v>
      </x:c>
    </x:row>
    <x:row r="981">
      <x:c r="A981" s="50" t="str">
        <x:v>019fdcf1-425e-7cac-897c-47b09083c582</x:v>
      </x:c>
      <x:c r="B981" s="50" t="str">
        <x:v>KDP</x:v>
      </x:c>
      <x:c r="C981" s="70" t="n">
        <x:v>46241.66465886574</x:v>
      </x:c>
      <x:c r="D981" s="50" t="str">
        <x:v>LONG_BUY_ZONE</x:v>
      </x:c>
      <x:c r="E981" s="50" t="str">
        <x:v>KDP LONG BUY ZONE</x:v>
      </x:c>
      <x:c r="F981" s="50" t="str">
        <x:v>WATCH</x:v>
      </x:c>
      <x:c r="G981" s="50"/>
      <x:c r="H981" s="50" t="str">
        <x:v>LONG</x:v>
      </x:c>
      <x:c r="I981" s="71" t="n">
        <x:v>29.98</x:v>
      </x:c>
      <x:c r="J981" s="76" t="str">
        <x:v>SIP</x:v>
      </x:c>
    </x:row>
    <x:row r="982">
      <x:c r="A982" s="50" t="str">
        <x:v>019fdcf2-1c34-74d9-8101-e8745c6ee16c</x:v>
      </x:c>
      <x:c r="B982" s="50" t="str">
        <x:v>SOUN</x:v>
      </x:c>
      <x:c r="C982" s="70" t="n">
        <x:v>46241.665304305556</x:v>
      </x:c>
      <x:c r="D982" s="50" t="str">
        <x:v>ENTRY_WATCH</x:v>
      </x:c>
      <x:c r="E982" s="50" t="str">
        <x:v>SOUN ENTRY INVALIDATED</x:v>
      </x:c>
      <x:c r="F982" s="50" t="str">
        <x:v>INFO</x:v>
      </x:c>
      <x:c r="G982" s="50"/>
      <x:c r="H982" s="50" t="str">
        <x:v>LONG</x:v>
      </x:c>
      <x:c r="I982" s="71" t="n">
        <x:v>7.825</x:v>
      </x:c>
      <x:c r="J982" s="76" t="str">
        <x:v>SIP</x:v>
      </x:c>
    </x:row>
    <x:row r="983">
      <x:c r="A983" s="50" t="str">
        <x:v>019fdcf2-1cfa-74cc-8871-3a6b32b332da</x:v>
      </x:c>
      <x:c r="B983" s="50" t="str">
        <x:v>SOUN</x:v>
      </x:c>
      <x:c r="C983" s="70" t="n">
        <x:v>46241.66530659722</x:v>
      </x:c>
      <x:c r="D983" s="50" t="str">
        <x:v>ENTRY_OPPORTUNITY_CLOSED</x:v>
      </x:c>
      <x:c r="E983" s="50" t="str">
        <x:v>SOUN ENTRY CLOSED - ORIGINAL THESIS INVALIDATED</x:v>
      </x:c>
      <x:c r="F983" s="50" t="str">
        <x:v>CRITICAL</x:v>
      </x:c>
      <x:c r="G983" s="50"/>
      <x:c r="H983" s="50" t="str">
        <x:v>NEUTRAL</x:v>
      </x:c>
      <x:c r="I983" s="71" t="n">
        <x:v>7.825</x:v>
      </x:c>
      <x:c r="J983" s="76" t="str">
        <x:v>SIP</x:v>
      </x:c>
    </x:row>
    <x:row r="984">
      <x:c r="A984" s="50" t="str">
        <x:v>019fdcf4-d96b-710d-879f-70abc5726d9e</x:v>
      </x:c>
      <x:c r="B984" s="50" t="str">
        <x:v>MA</x:v>
      </x:c>
      <x:c r="C984" s="70" t="n">
        <x:v>46241.66738197917</x:v>
      </x:c>
      <x:c r="D984" s="50" t="str">
        <x:v>SWING_SETUP</x:v>
      </x:c>
      <x:c r="E984" s="50" t="str">
        <x:v>MA SWING SETUP</x:v>
      </x:c>
      <x:c r="F984" s="50" t="str">
        <x:v>WATCH</x:v>
      </x:c>
      <x:c r="G984" s="50"/>
      <x:c r="H984" s="50" t="str">
        <x:v>LONG</x:v>
      </x:c>
      <x:c r="I984" s="71" t="n">
        <x:v>564.76</x:v>
      </x:c>
      <x:c r="J984" s="76" t="str">
        <x:v>SIP</x:v>
      </x:c>
    </x:row>
    <x:row r="985">
      <x:c r="A985" s="50" t="str">
        <x:v>019fdcf4-da3c-79a9-847d-05331758c248</x:v>
      </x:c>
      <x:c r="B985" s="50" t="str">
        <x:v>MRK</x:v>
      </x:c>
      <x:c r="C985" s="70" t="n">
        <x:v>46241.66738439815</x:v>
      </x:c>
      <x:c r="D985" s="50" t="str">
        <x:v>SWING_SETUP</x:v>
      </x:c>
      <x:c r="E985" s="50" t="str">
        <x:v>MRK SWING SETUP</x:v>
      </x:c>
      <x:c r="F985" s="50" t="str">
        <x:v>WATCH</x:v>
      </x:c>
      <x:c r="G985" s="50"/>
      <x:c r="H985" s="50" t="str">
        <x:v>LONG</x:v>
      </x:c>
      <x:c r="I985" s="71" t="n">
        <x:v>127.955</x:v>
      </x:c>
      <x:c r="J985" s="76" t="str">
        <x:v>SIP</x:v>
      </x:c>
    </x:row>
    <x:row r="986">
      <x:c r="A986" s="50" t="str">
        <x:v>019fdcf4-dc2e-744a-a74b-c32558c45267</x:v>
      </x:c>
      <x:c r="B986" s="50" t="str">
        <x:v>HPE</x:v>
      </x:c>
      <x:c r="C986" s="70" t="n">
        <x:v>46241.66739016204</x:v>
      </x:c>
      <x:c r="D986" s="50" t="str">
        <x:v>SWING_SETUP</x:v>
      </x:c>
      <x:c r="E986" s="50" t="str">
        <x:v>HPE SWING SETUP</x:v>
      </x:c>
      <x:c r="F986" s="50" t="str">
        <x:v>WATCH</x:v>
      </x:c>
      <x:c r="G986" s="50"/>
      <x:c r="H986" s="50" t="str">
        <x:v>LONG</x:v>
      </x:c>
      <x:c r="I986" s="71" t="n">
        <x:v>52.535</x:v>
      </x:c>
      <x:c r="J986" s="76" t="str">
        <x:v>SIP</x:v>
      </x:c>
    </x:row>
    <x:row r="987">
      <x:c r="A987" s="50" t="str">
        <x:v>019fdcf4-dee8-719c-b114-139a238da89c</x:v>
      </x:c>
      <x:c r="B987" s="50" t="str">
        <x:v>XOM</x:v>
      </x:c>
      <x:c r="C987" s="70" t="n">
        <x:v>46241.66739824074</x:v>
      </x:c>
      <x:c r="D987" s="50" t="str">
        <x:v>SWING_SETUP</x:v>
      </x:c>
      <x:c r="E987" s="50" t="str">
        <x:v>XOM SWING SETUP</x:v>
      </x:c>
      <x:c r="F987" s="50" t="str">
        <x:v>WATCH</x:v>
      </x:c>
      <x:c r="G987" s="50"/>
      <x:c r="H987" s="50" t="str">
        <x:v>LONG</x:v>
      </x:c>
      <x:c r="I987" s="71" t="n">
        <x:v>153.0507</x:v>
      </x:c>
      <x:c r="J987" s="76" t="str">
        <x:v>SIP</x:v>
      </x:c>
    </x:row>
    <x:row r="988">
      <x:c r="A988" s="50" t="str">
        <x:v>019fdcf4-df7d-7eda-8764-116531d592e1</x:v>
      </x:c>
      <x:c r="B988" s="50" t="str">
        <x:v>GRAB</x:v>
      </x:c>
      <x:c r="C988" s="70" t="n">
        <x:v>46241.66739996528</x:v>
      </x:c>
      <x:c r="D988" s="50" t="str">
        <x:v>SWING_SETUP</x:v>
      </x:c>
      <x:c r="E988" s="50" t="str">
        <x:v>GRAB SWING SETUP</x:v>
      </x:c>
      <x:c r="F988" s="50" t="str">
        <x:v>WATCH</x:v>
      </x:c>
      <x:c r="G988" s="50"/>
      <x:c r="H988" s="50" t="str">
        <x:v>LONG</x:v>
      </x:c>
      <x:c r="I988" s="71" t="n">
        <x:v>3.66</x:v>
      </x:c>
      <x:c r="J988" s="76" t="str">
        <x:v>SIP</x:v>
      </x:c>
    </x:row>
    <x:row r="989">
      <x:c r="A989" s="50" t="str">
        <x:v>019fdcf4-e04c-71b7-ba20-e2504c864f54</x:v>
      </x:c>
      <x:c r="B989" s="50" t="str">
        <x:v>PSX</x:v>
      </x:c>
      <x:c r="C989" s="70" t="n">
        <x:v>46241.667402349536</x:v>
      </x:c>
      <x:c r="D989" s="50" t="str">
        <x:v>SWING_SETUP</x:v>
      </x:c>
      <x:c r="E989" s="50" t="str">
        <x:v>PSX SWING SETUP</x:v>
      </x:c>
      <x:c r="F989" s="50" t="str">
        <x:v>WATCH</x:v>
      </x:c>
      <x:c r="G989" s="50"/>
      <x:c r="H989" s="50" t="str">
        <x:v>LONG</x:v>
      </x:c>
      <x:c r="I989" s="71" t="n">
        <x:v>205.2</x:v>
      </x:c>
      <x:c r="J989" s="76" t="str">
        <x:v>SIP</x:v>
      </x:c>
    </x:row>
    <x:row r="990">
      <x:c r="A990" s="50" t="str">
        <x:v>019fdcf4-e099-7099-b6cc-e4a0d8cc59fe</x:v>
      </x:c>
      <x:c r="B990" s="50" t="str">
        <x:v>NOC</x:v>
      </x:c>
      <x:c r="C990" s="70" t="n">
        <x:v>46241.667403252315</x:v>
      </x:c>
      <x:c r="D990" s="50" t="str">
        <x:v>SWING_SETUP</x:v>
      </x:c>
      <x:c r="E990" s="50" t="str">
        <x:v>NOC SWING SETUP</x:v>
      </x:c>
      <x:c r="F990" s="50" t="str">
        <x:v>WATCH</x:v>
      </x:c>
      <x:c r="G990" s="50"/>
      <x:c r="H990" s="50" t="str">
        <x:v>LONG</x:v>
      </x:c>
      <x:c r="I990" s="71" t="n">
        <x:v>566.49</x:v>
      </x:c>
      <x:c r="J990" s="76" t="str">
        <x:v>SIP</x:v>
      </x:c>
    </x:row>
    <x:row r="991">
      <x:c r="A991" s="50" t="str">
        <x:v>019fdcf4-e157-7254-93d8-2948724ff791</x:v>
      </x:c>
      <x:c r="B991" s="50" t="str">
        <x:v>NXE</x:v>
      </x:c>
      <x:c r="C991" s="70" t="n">
        <x:v>46241.667405451386</x:v>
      </x:c>
      <x:c r="D991" s="50" t="str">
        <x:v>SWING_SETUP</x:v>
      </x:c>
      <x:c r="E991" s="50" t="str">
        <x:v>NXE SWING SETUP</x:v>
      </x:c>
      <x:c r="F991" s="50" t="str">
        <x:v>WATCH</x:v>
      </x:c>
      <x:c r="G991" s="50"/>
      <x:c r="H991" s="50" t="str">
        <x:v>LONG</x:v>
      </x:c>
      <x:c r="I991" s="71" t="n">
        <x:v>10.635</x:v>
      </x:c>
      <x:c r="J991" s="76" t="str">
        <x:v>SIP</x:v>
      </x:c>
    </x:row>
    <x:row r="992">
      <x:c r="A992" s="50" t="str">
        <x:v>019fdcf4-e63b-723d-a683-3cb91865d5f4</x:v>
      </x:c>
      <x:c r="B992" s="50" t="str">
        <x:v>NUE</x:v>
      </x:c>
      <x:c r="C992" s="70" t="n">
        <x:v>46241.667419930556</x:v>
      </x:c>
      <x:c r="D992" s="50" t="str">
        <x:v>SWING_SETUP</x:v>
      </x:c>
      <x:c r="E992" s="50" t="str">
        <x:v>NUE SWING SETUP</x:v>
      </x:c>
      <x:c r="F992" s="50" t="str">
        <x:v>WATCH</x:v>
      </x:c>
      <x:c r="G992" s="50"/>
      <x:c r="H992" s="50" t="str">
        <x:v>LONG</x:v>
      </x:c>
      <x:c r="I992" s="71" t="n">
        <x:v>271.31</x:v>
      </x:c>
      <x:c r="J992" s="76" t="str">
        <x:v>SIP</x:v>
      </x:c>
    </x:row>
    <x:row r="993">
      <x:c r="A993" s="50" t="str">
        <x:v>019fdcf4-e672-7888-80c0-f00761eb261f</x:v>
      </x:c>
      <x:c r="B993" s="50" t="str">
        <x:v>MSFT</x:v>
      </x:c>
      <x:c r="C993" s="70" t="n">
        <x:v>46241.667420578706</x:v>
      </x:c>
      <x:c r="D993" s="50" t="str">
        <x:v>SWING_SETUP</x:v>
      </x:c>
      <x:c r="E993" s="50" t="str">
        <x:v>MSFT SWING SETUP</x:v>
      </x:c>
      <x:c r="F993" s="50" t="str">
        <x:v>WATCH</x:v>
      </x:c>
      <x:c r="G993" s="50"/>
      <x:c r="H993" s="50" t="str">
        <x:v>LONG</x:v>
      </x:c>
      <x:c r="I993" s="71" t="n">
        <x:v>503.6599</x:v>
      </x:c>
      <x:c r="J993" s="76" t="str">
        <x:v>SIP</x:v>
      </x:c>
    </x:row>
    <x:row r="994">
      <x:c r="A994" s="50" t="str">
        <x:v>019fdcf4-e75f-72f5-a0a5-131105e369fb</x:v>
      </x:c>
      <x:c r="B994" s="50" t="str">
        <x:v>APH</x:v>
      </x:c>
      <x:c r="C994" s="70" t="n">
        <x:v>46241.667423321756</x:v>
      </x:c>
      <x:c r="D994" s="50" t="str">
        <x:v>LONG_BUY_ZONE</x:v>
      </x:c>
      <x:c r="E994" s="50" t="str">
        <x:v>APH LONG BUY ZONE</x:v>
      </x:c>
      <x:c r="F994" s="50" t="str">
        <x:v>WATCH</x:v>
      </x:c>
      <x:c r="G994" s="50"/>
      <x:c r="H994" s="50" t="str">
        <x:v>LONG</x:v>
      </x:c>
      <x:c r="I994" s="71" t="n">
        <x:v>167.555</x:v>
      </x:c>
      <x:c r="J994" s="76" t="str">
        <x:v>SIP</x:v>
      </x:c>
    </x:row>
    <x:row r="995">
      <x:c r="A995" s="50" t="str">
        <x:v>019fdcf4-e783-7ae5-98a1-2706959646c1</x:v>
      </x:c>
      <x:c r="B995" s="50" t="str">
        <x:v>DE</x:v>
      </x:c>
      <x:c r="C995" s="70" t="n">
        <x:v>46241.66742373843</x:v>
      </x:c>
      <x:c r="D995" s="50" t="str">
        <x:v>SWING_SETUP</x:v>
      </x:c>
      <x:c r="E995" s="50" t="str">
        <x:v>DE SWING SETUP</x:v>
      </x:c>
      <x:c r="F995" s="50" t="str">
        <x:v>WATCH</x:v>
      </x:c>
      <x:c r="G995" s="50"/>
      <x:c r="H995" s="50" t="str">
        <x:v>LONG</x:v>
      </x:c>
      <x:c r="I995" s="71" t="n">
        <x:v>623.2005</x:v>
      </x:c>
      <x:c r="J995" s="76" t="str">
        <x:v>SIP</x:v>
      </x:c>
    </x:row>
    <x:row r="996">
      <x:c r="A996" s="50" t="str">
        <x:v>019fdcf4-e7da-7876-ae05-17009565de0f</x:v>
      </x:c>
      <x:c r="B996" s="50" t="str">
        <x:v>SE</x:v>
      </x:c>
      <x:c r="C996" s="70" t="n">
        <x:v>46241.66742474537</x:v>
      </x:c>
      <x:c r="D996" s="50" t="str">
        <x:v>SWING_SETUP</x:v>
      </x:c>
      <x:c r="E996" s="50" t="str">
        <x:v>SE SWING SETUP</x:v>
      </x:c>
      <x:c r="F996" s="50" t="str">
        <x:v>WATCH</x:v>
      </x:c>
      <x:c r="G996" s="50"/>
      <x:c r="H996" s="50" t="str">
        <x:v>LONG</x:v>
      </x:c>
      <x:c r="I996" s="71" t="n">
        <x:v>113.6</x:v>
      </x:c>
      <x:c r="J996" s="76" t="str">
        <x:v>SIP</x:v>
      </x:c>
    </x:row>
    <x:row r="997">
      <x:c r="A997" s="50" t="str">
        <x:v>019fdcf4-e84b-7d62-a5eb-d8990ab95938</x:v>
      </x:c>
      <x:c r="B997" s="50" t="str">
        <x:v>CROX</x:v>
      </x:c>
      <x:c r="C997" s="70" t="n">
        <x:v>46241.66742605324</x:v>
      </x:c>
      <x:c r="D997" s="50" t="str">
        <x:v>SWING_SETUP</x:v>
      </x:c>
      <x:c r="E997" s="50" t="str">
        <x:v>CROX SWING SETUP</x:v>
      </x:c>
      <x:c r="F997" s="50" t="str">
        <x:v>WATCH</x:v>
      </x:c>
      <x:c r="G997" s="50"/>
      <x:c r="H997" s="50" t="str">
        <x:v>LONG</x:v>
      </x:c>
      <x:c r="I997" s="71" t="n">
        <x:v>137.94</x:v>
      </x:c>
      <x:c r="J997" s="76" t="str">
        <x:v>SIP</x:v>
      </x:c>
    </x:row>
    <x:row r="998">
      <x:c r="A998" s="50" t="str">
        <x:v>019fdcf4-e8ea-768f-9ee2-9356c4007aeb</x:v>
      </x:c>
      <x:c r="B998" s="50" t="str">
        <x:v>UEC</x:v>
      </x:c>
      <x:c r="C998" s="70" t="n">
        <x:v>46241.66742789352</x:v>
      </x:c>
      <x:c r="D998" s="50" t="str">
        <x:v>SWING_SETUP</x:v>
      </x:c>
      <x:c r="E998" s="50" t="str">
        <x:v>UEC SWING SETUP</x:v>
      </x:c>
      <x:c r="F998" s="50" t="str">
        <x:v>WATCH</x:v>
      </x:c>
      <x:c r="G998" s="50"/>
      <x:c r="H998" s="50" t="str">
        <x:v>LONG</x:v>
      </x:c>
      <x:c r="I998" s="71" t="n">
        <x:v>11.305</x:v>
      </x:c>
      <x:c r="J998" s="76" t="str">
        <x:v>SIP</x:v>
      </x:c>
    </x:row>
    <x:row r="999">
      <x:c r="A999" s="50" t="str">
        <x:v>019fdcf4-e9f9-7478-9bb7-7fea2d979c38</x:v>
      </x:c>
      <x:c r="B999" s="50" t="str">
        <x:v>SMR</x:v>
      </x:c>
      <x:c r="C999" s="70" t="n">
        <x:v>46241.667431030095</x:v>
      </x:c>
      <x:c r="D999" s="50" t="str">
        <x:v>SWING_SETUP</x:v>
      </x:c>
      <x:c r="E999" s="50" t="str">
        <x:v>SMR SWING SETUP</x:v>
      </x:c>
      <x:c r="F999" s="50" t="str">
        <x:v>WATCH</x:v>
      </x:c>
      <x:c r="G999" s="50"/>
      <x:c r="H999" s="50" t="str">
        <x:v>LONG</x:v>
      </x:c>
      <x:c r="I999" s="71" t="n">
        <x:v>9.98</x:v>
      </x:c>
      <x:c r="J999" s="76" t="str">
        <x:v>SIP</x:v>
      </x:c>
    </x:row>
    <x:row r="1000">
      <x:c r="A1000" s="50" t="str">
        <x:v>019fdcf5-c970-7cbf-bff4-ffd4bdb25106</x:v>
      </x:c>
      <x:c r="B1000" s="50" t="str">
        <x:v>RDW</x:v>
      </x:c>
      <x:c r="C1000" s="70" t="n">
        <x:v>46241.668093148146</x:v>
      </x:c>
      <x:c r="D1000" s="50" t="str">
        <x:v>SWING_SETUP</x:v>
      </x:c>
      <x:c r="E1000" s="50" t="str">
        <x:v>RDW SWING SETUP</x:v>
      </x:c>
      <x:c r="F1000" s="50" t="str">
        <x:v>WATCH</x:v>
      </x:c>
      <x:c r="G1000" s="50"/>
      <x:c r="H1000" s="50" t="str">
        <x:v>LONG</x:v>
      </x:c>
      <x:c r="I1000" s="71" t="n">
        <x:v>13.58</x:v>
      </x:c>
      <x:c r="J1000" s="76" t="str">
        <x:v>SIP</x:v>
      </x:c>
    </x:row>
    <x:row r="1001">
      <x:c r="A1001" s="50" t="str">
        <x:v>019fdcf5-cbfa-735d-a26c-0be72fa91f77</x:v>
      </x:c>
      <x:c r="B1001" s="50" t="str">
        <x:v>INTU</x:v>
      </x:c>
      <x:c r="C1001" s="70" t="n">
        <x:v>46241.6681006713</x:v>
      </x:c>
      <x:c r="D1001" s="50" t="str">
        <x:v>SWING_SETUP</x:v>
      </x:c>
      <x:c r="E1001" s="50" t="str">
        <x:v>INTU SWING SETUP</x:v>
      </x:c>
      <x:c r="F1001" s="50" t="str">
        <x:v>WATCH</x:v>
      </x:c>
      <x:c r="G1001" s="50"/>
      <x:c r="H1001" s="50" t="str">
        <x:v>LONG</x:v>
      </x:c>
      <x:c r="I1001" s="71" t="n">
        <x:v>329.735</x:v>
      </x:c>
      <x:c r="J1001" s="76" t="str">
        <x:v>SIP</x:v>
      </x:c>
    </x:row>
    <x:row r="1002">
      <x:c r="A1002" s="50" t="str">
        <x:v>019fdcf5-cf30-7552-85e3-2a90b91bf46c</x:v>
      </x:c>
      <x:c r="B1002" s="50" t="str">
        <x:v>NU</x:v>
      </x:c>
      <x:c r="C1002" s="70" t="n">
        <x:v>46241.66811018519</x:v>
      </x:c>
      <x:c r="D1002" s="50" t="str">
        <x:v>ENTRY_WATCH</x:v>
      </x:c>
      <x:c r="E1002" s="50" t="str">
        <x:v>NU ENTRY IN_ZONE EARLY WATCH</x:v>
      </x:c>
      <x:c r="F1002" s="50" t="str">
        <x:v>WATCH</x:v>
      </x:c>
      <x:c r="G1002" s="50"/>
      <x:c r="H1002" s="50" t="str">
        <x:v>LONG</x:v>
      </x:c>
      <x:c r="I1002" s="71" t="n">
        <x:v>13.91</x:v>
      </x:c>
      <x:c r="J1002" s="76" t="str">
        <x:v>SIP</x:v>
      </x:c>
    </x:row>
    <x:row r="1003">
      <x:c r="A1003" s="50" t="str">
        <x:v>019fdcf5-cfc5-7916-8c3c-d4279c5f1b86</x:v>
      </x:c>
      <x:c r="B1003" s="50" t="str">
        <x:v>NU</x:v>
      </x:c>
      <x:c r="C1003" s="70" t="n">
        <x:v>46241.66811190972</x:v>
      </x:c>
      <x:c r="D1003" s="50" t="str">
        <x:v>ENTRY_OPPORTUNITY_PROGRESS</x:v>
      </x:c>
      <x:c r="E1003" s="50" t="str">
        <x:v>NU ENTRY IN_ZONE [####------]</x:v>
      </x:c>
      <x:c r="F1003" s="50" t="str">
        <x:v>WATCH</x:v>
      </x:c>
      <x:c r="G1003" s="50"/>
      <x:c r="H1003" s="50" t="str">
        <x:v>LONG</x:v>
      </x:c>
      <x:c r="I1003" s="71" t="n">
        <x:v>13.91</x:v>
      </x:c>
      <x:c r="J1003" s="76" t="str">
        <x:v>SIP</x:v>
      </x:c>
    </x:row>
    <x:row r="1004">
      <x:c r="A1004" s="50" t="str">
        <x:v>019fdcf5-d2da-7db8-8870-ac2f19791a66</x:v>
      </x:c>
      <x:c r="B1004" s="50" t="str">
        <x:v>MRK</x:v>
      </x:c>
      <x:c r="C1004" s="70" t="n">
        <x:v>46241.668121030096</x:v>
      </x:c>
      <x:c r="D1004" s="50" t="str">
        <x:v>LONG_BUY_ZONE</x:v>
      </x:c>
      <x:c r="E1004" s="50" t="str">
        <x:v>MRK LONG BUY ZONE</x:v>
      </x:c>
      <x:c r="F1004" s="50" t="str">
        <x:v>WATCH</x:v>
      </x:c>
      <x:c r="G1004" s="50"/>
      <x:c r="H1004" s="50" t="str">
        <x:v>LONG</x:v>
      </x:c>
      <x:c r="I1004" s="71" t="n">
        <x:v>128</x:v>
      </x:c>
      <x:c r="J1004" s="76" t="str">
        <x:v>SIP</x:v>
      </x:c>
    </x:row>
    <x:row r="1005">
      <x:c r="A1005" s="50" t="str">
        <x:v>019fdcf6-b1f2-791f-b54c-6bc341c57979</x:v>
      </x:c>
      <x:c r="B1005" s="50" t="str">
        <x:v>SCHW</x:v>
      </x:c>
      <x:c r="C1005" s="70" t="n">
        <x:v>46241.66878206019</x:v>
      </x:c>
      <x:c r="D1005" s="50" t="str">
        <x:v>SWING_SETUP</x:v>
      </x:c>
      <x:c r="E1005" s="50" t="str">
        <x:v>SCHW SWING SETUP</x:v>
      </x:c>
      <x:c r="F1005" s="50" t="str">
        <x:v>WATCH</x:v>
      </x:c>
      <x:c r="G1005" s="50"/>
      <x:c r="H1005" s="50" t="str">
        <x:v>LONG</x:v>
      </x:c>
      <x:c r="I1005" s="71" t="n">
        <x:v>106.85</x:v>
      </x:c>
      <x:c r="J1005" s="76" t="str">
        <x:v>SIP</x:v>
      </x:c>
    </x:row>
    <x:row r="1006">
      <x:c r="A1006" s="50" t="str">
        <x:v>019fdcf6-b20e-78de-b218-7e14f00f350a</x:v>
      </x:c>
      <x:c r="B1006" s="50" t="str">
        <x:v>PLTR</x:v>
      </x:c>
      <x:c r="C1006" s="70" t="n">
        <x:v>46241.66878238426</x:v>
      </x:c>
      <x:c r="D1006" s="50" t="str">
        <x:v>SWING_SETUP</x:v>
      </x:c>
      <x:c r="E1006" s="50" t="str">
        <x:v>PLTR SWING SETUP</x:v>
      </x:c>
      <x:c r="F1006" s="50" t="str">
        <x:v>WATCH</x:v>
      </x:c>
      <x:c r="G1006" s="50"/>
      <x:c r="H1006" s="50" t="str">
        <x:v>LONG</x:v>
      </x:c>
      <x:c r="I1006" s="71" t="n">
        <x:v>170.335</x:v>
      </x:c>
      <x:c r="J1006" s="76" t="str">
        <x:v>SIP</x:v>
      </x:c>
    </x:row>
    <x:row r="1007">
      <x:c r="A1007" s="50" t="str">
        <x:v>019fdcf6-b395-7e39-a231-2a6d5ba0fdf5</x:v>
      </x:c>
      <x:c r="B1007" s="50" t="str">
        <x:v>JNJ</x:v>
      </x:c>
      <x:c r="C1007" s="70" t="n">
        <x:v>46241.66878690972</x:v>
      </x:c>
      <x:c r="D1007" s="50" t="str">
        <x:v>LONG_BUY_ZONE</x:v>
      </x:c>
      <x:c r="E1007" s="50" t="str">
        <x:v>JNJ LONG BUY ZONE</x:v>
      </x:c>
      <x:c r="F1007" s="50" t="str">
        <x:v>WATCH</x:v>
      </x:c>
      <x:c r="G1007" s="50"/>
      <x:c r="H1007" s="50" t="str">
        <x:v>LONG</x:v>
      </x:c>
      <x:c r="I1007" s="71" t="n">
        <x:v>256.46</x:v>
      </x:c>
      <x:c r="J1007" s="76" t="str">
        <x:v>SIP</x:v>
      </x:c>
    </x:row>
    <x:row r="1008">
      <x:c r="A1008" s="50" t="str">
        <x:v>019fdcf7-a03f-7e3c-9a74-94bd1eee117f</x:v>
      </x:c>
      <x:c r="B1008" s="50" t="str">
        <x:v>LMT</x:v>
      </x:c>
      <x:c r="C1008" s="70" t="n">
        <x:v>46241.66948813658</x:v>
      </x:c>
      <x:c r="D1008" s="50" t="str">
        <x:v>SWING_SETUP</x:v>
      </x:c>
      <x:c r="E1008" s="50" t="str">
        <x:v>LMT SWING SETUP</x:v>
      </x:c>
      <x:c r="F1008" s="50" t="str">
        <x:v>WATCH</x:v>
      </x:c>
      <x:c r="G1008" s="50"/>
      <x:c r="H1008" s="50" t="str">
        <x:v>LONG</x:v>
      </x:c>
      <x:c r="I1008" s="71" t="n">
        <x:v>582.3</x:v>
      </x:c>
      <x:c r="J1008" s="76" t="str">
        <x:v>SIP</x:v>
      </x:c>
    </x:row>
    <x:row r="1009">
      <x:c r="A1009" s="50" t="str">
        <x:v>019fdcf7-a0a6-786e-afa5-80ee00978c2e</x:v>
      </x:c>
      <x:c r="B1009" s="50" t="str">
        <x:v>APA</x:v>
      </x:c>
      <x:c r="C1009" s="70" t="n">
        <x:v>46241.669489328706</x:v>
      </x:c>
      <x:c r="D1009" s="50" t="str">
        <x:v>SWING_SETUP</x:v>
      </x:c>
      <x:c r="E1009" s="50" t="str">
        <x:v>APA SWING SETUP</x:v>
      </x:c>
      <x:c r="F1009" s="50" t="str">
        <x:v>WATCH</x:v>
      </x:c>
      <x:c r="G1009" s="50"/>
      <x:c r="H1009" s="50" t="str">
        <x:v>LONG</x:v>
      </x:c>
      <x:c r="I1009" s="71" t="n">
        <x:v>37.5</x:v>
      </x:c>
      <x:c r="J1009" s="76" t="str">
        <x:v>SIP</x:v>
      </x:c>
    </x:row>
    <x:row r="1010">
      <x:c r="A1010" s="50" t="str">
        <x:v>019fdcf7-a0b2-794f-9e83-f257f03cc220</x:v>
      </x:c>
      <x:c r="B1010" s="50" t="str">
        <x:v>WELL</x:v>
      </x:c>
      <x:c r="C1010" s="70" t="n">
        <x:v>46241.66948946759</x:v>
      </x:c>
      <x:c r="D1010" s="50" t="str">
        <x:v>SWING_SETUP</x:v>
      </x:c>
      <x:c r="E1010" s="50" t="str">
        <x:v>WELL SWING SETUP</x:v>
      </x:c>
      <x:c r="F1010" s="50" t="str">
        <x:v>WATCH</x:v>
      </x:c>
      <x:c r="G1010" s="50"/>
      <x:c r="H1010" s="50" t="str">
        <x:v>LONG</x:v>
      </x:c>
      <x:c r="I1010" s="71" t="n">
        <x:v>236.83</x:v>
      </x:c>
      <x:c r="J1010" s="76" t="str">
        <x:v>SIP</x:v>
      </x:c>
    </x:row>
    <x:row r="1011">
      <x:c r="A1011" s="50" t="str">
        <x:v>019fdcf7-a0c2-735e-93b3-07e346641dc0</x:v>
      </x:c>
      <x:c r="B1011" s="50" t="str">
        <x:v>DASH</x:v>
      </x:c>
      <x:c r="C1011" s="70" t="n">
        <x:v>46241.66948965278</x:v>
      </x:c>
      <x:c r="D1011" s="50" t="str">
        <x:v>SWING_SETUP</x:v>
      </x:c>
      <x:c r="E1011" s="50" t="str">
        <x:v>DASH SWING SETUP</x:v>
      </x:c>
      <x:c r="F1011" s="50" t="str">
        <x:v>WATCH</x:v>
      </x:c>
      <x:c r="G1011" s="50"/>
      <x:c r="H1011" s="50" t="str">
        <x:v>LONG</x:v>
      </x:c>
      <x:c r="I1011" s="71" t="n">
        <x:v>220.181</x:v>
      </x:c>
      <x:c r="J1011" s="76" t="str">
        <x:v>SIP</x:v>
      </x:c>
    </x:row>
    <x:row r="1012">
      <x:c r="A1012" s="50" t="str">
        <x:v>019fdcf7-a0dc-7548-97b9-55d83d650ab7</x:v>
      </x:c>
      <x:c r="B1012" s="50" t="str">
        <x:v>ABNB</x:v>
      </x:c>
      <x:c r="C1012" s="70" t="n">
        <x:v>46241.6694899537</x:v>
      </x:c>
      <x:c r="D1012" s="50" t="str">
        <x:v>SWING_SETUP</x:v>
      </x:c>
      <x:c r="E1012" s="50" t="str">
        <x:v>ABNB SWING SETUP</x:v>
      </x:c>
      <x:c r="F1012" s="50" t="str">
        <x:v>WATCH</x:v>
      </x:c>
      <x:c r="G1012" s="50"/>
      <x:c r="H1012" s="50" t="str">
        <x:v>LONG</x:v>
      </x:c>
      <x:c r="I1012" s="71" t="n">
        <x:v>174.84</x:v>
      </x:c>
      <x:c r="J1012" s="76" t="str">
        <x:v>SIP</x:v>
      </x:c>
    </x:row>
    <x:row r="1013">
      <x:c r="A1013" s="50" t="str">
        <x:v>019fdcf7-a0ff-77c6-881f-0929ba577166</x:v>
      </x:c>
      <x:c r="B1013" s="50" t="str">
        <x:v>DLR</x:v>
      </x:c>
      <x:c r="C1013" s="70" t="n">
        <x:v>46241.6694903588</x:v>
      </x:c>
      <x:c r="D1013" s="50" t="str">
        <x:v>SWING_SETUP</x:v>
      </x:c>
      <x:c r="E1013" s="50" t="str">
        <x:v>DLR SWING SETUP</x:v>
      </x:c>
      <x:c r="F1013" s="50" t="str">
        <x:v>WATCH</x:v>
      </x:c>
      <x:c r="G1013" s="50"/>
      <x:c r="H1013" s="50" t="str">
        <x:v>LONG</x:v>
      </x:c>
      <x:c r="I1013" s="71" t="n">
        <x:v>195.44</x:v>
      </x:c>
      <x:c r="J1013" s="76" t="str">
        <x:v>SIP</x:v>
      </x:c>
    </x:row>
    <x:row r="1014">
      <x:c r="A1014" s="50" t="str">
        <x:v>019fdcf7-a224-7ee9-bcf9-95371199212e</x:v>
      </x:c>
      <x:c r="B1014" s="50" t="str">
        <x:v>ANET</x:v>
      </x:c>
      <x:c r="C1014" s="70" t="n">
        <x:v>46241.66949375</x:v>
      </x:c>
      <x:c r="D1014" s="50" t="str">
        <x:v>SWING_SETUP</x:v>
      </x:c>
      <x:c r="E1014" s="50" t="str">
        <x:v>ANET SWING SETUP</x:v>
      </x:c>
      <x:c r="F1014" s="50" t="str">
        <x:v>WATCH</x:v>
      </x:c>
      <x:c r="G1014" s="50"/>
      <x:c r="H1014" s="50" t="str">
        <x:v>LONG</x:v>
      </x:c>
      <x:c r="I1014" s="71" t="n">
        <x:v>192.3</x:v>
      </x:c>
      <x:c r="J1014" s="76" t="str">
        <x:v>SIP</x:v>
      </x:c>
    </x:row>
    <x:row r="1015">
      <x:c r="A1015" s="50" t="str">
        <x:v>019fdcf7-a248-71ad-acd9-d7e11c3bf2b1</x:v>
      </x:c>
      <x:c r="B1015" s="50" t="str">
        <x:v>NVDA</x:v>
      </x:c>
      <x:c r="C1015" s="70" t="n">
        <x:v>46241.669494166665</x:v>
      </x:c>
      <x:c r="D1015" s="50" t="str">
        <x:v>SWING_SETUP</x:v>
      </x:c>
      <x:c r="E1015" s="50" t="str">
        <x:v>NVDA SWING SETUP</x:v>
      </x:c>
      <x:c r="F1015" s="50" t="str">
        <x:v>WATCH</x:v>
      </x:c>
      <x:c r="G1015" s="50"/>
      <x:c r="H1015" s="50" t="str">
        <x:v>LONG</x:v>
      </x:c>
      <x:c r="I1015" s="71" t="n">
        <x:v>223.82</x:v>
      </x:c>
      <x:c r="J1015" s="76" t="str">
        <x:v>SIP</x:v>
      </x:c>
    </x:row>
    <x:row r="1016">
      <x:c r="A1016" s="50" t="str">
        <x:v>019fdcf7-a2d6-78f2-b2a7-7327a730ac93</x:v>
      </x:c>
      <x:c r="B1016" s="50" t="str">
        <x:v>SBUX</x:v>
      </x:c>
      <x:c r="C1016" s="70" t="n">
        <x:v>46241.66949581019</x:v>
      </x:c>
      <x:c r="D1016" s="50" t="str">
        <x:v>SWING_SETUP</x:v>
      </x:c>
      <x:c r="E1016" s="50" t="str">
        <x:v>SBUX SWING SETUP</x:v>
      </x:c>
      <x:c r="F1016" s="50" t="str">
        <x:v>WATCH</x:v>
      </x:c>
      <x:c r="G1016" s="50"/>
      <x:c r="H1016" s="50" t="str">
        <x:v>LONG</x:v>
      </x:c>
      <x:c r="I1016" s="71" t="n">
        <x:v>106.495</x:v>
      </x:c>
      <x:c r="J1016" s="76" t="str">
        <x:v>SIP</x:v>
      </x:c>
    </x:row>
    <x:row r="1017">
      <x:c r="A1017" s="50" t="str">
        <x:v>019fdcf7-a2ee-7c6f-a0eb-f6973603331d</x:v>
      </x:c>
      <x:c r="B1017" s="50" t="str">
        <x:v>MDLZ</x:v>
      </x:c>
      <x:c r="C1017" s="70" t="n">
        <x:v>46241.66949608796</x:v>
      </x:c>
      <x:c r="D1017" s="50" t="str">
        <x:v>SWING_SETUP</x:v>
      </x:c>
      <x:c r="E1017" s="50" t="str">
        <x:v>MDLZ SWING SETUP</x:v>
      </x:c>
      <x:c r="F1017" s="50" t="str">
        <x:v>WATCH</x:v>
      </x:c>
      <x:c r="G1017" s="50"/>
      <x:c r="H1017" s="50" t="str">
        <x:v>LONG</x:v>
      </x:c>
      <x:c r="I1017" s="71" t="n">
        <x:v>62.74</x:v>
      </x:c>
      <x:c r="J1017" s="76" t="str">
        <x:v>SIP</x:v>
      </x:c>
    </x:row>
    <x:row r="1018">
      <x:c r="A1018" s="50" t="str">
        <x:v>019fdcf7-a2fb-78cb-8464-74e5b03eaaec</x:v>
      </x:c>
      <x:c r="B1018" s="50" t="str">
        <x:v>VZ</x:v>
      </x:c>
      <x:c r="C1018" s="70" t="n">
        <x:v>46241.66949623843</x:v>
      </x:c>
      <x:c r="D1018" s="50" t="str">
        <x:v>SWING_SETUP</x:v>
      </x:c>
      <x:c r="E1018" s="50" t="str">
        <x:v>VZ SWING SETUP</x:v>
      </x:c>
      <x:c r="F1018" s="50" t="str">
        <x:v>WATCH</x:v>
      </x:c>
      <x:c r="G1018" s="50"/>
      <x:c r="H1018" s="50" t="str">
        <x:v>LONG</x:v>
      </x:c>
      <x:c r="I1018" s="71" t="n">
        <x:v>46.7751</x:v>
      </x:c>
      <x:c r="J1018" s="76" t="str">
        <x:v>SIP</x:v>
      </x:c>
    </x:row>
    <x:row r="1019">
      <x:c r="A1019" s="50" t="str">
        <x:v>019fdcf7-a317-79ab-965d-8e605d55b8c0</x:v>
      </x:c>
      <x:c r="B1019" s="50" t="str">
        <x:v>UNP</x:v>
      </x:c>
      <x:c r="C1019" s="70" t="n">
        <x:v>46241.6694965625</x:v>
      </x:c>
      <x:c r="D1019" s="50" t="str">
        <x:v>SWING_SETUP</x:v>
      </x:c>
      <x:c r="E1019" s="50" t="str">
        <x:v>UNP SWING SETUP</x:v>
      </x:c>
      <x:c r="F1019" s="50" t="str">
        <x:v>WATCH</x:v>
      </x:c>
      <x:c r="G1019" s="50"/>
      <x:c r="H1019" s="50" t="str">
        <x:v>LONG</x:v>
      </x:c>
      <x:c r="I1019" s="71" t="n">
        <x:v>295.575</x:v>
      </x:c>
      <x:c r="J1019" s="76" t="str">
        <x:v>SIP</x:v>
      </x:c>
    </x:row>
    <x:row r="1020">
      <x:c r="A1020" s="50" t="str">
        <x:v>019fdcf7-a325-71e7-b20c-e454bdcb32fe</x:v>
      </x:c>
      <x:c r="B1020" s="50" t="str">
        <x:v>OXY</x:v>
      </x:c>
      <x:c r="C1020" s="70" t="n">
        <x:v>46241.669496724535</x:v>
      </x:c>
      <x:c r="D1020" s="50" t="str">
        <x:v>SWING_SETUP</x:v>
      </x:c>
      <x:c r="E1020" s="50" t="str">
        <x:v>OXY SWING SETUP</x:v>
      </x:c>
      <x:c r="F1020" s="50" t="str">
        <x:v>WATCH</x:v>
      </x:c>
      <x:c r="G1020" s="50"/>
      <x:c r="H1020" s="50" t="str">
        <x:v>LONG</x:v>
      </x:c>
      <x:c r="I1020" s="71" t="n">
        <x:v>56.275</x:v>
      </x:c>
      <x:c r="J1020" s="76" t="str">
        <x:v>SIP</x:v>
      </x:c>
    </x:row>
    <x:row r="1021">
      <x:c r="A1021" s="50" t="str">
        <x:v>019fdcf7-a346-7ff3-b73d-4ab037050ff5</x:v>
      </x:c>
      <x:c r="B1021" s="50" t="str">
        <x:v>COP</x:v>
      </x:c>
      <x:c r="C1021" s="70" t="n">
        <x:v>46241.66949710648</x:v>
      </x:c>
      <x:c r="D1021" s="50" t="str">
        <x:v>SWING_SETUP</x:v>
      </x:c>
      <x:c r="E1021" s="50" t="str">
        <x:v>COP SWING SETUP</x:v>
      </x:c>
      <x:c r="F1021" s="50" t="str">
        <x:v>WATCH</x:v>
      </x:c>
      <x:c r="G1021" s="50"/>
      <x:c r="H1021" s="50" t="str">
        <x:v>LONG</x:v>
      </x:c>
      <x:c r="I1021" s="71" t="n">
        <x:v>118.15</x:v>
      </x:c>
      <x:c r="J1021" s="76" t="str">
        <x:v>SIP</x:v>
      </x:c>
    </x:row>
    <x:row r="1022">
      <x:c r="A1022" s="50" t="str">
        <x:v>019fdcf7-a48e-7a0b-9d13-aa1f7be70b2c</x:v>
      </x:c>
      <x:c r="B1022" s="50" t="str">
        <x:v>NU</x:v>
      </x:c>
      <x:c r="C1022" s="70" t="n">
        <x:v>46241.669500902775</x:v>
      </x:c>
      <x:c r="D1022" s="50" t="str">
        <x:v>ENTRY_WATCH</x:v>
      </x:c>
      <x:c r="E1022" s="50" t="str">
        <x:v>NU ENTRY BREAKAWAY WATCH</x:v>
      </x:c>
      <x:c r="F1022" s="50" t="str">
        <x:v>WATCH</x:v>
      </x:c>
      <x:c r="G1022" s="50"/>
      <x:c r="H1022" s="50" t="str">
        <x:v>LONG</x:v>
      </x:c>
      <x:c r="I1022" s="71" t="n">
        <x:v>13.935</x:v>
      </x:c>
      <x:c r="J1022" s="76" t="str">
        <x:v>SIP</x:v>
      </x:c>
    </x:row>
    <x:row r="1023">
      <x:c r="A1023" s="50" t="str">
        <x:v>019fdcf7-ad2b-7ccd-b169-f2d47b892261</x:v>
      </x:c>
      <x:c r="B1023" s="50" t="str">
        <x:v>SBUX</x:v>
      </x:c>
      <x:c r="C1023" s="70" t="n">
        <x:v>46241.66952642361</x:v>
      </x:c>
      <x:c r="D1023" s="50" t="str">
        <x:v>LONG_BUY_ZONE</x:v>
      </x:c>
      <x:c r="E1023" s="50" t="str">
        <x:v>SBUX LONG BUY ZONE</x:v>
      </x:c>
      <x:c r="F1023" s="50" t="str">
        <x:v>WATCH</x:v>
      </x:c>
      <x:c r="G1023" s="50"/>
      <x:c r="H1023" s="50" t="str">
        <x:v>LONG</x:v>
      </x:c>
      <x:c r="I1023" s="71" t="n">
        <x:v>106.64</x:v>
      </x:c>
      <x:c r="J1023" s="76" t="str">
        <x:v>SIP</x:v>
      </x:c>
    </x:row>
    <x:row r="1024">
      <x:c r="A1024" s="50" t="str">
        <x:v>019fdcf8-84a3-7fea-890e-9bc2df1863f3</x:v>
      </x:c>
      <x:c r="B1024" s="50" t="str">
        <x:v>MNST</x:v>
      </x:c>
      <x:c r="C1024" s="70" t="n">
        <x:v>46241.67016484954</x:v>
      </x:c>
      <x:c r="D1024" s="50" t="str">
        <x:v>ENTRY_WATCH</x:v>
      </x:c>
      <x:c r="E1024" s="50" t="str">
        <x:v>MNST ENTRY IN_ZONE EARLY WATCH</x:v>
      </x:c>
      <x:c r="F1024" s="50" t="str">
        <x:v>WATCH</x:v>
      </x:c>
      <x:c r="G1024" s="50"/>
      <x:c r="H1024" s="50" t="str">
        <x:v>LONG</x:v>
      </x:c>
      <x:c r="I1024" s="71" t="n">
        <x:v>90.36</x:v>
      </x:c>
      <x:c r="J1024" s="76" t="str">
        <x:v>SIP</x:v>
      </x:c>
    </x:row>
    <x:row r="1025">
      <x:c r="A1025" s="50" t="str">
        <x:v>019fdcf8-881c-70cb-beff-2cb8a490448d</x:v>
      </x:c>
      <x:c r="B1025" s="50" t="str">
        <x:v>BMY</x:v>
      </x:c>
      <x:c r="C1025" s="70" t="n">
        <x:v>46241.67017513889</x:v>
      </x:c>
      <x:c r="D1025" s="50" t="str">
        <x:v>SWING_SETUP</x:v>
      </x:c>
      <x:c r="E1025" s="50" t="str">
        <x:v>BMY SWING SETUP</x:v>
      </x:c>
      <x:c r="F1025" s="50" t="str">
        <x:v>WATCH</x:v>
      </x:c>
      <x:c r="G1025" s="50"/>
      <x:c r="H1025" s="50" t="str">
        <x:v>LONG</x:v>
      </x:c>
      <x:c r="I1025" s="71" t="n">
        <x:v>64.19</x:v>
      </x:c>
      <x:c r="J1025" s="76" t="str">
        <x:v>SIP</x:v>
      </x:c>
    </x:row>
    <x:row r="1026">
      <x:c r="A1026" s="50" t="str">
        <x:v>019fdcf8-89b7-7eb4-b8d0-fd7324f17f30</x:v>
      </x:c>
      <x:c r="B1026" s="50" t="str">
        <x:v>MNST</x:v>
      </x:c>
      <x:c r="C1026" s="70" t="n">
        <x:v>46241.67017989583</x:v>
      </x:c>
      <x:c r="D1026" s="50" t="str">
        <x:v>ENTRY_OPPORTUNITY_PROGRESS</x:v>
      </x:c>
      <x:c r="E1026" s="50" t="str">
        <x:v>MNST ENTRY IN_ZONE [####------]</x:v>
      </x:c>
      <x:c r="F1026" s="50" t="str">
        <x:v>WATCH</x:v>
      </x:c>
      <x:c r="G1026" s="50"/>
      <x:c r="H1026" s="50" t="str">
        <x:v>LONG</x:v>
      </x:c>
      <x:c r="I1026" s="71" t="n">
        <x:v>90.36</x:v>
      </x:c>
      <x:c r="J1026" s="76" t="str">
        <x:v>SIP</x:v>
      </x:c>
    </x:row>
    <x:row r="1027">
      <x:c r="A1027" s="50" t="str">
        <x:v>019fdcf8-93b2-7320-b09c-e39f362836c5</x:v>
      </x:c>
      <x:c r="B1027" s="50" t="str">
        <x:v>PM</x:v>
      </x:c>
      <x:c r="C1027" s="70" t="n">
        <x:v>46241.67020946759</x:v>
      </x:c>
      <x:c r="D1027" s="50" t="str">
        <x:v>LONG_BUY_ZONE</x:v>
      </x:c>
      <x:c r="E1027" s="50" t="str">
        <x:v>PM LONG BUY ZONE</x:v>
      </x:c>
      <x:c r="F1027" s="50" t="str">
        <x:v>WATCH</x:v>
      </x:c>
      <x:c r="G1027" s="50"/>
      <x:c r="H1027" s="50" t="str">
        <x:v>LONG</x:v>
      </x:c>
      <x:c r="I1027" s="71" t="n">
        <x:v>189.17</x:v>
      </x:c>
      <x:c r="J1027" s="76" t="str">
        <x:v>SIP</x:v>
      </x:c>
    </x:row>
    <x:row r="1028">
      <x:c r="A1028" s="50" t="str">
        <x:v>019fdcf9-6df5-77c6-94ca-49f6bf8c5e32</x:v>
      </x:c>
      <x:c r="B1028" s="50" t="str">
        <x:v>ABBV</x:v>
      </x:c>
      <x:c r="C1028" s="70" t="n">
        <x:v>46241.67085616898</x:v>
      </x:c>
      <x:c r="D1028" s="50" t="str">
        <x:v>LONG_BUY_ZONE</x:v>
      </x:c>
      <x:c r="E1028" s="50" t="str">
        <x:v>ABBV LONG BUY ZONE</x:v>
      </x:c>
      <x:c r="F1028" s="50" t="str">
        <x:v>WATCH</x:v>
      </x:c>
      <x:c r="G1028" s="50"/>
      <x:c r="H1028" s="50" t="str">
        <x:v>LONG</x:v>
      </x:c>
      <x:c r="I1028" s="71" t="n">
        <x:v>244.27</x:v>
      </x:c>
      <x:c r="J1028" s="76" t="str">
        <x:v>SIP</x:v>
      </x:c>
    </x:row>
    <x:row r="1029">
      <x:c r="A1029" s="50" t="str">
        <x:v>019fdcf9-72c4-76a2-aef2-4d2b9e07eaa9</x:v>
      </x:c>
      <x:c r="B1029" s="50" t="str">
        <x:v>BLK</x:v>
      </x:c>
      <x:c r="C1029" s="70" t="n">
        <x:v>46241.67087041667</x:v>
      </x:c>
      <x:c r="D1029" s="50" t="str">
        <x:v>SWING_SETUP</x:v>
      </x:c>
      <x:c r="E1029" s="50" t="str">
        <x:v>BLK SWING SETUP</x:v>
      </x:c>
      <x:c r="F1029" s="50" t="str">
        <x:v>WATCH</x:v>
      </x:c>
      <x:c r="G1029" s="50"/>
      <x:c r="H1029" s="50" t="str">
        <x:v>LONG</x:v>
      </x:c>
      <x:c r="I1029" s="71" t="n">
        <x:v>1132.39</x:v>
      </x:c>
      <x:c r="J1029" s="76" t="str">
        <x:v>SIP</x:v>
      </x:c>
    </x:row>
    <x:row r="1030">
      <x:c r="A1030" s="50" t="str">
        <x:v>019fdcf9-759a-7948-889b-3f4f2e2960f4</x:v>
      </x:c>
      <x:c r="B1030" s="50" t="str">
        <x:v>JD</x:v>
      </x:c>
      <x:c r="C1030" s="70" t="n">
        <x:v>46241.670878819445</x:v>
      </x:c>
      <x:c r="D1030" s="50" t="str">
        <x:v>SWING_SETUP</x:v>
      </x:c>
      <x:c r="E1030" s="50" t="str">
        <x:v>JD SWING SETUP</x:v>
      </x:c>
      <x:c r="F1030" s="50" t="str">
        <x:v>WATCH</x:v>
      </x:c>
      <x:c r="G1030" s="50"/>
      <x:c r="H1030" s="50" t="str">
        <x:v>LONG</x:v>
      </x:c>
      <x:c r="I1030" s="71" t="n">
        <x:v>32.945</x:v>
      </x:c>
      <x:c r="J1030" s="76" t="str">
        <x:v>SIP</x:v>
      </x:c>
    </x:row>
    <x:row r="1031">
      <x:c r="A1031" s="50" t="str">
        <x:v>019fdcf9-75d4-7073-960d-e1772c82ec2a</x:v>
      </x:c>
      <x:c r="B1031" s="50" t="str">
        <x:v>BAC</x:v>
      </x:c>
      <x:c r="C1031" s="70" t="n">
        <x:v>46241.67087949074</x:v>
      </x:c>
      <x:c r="D1031" s="50" t="str">
        <x:v>SWING_SETUP</x:v>
      </x:c>
      <x:c r="E1031" s="50" t="str">
        <x:v>BAC SWING SETUP</x:v>
      </x:c>
      <x:c r="F1031" s="50" t="str">
        <x:v>WATCH</x:v>
      </x:c>
      <x:c r="G1031" s="50"/>
      <x:c r="H1031" s="50" t="str">
        <x:v>LONG</x:v>
      </x:c>
      <x:c r="I1031" s="71" t="n">
        <x:v>62.945</x:v>
      </x:c>
      <x:c r="J1031" s="76" t="str">
        <x:v>SIP</x:v>
      </x:c>
    </x:row>
    <x:row r="1032">
      <x:c r="A1032" s="50" t="str">
        <x:v>019fdcf9-75ee-7c99-b4ef-22ae6432993d</x:v>
      </x:c>
      <x:c r="B1032" s="50" t="str">
        <x:v>JPM</x:v>
      </x:c>
      <x:c r="C1032" s="70" t="n">
        <x:v>46241.670879791665</x:v>
      </x:c>
      <x:c r="D1032" s="50" t="str">
        <x:v>SWING_SETUP</x:v>
      </x:c>
      <x:c r="E1032" s="50" t="str">
        <x:v>JPM SWING SETUP</x:v>
      </x:c>
      <x:c r="F1032" s="50" t="str">
        <x:v>WATCH</x:v>
      </x:c>
      <x:c r="G1032" s="50"/>
      <x:c r="H1032" s="50" t="str">
        <x:v>LONG</x:v>
      </x:c>
      <x:c r="I1032" s="71" t="n">
        <x:v>356.69</x:v>
      </x:c>
      <x:c r="J1032" s="76" t="str">
        <x:v>SIP</x:v>
      </x:c>
    </x:row>
    <x:row r="1033">
      <x:c r="A1033" s="50" t="str">
        <x:v>019fdcf9-7603-76e1-96f1-f82f67d4212e</x:v>
      </x:c>
      <x:c r="B1033" s="50" t="str">
        <x:v>ECL</x:v>
      </x:c>
      <x:c r="C1033" s="70" t="n">
        <x:v>46241.67088003472</x:v>
      </x:c>
      <x:c r="D1033" s="50" t="str">
        <x:v>SWING_SETUP</x:v>
      </x:c>
      <x:c r="E1033" s="50" t="str">
        <x:v>ECL SWING SETUP</x:v>
      </x:c>
      <x:c r="F1033" s="50" t="str">
        <x:v>WATCH</x:v>
      </x:c>
      <x:c r="G1033" s="50"/>
      <x:c r="H1033" s="50" t="str">
        <x:v>LONG</x:v>
      </x:c>
      <x:c r="I1033" s="71" t="n">
        <x:v>285.23</x:v>
      </x:c>
      <x:c r="J1033" s="76" t="str">
        <x:v>SIP</x:v>
      </x:c>
    </x:row>
    <x:row r="1034">
      <x:c r="A1034" s="50" t="str">
        <x:v>019fdcf9-761b-7fed-abf6-95d3f2140ce1</x:v>
      </x:c>
      <x:c r="B1034" s="50" t="str">
        <x:v>PFE</x:v>
      </x:c>
      <x:c r="C1034" s="70" t="n">
        <x:v>46241.6708803125</x:v>
      </x:c>
      <x:c r="D1034" s="50" t="str">
        <x:v>SWING_SETUP</x:v>
      </x:c>
      <x:c r="E1034" s="50" t="str">
        <x:v>PFE SWING SETUP</x:v>
      </x:c>
      <x:c r="F1034" s="50" t="str">
        <x:v>WATCH</x:v>
      </x:c>
      <x:c r="G1034" s="50"/>
      <x:c r="H1034" s="50" t="str">
        <x:v>LONG</x:v>
      </x:c>
      <x:c r="I1034" s="71" t="n">
        <x:v>26.4272</x:v>
      </x:c>
      <x:c r="J1034" s="76" t="str">
        <x:v>SIP</x:v>
      </x:c>
    </x:row>
    <x:row r="1035">
      <x:c r="A1035" s="50" t="str">
        <x:v>019fdcf9-766e-7a19-ba3f-17e7cae5f2a1</x:v>
      </x:c>
      <x:c r="B1035" s="50" t="str">
        <x:v>ETHA</x:v>
      </x:c>
      <x:c r="C1035" s="70" t="n">
        <x:v>46241.670881261576</x:v>
      </x:c>
      <x:c r="D1035" s="50" t="str">
        <x:v>SWING_SETUP</x:v>
      </x:c>
      <x:c r="E1035" s="50" t="str">
        <x:v>ETHA SWING SETUP</x:v>
      </x:c>
      <x:c r="F1035" s="50" t="str">
        <x:v>WATCH</x:v>
      </x:c>
      <x:c r="G1035" s="50"/>
      <x:c r="H1035" s="50" t="str">
        <x:v>LONG</x:v>
      </x:c>
      <x:c r="I1035" s="71" t="n">
        <x:v>14.465</x:v>
      </x:c>
      <x:c r="J1035" s="76" t="str">
        <x:v>SIP</x:v>
      </x:c>
    </x:row>
    <x:row r="1036">
      <x:c r="A1036" s="50" t="str">
        <x:v>019fdcf9-7688-7f19-af47-7a75c52460bc</x:v>
      </x:c>
      <x:c r="B1036" s="50" t="str">
        <x:v>TMDX</x:v>
      </x:c>
      <x:c r="C1036" s="70" t="n">
        <x:v>46241.6708815625</x:v>
      </x:c>
      <x:c r="D1036" s="50" t="str">
        <x:v>SWING_SETUP</x:v>
      </x:c>
      <x:c r="E1036" s="50" t="str">
        <x:v>TMDX SWING SETUP</x:v>
      </x:c>
      <x:c r="F1036" s="50" t="str">
        <x:v>WATCH</x:v>
      </x:c>
      <x:c r="G1036" s="50"/>
      <x:c r="H1036" s="50" t="str">
        <x:v>LONG</x:v>
      </x:c>
      <x:c r="I1036" s="71" t="n">
        <x:v>81.25</x:v>
      </x:c>
      <x:c r="J1036" s="76" t="str">
        <x:v>SIP</x:v>
      </x:c>
    </x:row>
    <x:row r="1037">
      <x:c r="A1037" s="50" t="str">
        <x:v>019fdcf9-76c4-7daf-99d8-1ff71370ba65</x:v>
      </x:c>
      <x:c r="B1037" s="50" t="str">
        <x:v>BKNG</x:v>
      </x:c>
      <x:c r="C1037" s="70" t="n">
        <x:v>46241.67088226852</x:v>
      </x:c>
      <x:c r="D1037" s="50" t="str">
        <x:v>SWING_SETUP</x:v>
      </x:c>
      <x:c r="E1037" s="50" t="str">
        <x:v>BKNG SWING SETUP</x:v>
      </x:c>
      <x:c r="F1037" s="50" t="str">
        <x:v>WATCH</x:v>
      </x:c>
      <x:c r="G1037" s="50"/>
      <x:c r="H1037" s="50" t="str">
        <x:v>LONG</x:v>
      </x:c>
      <x:c r="I1037" s="71" t="n">
        <x:v>213.78</x:v>
      </x:c>
      <x:c r="J1037" s="76" t="str">
        <x:v>SIP</x:v>
      </x:c>
    </x:row>
    <x:row r="1038">
      <x:c r="A1038" s="50" t="str">
        <x:v>019fdcf9-7758-72b9-b99e-8efd4ee663bb</x:v>
      </x:c>
      <x:c r="B1038" s="50" t="str">
        <x:v>KO</x:v>
      </x:c>
      <x:c r="C1038" s="70" t="n">
        <x:v>46241.67088398148</x:v>
      </x:c>
      <x:c r="D1038" s="50" t="str">
        <x:v>SWING_SETUP</x:v>
      </x:c>
      <x:c r="E1038" s="50" t="str">
        <x:v>KO SWING SETUP</x:v>
      </x:c>
      <x:c r="F1038" s="50" t="str">
        <x:v>WATCH</x:v>
      </x:c>
      <x:c r="G1038" s="50"/>
      <x:c r="H1038" s="50" t="str">
        <x:v>LONG</x:v>
      </x:c>
      <x:c r="I1038" s="71" t="n">
        <x:v>86.84</x:v>
      </x:c>
      <x:c r="J1038" s="76" t="str">
        <x:v>SIP</x:v>
      </x:c>
    </x:row>
    <x:row r="1039">
      <x:c r="A1039" s="50" t="str">
        <x:v>019fdcf9-77a1-7352-80e6-914c8d404bdc</x:v>
      </x:c>
      <x:c r="B1039" s="50" t="str">
        <x:v>CEG</x:v>
      </x:c>
      <x:c r="C1039" s="70" t="n">
        <x:v>46241.67088482639</x:v>
      </x:c>
      <x:c r="D1039" s="50" t="str">
        <x:v>SWING_SETUP</x:v>
      </x:c>
      <x:c r="E1039" s="50" t="str">
        <x:v>CEG SWING SETUP</x:v>
      </x:c>
      <x:c r="F1039" s="50" t="str">
        <x:v>WATCH</x:v>
      </x:c>
      <x:c r="G1039" s="50"/>
      <x:c r="H1039" s="50" t="str">
        <x:v>LONG</x:v>
      </x:c>
      <x:c r="I1039" s="71" t="n">
        <x:v>268.57</x:v>
      </x:c>
      <x:c r="J1039" s="76" t="str">
        <x:v>SIP</x:v>
      </x:c>
    </x:row>
    <x:row r="1040">
      <x:c r="A1040" s="50" t="str">
        <x:v>019fdcf9-7813-7285-a458-62d503dce90a</x:v>
      </x:c>
      <x:c r="B1040" s="50" t="str">
        <x:v>SHW</x:v>
      </x:c>
      <x:c r="C1040" s="70" t="n">
        <x:v>46241.67088614583</x:v>
      </x:c>
      <x:c r="D1040" s="50" t="str">
        <x:v>SWING_SETUP</x:v>
      </x:c>
      <x:c r="E1040" s="50" t="str">
        <x:v>SHW SWING SETUP</x:v>
      </x:c>
      <x:c r="F1040" s="50" t="str">
        <x:v>WATCH</x:v>
      </x:c>
      <x:c r="G1040" s="50"/>
      <x:c r="H1040" s="50" t="str">
        <x:v>LONG</x:v>
      </x:c>
      <x:c r="I1040" s="71" t="n">
        <x:v>367.98</x:v>
      </x:c>
      <x:c r="J1040" s="76" t="str">
        <x:v>SIP</x:v>
      </x:c>
    </x:row>
    <x:row r="1041">
      <x:c r="A1041" s="50" t="str">
        <x:v>019fdcf9-81b1-75cd-89f2-bfabdd6ce50d</x:v>
      </x:c>
      <x:c r="B1041" s="50" t="str">
        <x:v>RCL</x:v>
      </x:c>
      <x:c r="C1041" s="70" t="n">
        <x:v>46241.6709146412</x:v>
      </x:c>
      <x:c r="D1041" s="50" t="str">
        <x:v>LONG_BUY_ZONE</x:v>
      </x:c>
      <x:c r="E1041" s="50" t="str">
        <x:v>RCL LONG BUY ZONE</x:v>
      </x:c>
      <x:c r="F1041" s="50" t="str">
        <x:v>WATCH</x:v>
      </x:c>
      <x:c r="G1041" s="50"/>
      <x:c r="H1041" s="50" t="str">
        <x:v>LONG</x:v>
      </x:c>
      <x:c r="I1041" s="71" t="n">
        <x:v>321.26</x:v>
      </x:c>
      <x:c r="J1041" s="76" t="str">
        <x:v>SIP</x:v>
      </x:c>
    </x:row>
    <x:row r="1042">
      <x:c r="A1042" s="50" t="str">
        <x:v>019fdcfa-5843-715b-bb39-d42f009c2811</x:v>
      </x:c>
      <x:c r="B1042" s="50" t="str">
        <x:v>HRL</x:v>
      </x:c>
      <x:c r="C1042" s="70" t="n">
        <x:v>46241.671550405095</x:v>
      </x:c>
      <x:c r="D1042" s="50" t="str">
        <x:v>LONG_BUY_ZONE</x:v>
      </x:c>
      <x:c r="E1042" s="50" t="str">
        <x:v>HRL LONG BUY ZONE</x:v>
      </x:c>
      <x:c r="F1042" s="50" t="str">
        <x:v>WATCH</x:v>
      </x:c>
      <x:c r="G1042" s="50"/>
      <x:c r="H1042" s="50" t="str">
        <x:v>LONG</x:v>
      </x:c>
      <x:c r="I1042" s="71" t="n">
        <x:v>25.175</x:v>
      </x:c>
      <x:c r="J1042" s="76" t="str">
        <x:v>SIP</x:v>
      </x:c>
    </x:row>
    <x:row r="1043">
      <x:c r="A1043" s="50" t="str">
        <x:v>019fdcfa-5e42-7eed-9bcb-414f0f5c7ff3</x:v>
      </x:c>
      <x:c r="B1043" s="50" t="str">
        <x:v>PM</x:v>
      </x:c>
      <x:c r="C1043" s="70" t="n">
        <x:v>46241.671568171296</x:v>
      </x:c>
      <x:c r="D1043" s="50" t="str">
        <x:v>SWING_SETUP</x:v>
      </x:c>
      <x:c r="E1043" s="50" t="str">
        <x:v>PM SWING SETUP</x:v>
      </x:c>
      <x:c r="F1043" s="50" t="str">
        <x:v>WATCH</x:v>
      </x:c>
      <x:c r="G1043" s="50"/>
      <x:c r="H1043" s="50" t="str">
        <x:v>LONG</x:v>
      </x:c>
      <x:c r="I1043" s="71" t="n">
        <x:v>189.01</x:v>
      </x:c>
      <x:c r="J1043" s="76" t="str">
        <x:v>SIP</x:v>
      </x:c>
    </x:row>
    <x:row r="1044">
      <x:c r="A1044" s="50" t="str">
        <x:v>019fdcfa-5ea8-702e-be63-f15bb30b4ed7</x:v>
      </x:c>
      <x:c r="B1044" s="50" t="str">
        <x:v>MMM</x:v>
      </x:c>
      <x:c r="C1044" s="70" t="n">
        <x:v>46241.67156935185</x:v>
      </x:c>
      <x:c r="D1044" s="50" t="str">
        <x:v>SWING_SETUP</x:v>
      </x:c>
      <x:c r="E1044" s="50" t="str">
        <x:v>MMM SWING SETUP</x:v>
      </x:c>
      <x:c r="F1044" s="50" t="str">
        <x:v>WATCH</x:v>
      </x:c>
      <x:c r="G1044" s="50"/>
      <x:c r="H1044" s="50" t="str">
        <x:v>LONG</x:v>
      </x:c>
      <x:c r="I1044" s="71" t="n">
        <x:v>182.95</x:v>
      </x:c>
      <x:c r="J1044" s="76" t="str">
        <x:v>SIP</x:v>
      </x:c>
    </x:row>
    <x:row r="1045">
      <x:c r="A1045" s="50" t="str">
        <x:v>019fdcfa-5eb5-7ed6-8072-3abf069bc801</x:v>
      </x:c>
      <x:c r="B1045" s="50" t="str">
        <x:v>ABT</x:v>
      </x:c>
      <x:c r="C1045" s="70" t="n">
        <x:v>46241.67156949074</x:v>
      </x:c>
      <x:c r="D1045" s="50" t="str">
        <x:v>SWING_SETUP</x:v>
      </x:c>
      <x:c r="E1045" s="50" t="str">
        <x:v>ABT SWING SETUP</x:v>
      </x:c>
      <x:c r="F1045" s="50" t="str">
        <x:v>WATCH</x:v>
      </x:c>
      <x:c r="G1045" s="50"/>
      <x:c r="H1045" s="50" t="str">
        <x:v>LONG</x:v>
      </x:c>
      <x:c r="I1045" s="71" t="n">
        <x:v>107.085</x:v>
      </x:c>
      <x:c r="J1045" s="76" t="str">
        <x:v>SIP</x:v>
      </x:c>
    </x:row>
    <x:row r="1046">
      <x:c r="A1046" s="50" t="str">
        <x:v>019fdcfa-6141-7edf-9858-0698d9cc45c5</x:v>
      </x:c>
      <x:c r="B1046" s="50" t="str">
        <x:v>RCL</x:v>
      </x:c>
      <x:c r="C1046" s="70" t="n">
        <x:v>46241.671577037036</x:v>
      </x:c>
      <x:c r="D1046" s="50" t="str">
        <x:v>SWING_SETUP</x:v>
      </x:c>
      <x:c r="E1046" s="50" t="str">
        <x:v>RCL SWING SETUP</x:v>
      </x:c>
      <x:c r="F1046" s="50" t="str">
        <x:v>WATCH</x:v>
      </x:c>
      <x:c r="G1046" s="50"/>
      <x:c r="H1046" s="50" t="str">
        <x:v>LONG</x:v>
      </x:c>
      <x:c r="I1046" s="71" t="n">
        <x:v>320.88</x:v>
      </x:c>
      <x:c r="J1046" s="76" t="str">
        <x:v>SIP</x:v>
      </x:c>
    </x:row>
    <x:row r="1047">
      <x:c r="A1047" s="50" t="str">
        <x:v>019fdcfa-68a2-7838-af47-254d8010ddaa</x:v>
      </x:c>
      <x:c r="B1047" s="50" t="str">
        <x:v>ECL</x:v>
      </x:c>
      <x:c r="C1047" s="70" t="n">
        <x:v>46241.671598912035</x:v>
      </x:c>
      <x:c r="D1047" s="50" t="str">
        <x:v>LONG_BUY_ZONE</x:v>
      </x:c>
      <x:c r="E1047" s="50" t="str">
        <x:v>ECL LONG BUY ZONE</x:v>
      </x:c>
      <x:c r="F1047" s="50" t="str">
        <x:v>WATCH</x:v>
      </x:c>
      <x:c r="G1047" s="50"/>
      <x:c r="H1047" s="50" t="str">
        <x:v>LONG</x:v>
      </x:c>
      <x:c r="I1047" s="71" t="n">
        <x:v>285.05</x:v>
      </x:c>
      <x:c r="J1047" s="76" t="str">
        <x:v>SIP</x:v>
      </x:c>
    </x:row>
    <x:row r="1048">
      <x:c r="A1048" s="50" t="str">
        <x:v>019fdcfb-50e6-75d7-be66-0e40c38fe52f</x:v>
      </x:c>
      <x:c r="B1048" s="50" t="str">
        <x:v>GS</x:v>
      </x:c>
      <x:c r="C1048" s="70" t="n">
        <x:v>46241.67228709491</x:v>
      </x:c>
      <x:c r="D1048" s="50" t="str">
        <x:v>LONG_BUY_ZONE</x:v>
      </x:c>
      <x:c r="E1048" s="50" t="str">
        <x:v>GS LONG BUY ZONE</x:v>
      </x:c>
      <x:c r="F1048" s="50" t="str">
        <x:v>WATCH</x:v>
      </x:c>
      <x:c r="G1048" s="50"/>
      <x:c r="H1048" s="50" t="str">
        <x:v>LONG</x:v>
      </x:c>
      <x:c r="I1048" s="71" t="n">
        <x:v>1038.67</x:v>
      </x:c>
      <x:c r="J1048" s="76" t="str">
        <x:v>SIP</x:v>
      </x:c>
    </x:row>
    <x:row r="1049">
      <x:c r="A1049" s="50" t="str">
        <x:v>019fdcfd-2b88-74b4-ba55-0fc48105a0be</x:v>
      </x:c>
      <x:c r="B1049" s="50" t="str">
        <x:v>VZ</x:v>
      </x:c>
      <x:c r="C1049" s="70" t="n">
        <x:v>46241.673693425924</x:v>
      </x:c>
      <x:c r="D1049" s="50" t="str">
        <x:v>LONG_BUY_ZONE</x:v>
      </x:c>
      <x:c r="E1049" s="50" t="str">
        <x:v>VZ LONG BUY ZONE</x:v>
      </x:c>
      <x:c r="F1049" s="50" t="str">
        <x:v>WATCH</x:v>
      </x:c>
      <x:c r="G1049" s="50"/>
      <x:c r="H1049" s="50" t="str">
        <x:v>LONG</x:v>
      </x:c>
      <x:c r="I1049" s="71" t="n">
        <x:v>46.805</x:v>
      </x:c>
      <x:c r="J1049" s="76" t="str">
        <x:v>SIP</x:v>
      </x:c>
    </x:row>
    <x:row r="1050">
      <x:c r="A1050" s="50" t="str">
        <x:v>019fdcff-e07e-7e90-8b2f-a09d2a73e75d</x:v>
      </x:c>
      <x:c r="B1050" s="50" t="str">
        <x:v>BBWI</x:v>
      </x:c>
      <x:c r="C1050" s="70" t="n">
        <x:v>46241.675746643516</x:v>
      </x:c>
      <x:c r="D1050" s="50" t="str">
        <x:v>ENTRY_WATCH</x:v>
      </x:c>
      <x:c r="E1050" s="50" t="str">
        <x:v>BBWI ENTRY BREAKAWAY WATCH</x:v>
      </x:c>
      <x:c r="F1050" s="50" t="str">
        <x:v>WATCH</x:v>
      </x:c>
      <x:c r="G1050" s="50"/>
      <x:c r="H1050" s="50" t="str">
        <x:v>LONG</x:v>
      </x:c>
      <x:c r="I1050" s="71" t="n">
        <x:v>20.32</x:v>
      </x:c>
      <x:c r="J1050" s="76" t="str">
        <x:v>SIP</x:v>
      </x:c>
    </x:row>
    <x:row r="1051">
      <x:c r="A1051" s="50" t="str">
        <x:v>019fdcff-e193-753f-a885-23145abe4996</x:v>
      </x:c>
      <x:c r="B1051" s="50" t="str">
        <x:v>KDP</x:v>
      </x:c>
      <x:c r="C1051" s="70" t="n">
        <x:v>46241.675749849535</x:v>
      </x:c>
      <x:c r="D1051" s="50" t="str">
        <x:v>LONG_BUY_ZONE</x:v>
      </x:c>
      <x:c r="E1051" s="50" t="str">
        <x:v>KDP LONG BUY ZONE</x:v>
      </x:c>
      <x:c r="F1051" s="50" t="str">
        <x:v>WATCH</x:v>
      </x:c>
      <x:c r="G1051" s="50"/>
      <x:c r="H1051" s="50" t="str">
        <x:v>LONG</x:v>
      </x:c>
      <x:c r="I1051" s="71" t="n">
        <x:v>30.05</x:v>
      </x:c>
      <x:c r="J1051" s="76" t="str">
        <x:v>SIP</x:v>
      </x:c>
    </x:row>
    <x:row r="1052">
      <x:c r="A1052" s="50" t="str">
        <x:v>019fdcff-e5bb-727e-a85a-590cf6fba531</x:v>
      </x:c>
      <x:c r="B1052" s="50" t="str">
        <x:v>OXY</x:v>
      </x:c>
      <x:c r="C1052" s="70" t="n">
        <x:v>46241.67576216435</x:v>
      </x:c>
      <x:c r="D1052" s="50" t="str">
        <x:v>LONG_BUY_ZONE</x:v>
      </x:c>
      <x:c r="E1052" s="50" t="str">
        <x:v>OXY LONG BUY ZONE</x:v>
      </x:c>
      <x:c r="F1052" s="50" t="str">
        <x:v>WATCH</x:v>
      </x:c>
      <x:c r="G1052" s="50"/>
      <x:c r="H1052" s="50" t="str">
        <x:v>LONG</x:v>
      </x:c>
      <x:c r="I1052" s="71" t="n">
        <x:v>56.26</x:v>
      </x:c>
      <x:c r="J1052" s="76" t="str">
        <x:v>SIP</x:v>
      </x:c>
    </x:row>
    <x:row r="1053">
      <x:c r="A1053" s="50" t="str">
        <x:v>019fdd00-c27d-79e1-a79a-891d8f3e619d</x:v>
      </x:c>
      <x:c r="B1053" s="50" t="str">
        <x:v>GD</x:v>
      </x:c>
      <x:c r="C1053" s="70" t="n">
        <x:v>46241.67641625</x:v>
      </x:c>
      <x:c r="D1053" s="50" t="str">
        <x:v>SWING_SETUP</x:v>
      </x:c>
      <x:c r="E1053" s="50" t="str">
        <x:v>GD SWING SETUP</x:v>
      </x:c>
      <x:c r="F1053" s="50" t="str">
        <x:v>WATCH</x:v>
      </x:c>
      <x:c r="G1053" s="50"/>
      <x:c r="H1053" s="50" t="str">
        <x:v>LONG</x:v>
      </x:c>
      <x:c r="I1053" s="71" t="n">
        <x:v>387.96</x:v>
      </x:c>
      <x:c r="J1053" s="76" t="str">
        <x:v>SIP</x:v>
      </x:c>
    </x:row>
    <x:row r="1054">
      <x:c r="A1054" s="50" t="str">
        <x:v>019fdd00-c916-7b77-9d5e-573f72b8354f</x:v>
      </x:c>
      <x:c r="B1054" s="50" t="str">
        <x:v>BBWI</x:v>
      </x:c>
      <x:c r="C1054" s="70" t="n">
        <x:v>46241.67643581019</x:v>
      </x:c>
      <x:c r="D1054" s="50" t="str">
        <x:v>ENTRY_WATCH</x:v>
      </x:c>
      <x:c r="E1054" s="50" t="str">
        <x:v>BBWI ENTRY IN_ZONE EARLY WATCH</x:v>
      </x:c>
      <x:c r="F1054" s="50" t="str">
        <x:v>WATCH</x:v>
      </x:c>
      <x:c r="G1054" s="50"/>
      <x:c r="H1054" s="50" t="str">
        <x:v>LONG</x:v>
      </x:c>
      <x:c r="I1054" s="71" t="n">
        <x:v>20.295</x:v>
      </x:c>
      <x:c r="J1054" s="76" t="str">
        <x:v>SIP</x:v>
      </x:c>
    </x:row>
    <x:row r="1055">
      <x:c r="A1055" s="50" t="str">
        <x:v>019fdd02-962c-7c22-8cc0-432ca1c5000b</x:v>
      </x:c>
      <x:c r="B1055" s="50" t="str">
        <x:v>PYPL</x:v>
      </x:c>
      <x:c r="C1055" s="70" t="n">
        <x:v>46241.67780197917</x:v>
      </x:c>
      <x:c r="D1055" s="50" t="str">
        <x:v>SWING_SETUP</x:v>
      </x:c>
      <x:c r="E1055" s="50" t="str">
        <x:v>PYPL SWING SETUP</x:v>
      </x:c>
      <x:c r="F1055" s="50" t="str">
        <x:v>WATCH</x:v>
      </x:c>
      <x:c r="G1055" s="50"/>
      <x:c r="H1055" s="50" t="str">
        <x:v>LONG</x:v>
      </x:c>
      <x:c r="I1055" s="71" t="n">
        <x:v>59.1775</x:v>
      </x:c>
      <x:c r="J1055" s="76" t="str">
        <x:v>SIP</x:v>
      </x:c>
    </x:row>
    <x:row r="1056">
      <x:c r="A1056" s="50" t="str">
        <x:v>019fdd02-991b-72d4-92e9-59da48af5e7c</x:v>
      </x:c>
      <x:c r="B1056" s="50" t="str">
        <x:v>HPE</x:v>
      </x:c>
      <x:c r="C1056" s="70" t="n">
        <x:v>46241.67781068287</x:v>
      </x:c>
      <x:c r="D1056" s="50" t="str">
        <x:v>SWING_SETUP</x:v>
      </x:c>
      <x:c r="E1056" s="50" t="str">
        <x:v>HPE SWING SETUP</x:v>
      </x:c>
      <x:c r="F1056" s="50" t="str">
        <x:v>WATCH</x:v>
      </x:c>
      <x:c r="G1056" s="50"/>
      <x:c r="H1056" s="50" t="str">
        <x:v>LONG</x:v>
      </x:c>
      <x:c r="I1056" s="71" t="n">
        <x:v>52.62</x:v>
      </x:c>
      <x:c r="J1056" s="76" t="str">
        <x:v>SIP</x:v>
      </x:c>
    </x:row>
    <x:row r="1057">
      <x:c r="A1057" s="50" t="str">
        <x:v>019fdd02-99c3-7156-9145-400b5d226a9f</x:v>
      </x:c>
      <x:c r="B1057" s="50" t="str">
        <x:v>BABA</x:v>
      </x:c>
      <x:c r="C1057" s="70" t="n">
        <x:v>46241.67781262731</x:v>
      </x:c>
      <x:c r="D1057" s="50" t="str">
        <x:v>SWING_SETUP</x:v>
      </x:c>
      <x:c r="E1057" s="50" t="str">
        <x:v>BABA SWING SETUP</x:v>
      </x:c>
      <x:c r="F1057" s="50" t="str">
        <x:v>WATCH</x:v>
      </x:c>
      <x:c r="G1057" s="50"/>
      <x:c r="H1057" s="50" t="str">
        <x:v>LONG</x:v>
      </x:c>
      <x:c r="I1057" s="71" t="n">
        <x:v>128.07</x:v>
      </x:c>
      <x:c r="J1057" s="76" t="str">
        <x:v>SIP</x:v>
      </x:c>
    </x:row>
    <x:row r="1058">
      <x:c r="A1058" s="50" t="str">
        <x:v>019fdd02-9a3f-7b67-b589-fd280c450563</x:v>
      </x:c>
      <x:c r="B1058" s="50" t="str">
        <x:v>MRK</x:v>
      </x:c>
      <x:c r="C1058" s="70" t="n">
        <x:v>46241.67781405093</x:v>
      </x:c>
      <x:c r="D1058" s="50" t="str">
        <x:v>SWING_SETUP</x:v>
      </x:c>
      <x:c r="E1058" s="50" t="str">
        <x:v>MRK SWING SETUP</x:v>
      </x:c>
      <x:c r="F1058" s="50" t="str">
        <x:v>WATCH</x:v>
      </x:c>
      <x:c r="G1058" s="50"/>
      <x:c r="H1058" s="50" t="str">
        <x:v>LONG</x:v>
      </x:c>
      <x:c r="I1058" s="71" t="n">
        <x:v>127.955</x:v>
      </x:c>
      <x:c r="J1058" s="76" t="str">
        <x:v>SIP</x:v>
      </x:c>
    </x:row>
    <x:row r="1059">
      <x:c r="A1059" s="50" t="str">
        <x:v>019fdd02-9a67-77c7-94f4-6e46f257c2e7</x:v>
      </x:c>
      <x:c r="B1059" s="50" t="str">
        <x:v>SNOW</x:v>
      </x:c>
      <x:c r="C1059" s="70" t="n">
        <x:v>46241.677814525465</x:v>
      </x:c>
      <x:c r="D1059" s="50" t="str">
        <x:v>SWING_SETUP</x:v>
      </x:c>
      <x:c r="E1059" s="50" t="str">
        <x:v>SNOW SWING SETUP</x:v>
      </x:c>
      <x:c r="F1059" s="50" t="str">
        <x:v>WATCH</x:v>
      </x:c>
      <x:c r="G1059" s="50"/>
      <x:c r="H1059" s="50" t="str">
        <x:v>LONG</x:v>
      </x:c>
      <x:c r="I1059" s="71" t="n">
        <x:v>324.69</x:v>
      </x:c>
      <x:c r="J1059" s="76" t="str">
        <x:v>SIP</x:v>
      </x:c>
    </x:row>
    <x:row r="1060">
      <x:c r="A1060" s="50" t="str">
        <x:v>019fdd02-9d28-725a-90a3-446f69d114bf</x:v>
      </x:c>
      <x:c r="B1060" s="50" t="str">
        <x:v>PSX</x:v>
      </x:c>
      <x:c r="C1060" s="70" t="n">
        <x:v>46241.67782268518</x:v>
      </x:c>
      <x:c r="D1060" s="50" t="str">
        <x:v>SWING_SETUP</x:v>
      </x:c>
      <x:c r="E1060" s="50" t="str">
        <x:v>PSX SWING SETUP</x:v>
      </x:c>
      <x:c r="F1060" s="50" t="str">
        <x:v>WATCH</x:v>
      </x:c>
      <x:c r="G1060" s="50"/>
      <x:c r="H1060" s="50" t="str">
        <x:v>LONG</x:v>
      </x:c>
      <x:c r="I1060" s="71" t="n">
        <x:v>204.83</x:v>
      </x:c>
      <x:c r="J1060" s="76" t="str">
        <x:v>SIP</x:v>
      </x:c>
    </x:row>
    <x:row r="1061">
      <x:c r="A1061" s="50" t="str">
        <x:v>019fdd02-9d2f-771b-9e8f-88d571361163</x:v>
      </x:c>
      <x:c r="B1061" s="50" t="str">
        <x:v>XOM</x:v>
      </x:c>
      <x:c r="C1061" s="70" t="n">
        <x:v>46241.67782276621</x:v>
      </x:c>
      <x:c r="D1061" s="50" t="str">
        <x:v>SWING_SETUP</x:v>
      </x:c>
      <x:c r="E1061" s="50" t="str">
        <x:v>XOM SWING SETUP</x:v>
      </x:c>
      <x:c r="F1061" s="50" t="str">
        <x:v>WATCH</x:v>
      </x:c>
      <x:c r="G1061" s="50"/>
      <x:c r="H1061" s="50" t="str">
        <x:v>LONG</x:v>
      </x:c>
      <x:c r="I1061" s="71" t="n">
        <x:v>153.0507</x:v>
      </x:c>
      <x:c r="J1061" s="76" t="str">
        <x:v>SIP</x:v>
      </x:c>
    </x:row>
    <x:row r="1062">
      <x:c r="A1062" s="50" t="str">
        <x:v>019fdd02-9eb2-7a99-8cb9-150917e36470</x:v>
      </x:c>
      <x:c r="B1062" s="50" t="str">
        <x:v>NXE</x:v>
      </x:c>
      <x:c r="C1062" s="70" t="n">
        <x:v>46241.6778272338</x:v>
      </x:c>
      <x:c r="D1062" s="50" t="str">
        <x:v>SWING_SETUP</x:v>
      </x:c>
      <x:c r="E1062" s="50" t="str">
        <x:v>NXE SWING SETUP</x:v>
      </x:c>
      <x:c r="F1062" s="50" t="str">
        <x:v>WATCH</x:v>
      </x:c>
      <x:c r="G1062" s="50"/>
      <x:c r="H1062" s="50" t="str">
        <x:v>LONG</x:v>
      </x:c>
      <x:c r="I1062" s="71" t="n">
        <x:v>10.635</x:v>
      </x:c>
      <x:c r="J1062" s="76" t="str">
        <x:v>SIP</x:v>
      </x:c>
    </x:row>
    <x:row r="1063">
      <x:c r="A1063" s="50" t="str">
        <x:v>019fdd02-a4b7-7aa9-a8c4-fb15e7a1268b</x:v>
      </x:c>
      <x:c r="B1063" s="50" t="str">
        <x:v>GRAB</x:v>
      </x:c>
      <x:c r="C1063" s="70" t="n">
        <x:v>46241.677845081016</x:v>
      </x:c>
      <x:c r="D1063" s="50" t="str">
        <x:v>SWING_SETUP</x:v>
      </x:c>
      <x:c r="E1063" s="50" t="str">
        <x:v>GRAB SWING SETUP</x:v>
      </x:c>
      <x:c r="F1063" s="50" t="str">
        <x:v>WATCH</x:v>
      </x:c>
      <x:c r="G1063" s="50"/>
      <x:c r="H1063" s="50" t="str">
        <x:v>LONG</x:v>
      </x:c>
      <x:c r="I1063" s="71" t="n">
        <x:v>3.6599</x:v>
      </x:c>
      <x:c r="J1063" s="76" t="str">
        <x:v>SIP</x:v>
      </x:c>
    </x:row>
    <x:row r="1064">
      <x:c r="A1064" s="50" t="str">
        <x:v>019fdd02-a655-7209-a0d8-d7cb12071ef6</x:v>
      </x:c>
      <x:c r="B1064" s="50" t="str">
        <x:v>CROX</x:v>
      </x:c>
      <x:c r="C1064" s="70" t="n">
        <x:v>46241.677849872685</x:v>
      </x:c>
      <x:c r="D1064" s="50" t="str">
        <x:v>SWING_SETUP</x:v>
      </x:c>
      <x:c r="E1064" s="50" t="str">
        <x:v>CROX SWING SETUP</x:v>
      </x:c>
      <x:c r="F1064" s="50" t="str">
        <x:v>WATCH</x:v>
      </x:c>
      <x:c r="G1064" s="50"/>
      <x:c r="H1064" s="50" t="str">
        <x:v>LONG</x:v>
      </x:c>
      <x:c r="I1064" s="71" t="n">
        <x:v>138</x:v>
      </x:c>
      <x:c r="J1064" s="76" t="str">
        <x:v>SIP</x:v>
      </x:c>
    </x:row>
    <x:row r="1065">
      <x:c r="A1065" s="50" t="str">
        <x:v>019fdd03-8185-7b76-9afb-3c87f37633b1</x:v>
      </x:c>
      <x:c r="B1065" s="50" t="str">
        <x:v>SMR</x:v>
      </x:c>
      <x:c r="C1065" s="70" t="n">
        <x:v>46241.67849931713</x:v>
      </x:c>
      <x:c r="D1065" s="50" t="str">
        <x:v>SWING_SETUP</x:v>
      </x:c>
      <x:c r="E1065" s="50" t="str">
        <x:v>SMR SWING SETUP</x:v>
      </x:c>
      <x:c r="F1065" s="50" t="str">
        <x:v>WATCH</x:v>
      </x:c>
      <x:c r="G1065" s="50"/>
      <x:c r="H1065" s="50" t="str">
        <x:v>LONG</x:v>
      </x:c>
      <x:c r="I1065" s="71" t="n">
        <x:v>9.895</x:v>
      </x:c>
      <x:c r="J1065" s="76" t="str">
        <x:v>SIP</x:v>
      </x:c>
    </x:row>
    <x:row r="1066">
      <x:c r="A1066" s="50" t="str">
        <x:v>019fdd03-855d-7dbd-a82c-82fd6eecba1a</x:v>
      </x:c>
      <x:c r="B1066" s="50" t="str">
        <x:v>NOC</x:v>
      </x:c>
      <x:c r="C1066" s="70" t="n">
        <x:v>46241.67851070602</x:v>
      </x:c>
      <x:c r="D1066" s="50" t="str">
        <x:v>SWING_SETUP</x:v>
      </x:c>
      <x:c r="E1066" s="50" t="str">
        <x:v>NOC SWING SETUP</x:v>
      </x:c>
      <x:c r="F1066" s="50" t="str">
        <x:v>WATCH</x:v>
      </x:c>
      <x:c r="G1066" s="50"/>
      <x:c r="H1066" s="50" t="str">
        <x:v>LONG</x:v>
      </x:c>
      <x:c r="I1066" s="71" t="n">
        <x:v>568.1</x:v>
      </x:c>
      <x:c r="J1066" s="76" t="str">
        <x:v>SIP</x:v>
      </x:c>
    </x:row>
    <x:row r="1067">
      <x:c r="A1067" s="50" t="str">
        <x:v>019fdd03-898c-7cc6-a0f6-b2ac7f6cd68a</x:v>
      </x:c>
      <x:c r="B1067" s="50" t="str">
        <x:v>MSFT</x:v>
      </x:c>
      <x:c r="C1067" s="70" t="n">
        <x:v>46241.67852310185</x:v>
      </x:c>
      <x:c r="D1067" s="50" t="str">
        <x:v>SWING_SETUP</x:v>
      </x:c>
      <x:c r="E1067" s="50" t="str">
        <x:v>MSFT SWING SETUP</x:v>
      </x:c>
      <x:c r="F1067" s="50" t="str">
        <x:v>WATCH</x:v>
      </x:c>
      <x:c r="G1067" s="50"/>
      <x:c r="H1067" s="50" t="str">
        <x:v>LONG</x:v>
      </x:c>
      <x:c r="I1067" s="71" t="n">
        <x:v>503.4316</x:v>
      </x:c>
      <x:c r="J1067" s="76" t="str">
        <x:v>SIP</x:v>
      </x:c>
    </x:row>
    <x:row r="1068">
      <x:c r="A1068" s="50" t="str">
        <x:v>019fdd03-8aac-795d-926c-55c80f26a980</x:v>
      </x:c>
      <x:c r="B1068" s="50" t="str">
        <x:v>APH</x:v>
      </x:c>
      <x:c r="C1068" s="70" t="n">
        <x:v>46241.67852642361</x:v>
      </x:c>
      <x:c r="D1068" s="50" t="str">
        <x:v>LONG_BUY_ZONE</x:v>
      </x:c>
      <x:c r="E1068" s="50" t="str">
        <x:v>APH LONG BUY ZONE</x:v>
      </x:c>
      <x:c r="F1068" s="50" t="str">
        <x:v>WATCH</x:v>
      </x:c>
      <x:c r="G1068" s="50"/>
      <x:c r="H1068" s="50" t="str">
        <x:v>LONG</x:v>
      </x:c>
      <x:c r="I1068" s="71" t="n">
        <x:v>167.995</x:v>
      </x:c>
      <x:c r="J1068" s="76" t="str">
        <x:v>SIP</x:v>
      </x:c>
    </x:row>
    <x:row r="1069">
      <x:c r="A1069" s="50" t="str">
        <x:v>019fdd03-8ac2-7229-a1d3-317b8654ac74</x:v>
      </x:c>
      <x:c r="B1069" s="50" t="str">
        <x:v>UEC</x:v>
      </x:c>
      <x:c r="C1069" s="70" t="n">
        <x:v>46241.678526689815</x:v>
      </x:c>
      <x:c r="D1069" s="50" t="str">
        <x:v>SWING_SETUP</x:v>
      </x:c>
      <x:c r="E1069" s="50" t="str">
        <x:v>UEC SWING SETUP</x:v>
      </x:c>
      <x:c r="F1069" s="50" t="str">
        <x:v>WATCH</x:v>
      </x:c>
      <x:c r="G1069" s="50"/>
      <x:c r="H1069" s="50" t="str">
        <x:v>LONG</x:v>
      </x:c>
      <x:c r="I1069" s="71" t="n">
        <x:v>11.32</x:v>
      </x:c>
      <x:c r="J1069" s="76" t="str">
        <x:v>SIP</x:v>
      </x:c>
    </x:row>
    <x:row r="1070">
      <x:c r="A1070" s="50" t="str">
        <x:v>019fdd04-6c9f-7b34-b106-0c721c119468</x:v>
      </x:c>
      <x:c r="B1070" s="50" t="str">
        <x:v>RDW</x:v>
      </x:c>
      <x:c r="C1070" s="70" t="n">
        <x:v>46241.679195902776</x:v>
      </x:c>
      <x:c r="D1070" s="50" t="str">
        <x:v>SWING_SETUP</x:v>
      </x:c>
      <x:c r="E1070" s="50" t="str">
        <x:v>RDW SWING SETUP</x:v>
      </x:c>
      <x:c r="F1070" s="50" t="str">
        <x:v>WATCH</x:v>
      </x:c>
      <x:c r="G1070" s="50"/>
      <x:c r="H1070" s="50" t="str">
        <x:v>LONG</x:v>
      </x:c>
      <x:c r="I1070" s="71" t="n">
        <x:v>13.575</x:v>
      </x:c>
      <x:c r="J1070" s="76" t="str">
        <x:v>SIP</x:v>
      </x:c>
    </x:row>
    <x:row r="1071">
      <x:c r="A1071" s="50" t="str">
        <x:v>019fdd04-6f68-7718-99c8-8185c638ff3d</x:v>
      </x:c>
      <x:c r="B1071" s="50" t="str">
        <x:v>INTU</x:v>
      </x:c>
      <x:c r="C1071" s="70" t="n">
        <x:v>46241.67920416666</x:v>
      </x:c>
      <x:c r="D1071" s="50" t="str">
        <x:v>SWING_SETUP</x:v>
      </x:c>
      <x:c r="E1071" s="50" t="str">
        <x:v>INTU SWING SETUP</x:v>
      </x:c>
      <x:c r="F1071" s="50" t="str">
        <x:v>WATCH</x:v>
      </x:c>
      <x:c r="G1071" s="50"/>
      <x:c r="H1071" s="50" t="str">
        <x:v>LONG</x:v>
      </x:c>
      <x:c r="I1071" s="71" t="n">
        <x:v>329.21</x:v>
      </x:c>
      <x:c r="J1071" s="76" t="str">
        <x:v>SIP</x:v>
      </x:c>
    </x:row>
    <x:row r="1072">
      <x:c r="A1072" s="50" t="str">
        <x:v>019fdd04-6fe4-7658-a8f3-1a4a7a77c445</x:v>
      </x:c>
      <x:c r="B1072" s="50" t="str">
        <x:v>MRK</x:v>
      </x:c>
      <x:c r="C1072" s="70" t="n">
        <x:v>46241.67920559028</x:v>
      </x:c>
      <x:c r="D1072" s="50" t="str">
        <x:v>LONG_BUY_ZONE</x:v>
      </x:c>
      <x:c r="E1072" s="50" t="str">
        <x:v>MRK LONG BUY ZONE</x:v>
      </x:c>
      <x:c r="F1072" s="50" t="str">
        <x:v>WATCH</x:v>
      </x:c>
      <x:c r="G1072" s="50"/>
      <x:c r="H1072" s="50" t="str">
        <x:v>LONG</x:v>
      </x:c>
      <x:c r="I1072" s="71" t="n">
        <x:v>128.34</x:v>
      </x:c>
      <x:c r="J1072" s="76" t="str">
        <x:v>SIP</x:v>
      </x:c>
    </x:row>
    <x:row r="1073">
      <x:c r="A1073" s="50" t="str">
        <x:v>019fdd05-5e98-7cf7-919e-97c266ddf704</x:v>
      </x:c>
      <x:c r="B1073" s="50" t="str">
        <x:v>SCHW</x:v>
      </x:c>
      <x:c r="C1073" s="70" t="n">
        <x:v>46241.679912858795</x:v>
      </x:c>
      <x:c r="D1073" s="50" t="str">
        <x:v>SWING_SETUP</x:v>
      </x:c>
      <x:c r="E1073" s="50" t="str">
        <x:v>SCHW SWING SETUP</x:v>
      </x:c>
      <x:c r="F1073" s="50" t="str">
        <x:v>WATCH</x:v>
      </x:c>
      <x:c r="G1073" s="50"/>
      <x:c r="H1073" s="50" t="str">
        <x:v>LONG</x:v>
      </x:c>
      <x:c r="I1073" s="71" t="n">
        <x:v>106.75</x:v>
      </x:c>
      <x:c r="J1073" s="76" t="str">
        <x:v>SIP</x:v>
      </x:c>
    </x:row>
    <x:row r="1074">
      <x:c r="A1074" s="50" t="str">
        <x:v>019fdd05-5eb1-70c6-a3b3-2fe257090046</x:v>
      </x:c>
      <x:c r="B1074" s="50" t="str">
        <x:v>PLTR</x:v>
      </x:c>
      <x:c r="C1074" s="70" t="n">
        <x:v>46241.67991315972</x:v>
      </x:c>
      <x:c r="D1074" s="50" t="str">
        <x:v>SWING_SETUP</x:v>
      </x:c>
      <x:c r="E1074" s="50" t="str">
        <x:v>PLTR SWING SETUP</x:v>
      </x:c>
      <x:c r="F1074" s="50" t="str">
        <x:v>WATCH</x:v>
      </x:c>
      <x:c r="G1074" s="50"/>
      <x:c r="H1074" s="50" t="str">
        <x:v>LONG</x:v>
      </x:c>
      <x:c r="I1074" s="71" t="n">
        <x:v>169.71</x:v>
      </x:c>
      <x:c r="J1074" s="76" t="str">
        <x:v>SIP</x:v>
      </x:c>
    </x:row>
    <x:row r="1075">
      <x:c r="A1075" s="50" t="str">
        <x:v>019fdd06-4077-7178-a2cb-6ec58ef75a8b</x:v>
      </x:c>
      <x:c r="B1075" s="50" t="str">
        <x:v>LMT</x:v>
      </x:c>
      <x:c r="C1075" s="70" t="n">
        <x:v>46241.68058211805</x:v>
      </x:c>
      <x:c r="D1075" s="50" t="str">
        <x:v>SWING_SETUP</x:v>
      </x:c>
      <x:c r="E1075" s="50" t="str">
        <x:v>LMT SWING SETUP</x:v>
      </x:c>
      <x:c r="F1075" s="50" t="str">
        <x:v>WATCH</x:v>
      </x:c>
      <x:c r="G1075" s="50"/>
      <x:c r="H1075" s="50" t="str">
        <x:v>LONG</x:v>
      </x:c>
      <x:c r="I1075" s="71" t="n">
        <x:v>583.11</x:v>
      </x:c>
      <x:c r="J1075" s="76" t="str">
        <x:v>SIP</x:v>
      </x:c>
    </x:row>
    <x:row r="1076">
      <x:c r="A1076" s="50" t="str">
        <x:v>019fdd06-4132-7a87-a425-51ed0f45be0a</x:v>
      </x:c>
      <x:c r="B1076" s="50" t="str">
        <x:v>DLR</x:v>
      </x:c>
      <x:c r="C1076" s="70" t="n">
        <x:v>46241.68058428241</x:v>
      </x:c>
      <x:c r="D1076" s="50" t="str">
        <x:v>SWING_SETUP</x:v>
      </x:c>
      <x:c r="E1076" s="50" t="str">
        <x:v>DLR SWING SETUP</x:v>
      </x:c>
      <x:c r="F1076" s="50" t="str">
        <x:v>WATCH</x:v>
      </x:c>
      <x:c r="G1076" s="50"/>
      <x:c r="H1076" s="50" t="str">
        <x:v>LONG</x:v>
      </x:c>
      <x:c r="I1076" s="71" t="n">
        <x:v>195.71</x:v>
      </x:c>
      <x:c r="J1076" s="76" t="str">
        <x:v>SIP</x:v>
      </x:c>
    </x:row>
    <x:row r="1077">
      <x:c r="A1077" s="50" t="str">
        <x:v>019fdd06-41c5-7287-a7ea-3d528897a932</x:v>
      </x:c>
      <x:c r="B1077" s="50" t="str">
        <x:v>APA</x:v>
      </x:c>
      <x:c r="C1077" s="70" t="n">
        <x:v>46241.6805859838</x:v>
      </x:c>
      <x:c r="D1077" s="50" t="str">
        <x:v>SWING_SETUP</x:v>
      </x:c>
      <x:c r="E1077" s="50" t="str">
        <x:v>APA SWING SETUP</x:v>
      </x:c>
      <x:c r="F1077" s="50" t="str">
        <x:v>WATCH</x:v>
      </x:c>
      <x:c r="G1077" s="50"/>
      <x:c r="H1077" s="50" t="str">
        <x:v>LONG</x:v>
      </x:c>
      <x:c r="I1077" s="71" t="n">
        <x:v>37.485</x:v>
      </x:c>
      <x:c r="J1077" s="76" t="str">
        <x:v>SIP</x:v>
      </x:c>
    </x:row>
    <x:row r="1078">
      <x:c r="A1078" s="50" t="str">
        <x:v>019fdd06-41d4-7d71-b84e-1b226890c6d0</x:v>
      </x:c>
      <x:c r="B1078" s="50" t="str">
        <x:v>WELL</x:v>
      </x:c>
      <x:c r="C1078" s="70" t="n">
        <x:v>46241.68058615741</x:v>
      </x:c>
      <x:c r="D1078" s="50" t="str">
        <x:v>SWING_SETUP</x:v>
      </x:c>
      <x:c r="E1078" s="50" t="str">
        <x:v>WELL SWING SETUP</x:v>
      </x:c>
      <x:c r="F1078" s="50" t="str">
        <x:v>WATCH</x:v>
      </x:c>
      <x:c r="G1078" s="50"/>
      <x:c r="H1078" s="50" t="str">
        <x:v>LONG</x:v>
      </x:c>
      <x:c r="I1078" s="71" t="n">
        <x:v>236.87</x:v>
      </x:c>
      <x:c r="J1078" s="76" t="str">
        <x:v>SIP</x:v>
      </x:c>
    </x:row>
    <x:row r="1079">
      <x:c r="A1079" s="50" t="str">
        <x:v>019fdd06-41e6-7831-bca4-795c8871cd70</x:v>
      </x:c>
      <x:c r="B1079" s="50" t="str">
        <x:v>DASH</x:v>
      </x:c>
      <x:c r="C1079" s="70" t="n">
        <x:v>46241.68058635417</x:v>
      </x:c>
      <x:c r="D1079" s="50" t="str">
        <x:v>SWING_SETUP</x:v>
      </x:c>
      <x:c r="E1079" s="50" t="str">
        <x:v>DASH SWING SETUP</x:v>
      </x:c>
      <x:c r="F1079" s="50" t="str">
        <x:v>WATCH</x:v>
      </x:c>
      <x:c r="G1079" s="50"/>
      <x:c r="H1079" s="50" t="str">
        <x:v>LONG</x:v>
      </x:c>
      <x:c r="I1079" s="71" t="n">
        <x:v>220.79</x:v>
      </x:c>
      <x:c r="J1079" s="76" t="str">
        <x:v>SIP</x:v>
      </x:c>
    </x:row>
    <x:row r="1080">
      <x:c r="A1080" s="50" t="str">
        <x:v>019fdd06-41fe-7d56-aa62-a6a55c5337b0</x:v>
      </x:c>
      <x:c r="B1080" s="50" t="str">
        <x:v>ABNB</x:v>
      </x:c>
      <x:c r="C1080" s="70" t="n">
        <x:v>46241.68058664352</x:v>
      </x:c>
      <x:c r="D1080" s="50" t="str">
        <x:v>SWING_SETUP</x:v>
      </x:c>
      <x:c r="E1080" s="50" t="str">
        <x:v>ABNB SWING SETUP</x:v>
      </x:c>
      <x:c r="F1080" s="50" t="str">
        <x:v>WATCH</x:v>
      </x:c>
      <x:c r="G1080" s="50"/>
      <x:c r="H1080" s="50" t="str">
        <x:v>LONG</x:v>
      </x:c>
      <x:c r="I1080" s="71" t="n">
        <x:v>173.81</x:v>
      </x:c>
      <x:c r="J1080" s="76" t="str">
        <x:v>SIP</x:v>
      </x:c>
    </x:row>
    <x:row r="1081">
      <x:c r="A1081" s="50" t="str">
        <x:v>019fdd06-436e-7b49-9d57-769b1c02547e</x:v>
      </x:c>
      <x:c r="B1081" s="50" t="str">
        <x:v>ANET</x:v>
      </x:c>
      <x:c r="C1081" s="70" t="n">
        <x:v>46241.680590902775</x:v>
      </x:c>
      <x:c r="D1081" s="50" t="str">
        <x:v>SWING_SETUP</x:v>
      </x:c>
      <x:c r="E1081" s="50" t="str">
        <x:v>ANET SWING SETUP</x:v>
      </x:c>
      <x:c r="F1081" s="50" t="str">
        <x:v>WATCH</x:v>
      </x:c>
      <x:c r="G1081" s="50"/>
      <x:c r="H1081" s="50" t="str">
        <x:v>LONG</x:v>
      </x:c>
      <x:c r="I1081" s="71" t="n">
        <x:v>191.34</x:v>
      </x:c>
      <x:c r="J1081" s="76" t="str">
        <x:v>SIP</x:v>
      </x:c>
    </x:row>
    <x:row r="1082">
      <x:c r="A1082" s="50" t="str">
        <x:v>019fdd06-4396-7eb5-8b9c-91df088d732b</x:v>
      </x:c>
      <x:c r="B1082" s="50" t="str">
        <x:v>NVDA</x:v>
      </x:c>
      <x:c r="C1082" s="70" t="n">
        <x:v>46241.68059135417</x:v>
      </x:c>
      <x:c r="D1082" s="50" t="str">
        <x:v>SWING_SETUP</x:v>
      </x:c>
      <x:c r="E1082" s="50" t="str">
        <x:v>NVDA SWING SETUP</x:v>
      </x:c>
      <x:c r="F1082" s="50" t="str">
        <x:v>WATCH</x:v>
      </x:c>
      <x:c r="G1082" s="50"/>
      <x:c r="H1082" s="50" t="str">
        <x:v>LONG</x:v>
      </x:c>
      <x:c r="I1082" s="71" t="n">
        <x:v>223.6</x:v>
      </x:c>
      <x:c r="J1082" s="76" t="str">
        <x:v>SIP</x:v>
      </x:c>
    </x:row>
    <x:row r="1083">
      <x:c r="A1083" s="50" t="str">
        <x:v>019fdd06-4412-7f99-a4ef-d68be6db4e35</x:v>
      </x:c>
      <x:c r="B1083" s="50" t="str">
        <x:v>SBUX</x:v>
      </x:c>
      <x:c r="C1083" s="70" t="n">
        <x:v>46241.68059278935</x:v>
      </x:c>
      <x:c r="D1083" s="50" t="str">
        <x:v>SWING_SETUP</x:v>
      </x:c>
      <x:c r="E1083" s="50" t="str">
        <x:v>SBUX SWING SETUP</x:v>
      </x:c>
      <x:c r="F1083" s="50" t="str">
        <x:v>WATCH</x:v>
      </x:c>
      <x:c r="G1083" s="50"/>
      <x:c r="H1083" s="50" t="str">
        <x:v>LONG</x:v>
      </x:c>
      <x:c r="I1083" s="71" t="n">
        <x:v>106.78</x:v>
      </x:c>
      <x:c r="J1083" s="76" t="str">
        <x:v>SIP</x:v>
      </x:c>
    </x:row>
    <x:row r="1084">
      <x:c r="A1084" s="50" t="str">
        <x:v>019fdd06-442b-7ea5-8f0a-a762f2546521</x:v>
      </x:c>
      <x:c r="B1084" s="50" t="str">
        <x:v>MDLZ</x:v>
      </x:c>
      <x:c r="C1084" s="70" t="n">
        <x:v>46241.68059309028</x:v>
      </x:c>
      <x:c r="D1084" s="50" t="str">
        <x:v>SWING_SETUP</x:v>
      </x:c>
      <x:c r="E1084" s="50" t="str">
        <x:v>MDLZ SWING SETUP</x:v>
      </x:c>
      <x:c r="F1084" s="50" t="str">
        <x:v>WATCH</x:v>
      </x:c>
      <x:c r="G1084" s="50"/>
      <x:c r="H1084" s="50" t="str">
        <x:v>LONG</x:v>
      </x:c>
      <x:c r="I1084" s="71" t="n">
        <x:v>62.75</x:v>
      </x:c>
      <x:c r="J1084" s="76" t="str">
        <x:v>SIP</x:v>
      </x:c>
    </x:row>
    <x:row r="1085">
      <x:c r="A1085" s="50" t="str">
        <x:v>019fdd06-4437-7b6e-9204-83edc467ee99</x:v>
      </x:c>
      <x:c r="B1085" s="50" t="str">
        <x:v>VZ</x:v>
      </x:c>
      <x:c r="C1085" s="70" t="n">
        <x:v>46241.68059322917</x:v>
      </x:c>
      <x:c r="D1085" s="50" t="str">
        <x:v>SWING_SETUP</x:v>
      </x:c>
      <x:c r="E1085" s="50" t="str">
        <x:v>VZ SWING SETUP</x:v>
      </x:c>
      <x:c r="F1085" s="50" t="str">
        <x:v>WATCH</x:v>
      </x:c>
      <x:c r="G1085" s="50"/>
      <x:c r="H1085" s="50" t="str">
        <x:v>LONG</x:v>
      </x:c>
      <x:c r="I1085" s="71" t="n">
        <x:v>46.825</x:v>
      </x:c>
      <x:c r="J1085" s="76" t="str">
        <x:v>SIP</x:v>
      </x:c>
    </x:row>
    <x:row r="1086">
      <x:c r="A1086" s="50" t="str">
        <x:v>019fdd06-444f-7e22-957b-007750295b6f</x:v>
      </x:c>
      <x:c r="B1086" s="50" t="str">
        <x:v>UNP</x:v>
      </x:c>
      <x:c r="C1086" s="70" t="n">
        <x:v>46241.68059350694</x:v>
      </x:c>
      <x:c r="D1086" s="50" t="str">
        <x:v>SWING_SETUP</x:v>
      </x:c>
      <x:c r="E1086" s="50" t="str">
        <x:v>UNP SWING SETUP</x:v>
      </x:c>
      <x:c r="F1086" s="50" t="str">
        <x:v>WATCH</x:v>
      </x:c>
      <x:c r="G1086" s="50"/>
      <x:c r="H1086" s="50" t="str">
        <x:v>LONG</x:v>
      </x:c>
      <x:c r="I1086" s="71" t="n">
        <x:v>295.6</x:v>
      </x:c>
      <x:c r="J1086" s="76" t="str">
        <x:v>SIP</x:v>
      </x:c>
    </x:row>
    <x:row r="1087">
      <x:c r="A1087" s="50" t="str">
        <x:v>019fdd06-4460-7048-8818-9f2e28128c7b</x:v>
      </x:c>
      <x:c r="B1087" s="50" t="str">
        <x:v>OXY</x:v>
      </x:c>
      <x:c r="C1087" s="70" t="n">
        <x:v>46241.680593703706</x:v>
      </x:c>
      <x:c r="D1087" s="50" t="str">
        <x:v>SWING_SETUP</x:v>
      </x:c>
      <x:c r="E1087" s="50" t="str">
        <x:v>OXY SWING SETUP</x:v>
      </x:c>
      <x:c r="F1087" s="50" t="str">
        <x:v>WATCH</x:v>
      </x:c>
      <x:c r="G1087" s="50"/>
      <x:c r="H1087" s="50" t="str">
        <x:v>LONG</x:v>
      </x:c>
      <x:c r="I1087" s="71" t="n">
        <x:v>56.25</x:v>
      </x:c>
      <x:c r="J1087" s="76" t="str">
        <x:v>SIP</x:v>
      </x:c>
    </x:row>
    <x:row r="1088">
      <x:c r="A1088" s="50" t="str">
        <x:v>019fdd06-4484-753f-b0f1-c85456425232</x:v>
      </x:c>
      <x:c r="B1088" s="50" t="str">
        <x:v>COP</x:v>
      </x:c>
      <x:c r="C1088" s="70" t="n">
        <x:v>46241.68059412037</x:v>
      </x:c>
      <x:c r="D1088" s="50" t="str">
        <x:v>SWING_SETUP</x:v>
      </x:c>
      <x:c r="E1088" s="50" t="str">
        <x:v>COP SWING SETUP</x:v>
      </x:c>
      <x:c r="F1088" s="50" t="str">
        <x:v>WATCH</x:v>
      </x:c>
      <x:c r="G1088" s="50"/>
      <x:c r="H1088" s="50" t="str">
        <x:v>LONG</x:v>
      </x:c>
      <x:c r="I1088" s="71" t="n">
        <x:v>118.05</x:v>
      </x:c>
      <x:c r="J1088" s="76" t="str">
        <x:v>SIP</x:v>
      </x:c>
    </x:row>
    <x:row r="1089">
      <x:c r="A1089" s="50" t="str">
        <x:v>019fdd06-473d-7e78-b451-3fabd5d11302</x:v>
      </x:c>
      <x:c r="B1089" s="50" t="str">
        <x:v>BMY</x:v>
      </x:c>
      <x:c r="C1089" s="70" t="n">
        <x:v>46241.6806021875</x:v>
      </x:c>
      <x:c r="D1089" s="50" t="str">
        <x:v>SWING_SETUP</x:v>
      </x:c>
      <x:c r="E1089" s="50" t="str">
        <x:v>BMY SWING SETUP</x:v>
      </x:c>
      <x:c r="F1089" s="50" t="str">
        <x:v>WATCH</x:v>
      </x:c>
      <x:c r="G1089" s="50"/>
      <x:c r="H1089" s="50" t="str">
        <x:v>LONG</x:v>
      </x:c>
      <x:c r="I1089" s="71" t="n">
        <x:v>64.275</x:v>
      </x:c>
      <x:c r="J1089" s="76" t="str">
        <x:v>SIP</x:v>
      </x:c>
    </x:row>
    <x:row r="1090">
      <x:c r="A1090" s="50" t="str">
        <x:v>019fdd06-4f15-7a62-8410-35242355816f</x:v>
      </x:c>
      <x:c r="B1090" s="50" t="str">
        <x:v>SBUX</x:v>
      </x:c>
      <x:c r="C1090" s="70" t="n">
        <x:v>46241.68062542824</x:v>
      </x:c>
      <x:c r="D1090" s="50" t="str">
        <x:v>LONG_BUY_ZONE</x:v>
      </x:c>
      <x:c r="E1090" s="50" t="str">
        <x:v>SBUX LONG BUY ZONE</x:v>
      </x:c>
      <x:c r="F1090" s="50" t="str">
        <x:v>WATCH</x:v>
      </x:c>
      <x:c r="G1090" s="50"/>
      <x:c r="H1090" s="50" t="str">
        <x:v>LONG</x:v>
      </x:c>
      <x:c r="I1090" s="71" t="n">
        <x:v>106.53</x:v>
      </x:c>
      <x:c r="J1090" s="76" t="str">
        <x:v>SIP</x:v>
      </x:c>
    </x:row>
    <x:row r="1091">
      <x:c r="A1091" s="50" t="str">
        <x:v>019fdd07-2b47-70dc-b190-777aa7b94edf</x:v>
      </x:c>
      <x:c r="B1091" s="50" t="str">
        <x:v>ABBV</x:v>
      </x:c>
      <x:c r="C1091" s="70" t="n">
        <x:v>46241.6812778588</x:v>
      </x:c>
      <x:c r="D1091" s="50" t="str">
        <x:v>LONG_BUY_ZONE</x:v>
      </x:c>
      <x:c r="E1091" s="50" t="str">
        <x:v>ABBV LONG BUY ZONE</x:v>
      </x:c>
      <x:c r="F1091" s="50" t="str">
        <x:v>WATCH</x:v>
      </x:c>
      <x:c r="G1091" s="50"/>
      <x:c r="H1091" s="50" t="str">
        <x:v>LONG</x:v>
      </x:c>
      <x:c r="I1091" s="71" t="n">
        <x:v>244.42</x:v>
      </x:c>
      <x:c r="J1091" s="76" t="str">
        <x:v>SIP</x:v>
      </x:c>
    </x:row>
    <x:row r="1092">
      <x:c r="A1092" s="50" t="str">
        <x:v>019fdd07-3c7c-7fd3-a8ff-ab1cada6f39b</x:v>
      </x:c>
      <x:c r="B1092" s="50" t="str">
        <x:v>PM</x:v>
      </x:c>
      <x:c r="C1092" s="70" t="n">
        <x:v>46241.681328831015</x:v>
      </x:c>
      <x:c r="D1092" s="50" t="str">
        <x:v>LONG_BUY_ZONE</x:v>
      </x:c>
      <x:c r="E1092" s="50" t="str">
        <x:v>PM LONG BUY ZONE</x:v>
      </x:c>
      <x:c r="F1092" s="50" t="str">
        <x:v>WATCH</x:v>
      </x:c>
      <x:c r="G1092" s="50"/>
      <x:c r="H1092" s="50" t="str">
        <x:v>LONG</x:v>
      </x:c>
      <x:c r="I1092" s="71" t="n">
        <x:v>189.053</x:v>
      </x:c>
      <x:c r="J1092" s="76" t="str">
        <x:v>SIP</x:v>
      </x:c>
    </x:row>
    <x:row r="1093">
      <x:c r="A1093" s="50" t="str">
        <x:v>019fdd08-17f3-7d43-940c-620d00b7c54b</x:v>
      </x:c>
      <x:c r="B1093" s="50" t="str">
        <x:v>BLK</x:v>
      </x:c>
      <x:c r="C1093" s="70" t="n">
        <x:v>46241.68197909722</x:v>
      </x:c>
      <x:c r="D1093" s="50" t="str">
        <x:v>SWING_SETUP</x:v>
      </x:c>
      <x:c r="E1093" s="50" t="str">
        <x:v>BLK SWING SETUP</x:v>
      </x:c>
      <x:c r="F1093" s="50" t="str">
        <x:v>WATCH</x:v>
      </x:c>
      <x:c r="G1093" s="50"/>
      <x:c r="H1093" s="50" t="str">
        <x:v>LONG</x:v>
      </x:c>
      <x:c r="I1093" s="71" t="n">
        <x:v>1130.87</x:v>
      </x:c>
      <x:c r="J1093" s="76" t="str">
        <x:v>SIP</x:v>
      </x:c>
    </x:row>
    <x:row r="1094">
      <x:c r="A1094" s="50" t="str">
        <x:v>019fdd08-1ae5-788e-b521-53792a36fdbd</x:v>
      </x:c>
      <x:c r="B1094" s="50" t="str">
        <x:v>JD</x:v>
      </x:c>
      <x:c r="C1094" s="70" t="n">
        <x:v>46241.68198783565</x:v>
      </x:c>
      <x:c r="D1094" s="50" t="str">
        <x:v>SWING_SETUP</x:v>
      </x:c>
      <x:c r="E1094" s="50" t="str">
        <x:v>JD SWING SETUP</x:v>
      </x:c>
      <x:c r="F1094" s="50" t="str">
        <x:v>WATCH</x:v>
      </x:c>
      <x:c r="G1094" s="50"/>
      <x:c r="H1094" s="50" t="str">
        <x:v>LONG</x:v>
      </x:c>
      <x:c r="I1094" s="71" t="n">
        <x:v>32.94</x:v>
      </x:c>
      <x:c r="J1094" s="76" t="str">
        <x:v>SIP</x:v>
      </x:c>
    </x:row>
    <x:row r="1095">
      <x:c r="A1095" s="50" t="str">
        <x:v>019fdd08-1b20-74c5-988d-4e09101e742f</x:v>
      </x:c>
      <x:c r="B1095" s="50" t="str">
        <x:v>BAC</x:v>
      </x:c>
      <x:c r="C1095" s="70" t="n">
        <x:v>46241.68198851852</x:v>
      </x:c>
      <x:c r="D1095" s="50" t="str">
        <x:v>SWING_SETUP</x:v>
      </x:c>
      <x:c r="E1095" s="50" t="str">
        <x:v>BAC SWING SETUP</x:v>
      </x:c>
      <x:c r="F1095" s="50" t="str">
        <x:v>WATCH</x:v>
      </x:c>
      <x:c r="G1095" s="50"/>
      <x:c r="H1095" s="50" t="str">
        <x:v>LONG</x:v>
      </x:c>
      <x:c r="I1095" s="71" t="n">
        <x:v>62.945</x:v>
      </x:c>
      <x:c r="J1095" s="76" t="str">
        <x:v>SIP</x:v>
      </x:c>
    </x:row>
    <x:row r="1096">
      <x:c r="A1096" s="50" t="str">
        <x:v>019fdd08-1b3a-7fcc-9352-c656fd0b264f</x:v>
      </x:c>
      <x:c r="B1096" s="50" t="str">
        <x:v>JPM</x:v>
      </x:c>
      <x:c r="C1096" s="70" t="n">
        <x:v>46241.681988819444</x:v>
      </x:c>
      <x:c r="D1096" s="50" t="str">
        <x:v>SWING_SETUP</x:v>
      </x:c>
      <x:c r="E1096" s="50" t="str">
        <x:v>JPM SWING SETUP</x:v>
      </x:c>
      <x:c r="F1096" s="50" t="str">
        <x:v>WATCH</x:v>
      </x:c>
      <x:c r="G1096" s="50"/>
      <x:c r="H1096" s="50" t="str">
        <x:v>LONG</x:v>
      </x:c>
      <x:c r="I1096" s="71" t="n">
        <x:v>356.555</x:v>
      </x:c>
      <x:c r="J1096" s="76" t="str">
        <x:v>SIP</x:v>
      </x:c>
    </x:row>
    <x:row r="1097">
      <x:c r="A1097" s="50" t="str">
        <x:v>019fdd08-1b53-7e02-b266-549c4a6634a4</x:v>
      </x:c>
      <x:c r="B1097" s="50" t="str">
        <x:v>ECL</x:v>
      </x:c>
      <x:c r="C1097" s="70" t="n">
        <x:v>46241.681989108794</x:v>
      </x:c>
      <x:c r="D1097" s="50" t="str">
        <x:v>SWING_SETUP</x:v>
      </x:c>
      <x:c r="E1097" s="50" t="str">
        <x:v>ECL SWING SETUP</x:v>
      </x:c>
      <x:c r="F1097" s="50" t="str">
        <x:v>WATCH</x:v>
      </x:c>
      <x:c r="G1097" s="50"/>
      <x:c r="H1097" s="50" t="str">
        <x:v>LONG</x:v>
      </x:c>
      <x:c r="I1097" s="71" t="n">
        <x:v>285.35</x:v>
      </x:c>
      <x:c r="J1097" s="76" t="str">
        <x:v>SIP</x:v>
      </x:c>
    </x:row>
    <x:row r="1098">
      <x:c r="A1098" s="50" t="str">
        <x:v>019fdd08-1b6b-7ddd-aaaf-103fbdd5392b</x:v>
      </x:c>
      <x:c r="B1098" s="50" t="str">
        <x:v>PFE</x:v>
      </x:c>
      <x:c r="C1098" s="70" t="n">
        <x:v>46241.681989386576</x:v>
      </x:c>
      <x:c r="D1098" s="50" t="str">
        <x:v>SWING_SETUP</x:v>
      </x:c>
      <x:c r="E1098" s="50" t="str">
        <x:v>PFE SWING SETUP</x:v>
      </x:c>
      <x:c r="F1098" s="50" t="str">
        <x:v>WATCH</x:v>
      </x:c>
      <x:c r="G1098" s="50"/>
      <x:c r="H1098" s="50" t="str">
        <x:v>LONG</x:v>
      </x:c>
      <x:c r="I1098" s="71" t="n">
        <x:v>26.455</x:v>
      </x:c>
      <x:c r="J1098" s="76" t="str">
        <x:v>SIP</x:v>
      </x:c>
    </x:row>
    <x:row r="1099">
      <x:c r="A1099" s="50" t="str">
        <x:v>019fdd08-1bb8-78d7-8b26-c45004569136</x:v>
      </x:c>
      <x:c r="B1099" s="50" t="str">
        <x:v>ETHA</x:v>
      </x:c>
      <x:c r="C1099" s="70" t="n">
        <x:v>46241.68199027778</x:v>
      </x:c>
      <x:c r="D1099" s="50" t="str">
        <x:v>SWING_SETUP</x:v>
      </x:c>
      <x:c r="E1099" s="50" t="str">
        <x:v>ETHA SWING SETUP</x:v>
      </x:c>
      <x:c r="F1099" s="50" t="str">
        <x:v>WATCH</x:v>
      </x:c>
      <x:c r="G1099" s="50"/>
      <x:c r="H1099" s="50" t="str">
        <x:v>LONG</x:v>
      </x:c>
      <x:c r="I1099" s="71" t="n">
        <x:v>14.51</x:v>
      </x:c>
      <x:c r="J1099" s="76" t="str">
        <x:v>SIP</x:v>
      </x:c>
    </x:row>
    <x:row r="1100">
      <x:c r="A1100" s="50" t="str">
        <x:v>019fdd08-1bd1-7dbd-9a08-274fcbf74bf9</x:v>
      </x:c>
      <x:c r="B1100" s="50" t="str">
        <x:v>TMDX</x:v>
      </x:c>
      <x:c r="C1100" s="70" t="n">
        <x:v>46241.68199056713</x:v>
      </x:c>
      <x:c r="D1100" s="50" t="str">
        <x:v>SWING_SETUP</x:v>
      </x:c>
      <x:c r="E1100" s="50" t="str">
        <x:v>TMDX SWING SETUP</x:v>
      </x:c>
      <x:c r="F1100" s="50" t="str">
        <x:v>WATCH</x:v>
      </x:c>
      <x:c r="G1100" s="50"/>
      <x:c r="H1100" s="50" t="str">
        <x:v>LONG</x:v>
      </x:c>
      <x:c r="I1100" s="71" t="n">
        <x:v>81.25</x:v>
      </x:c>
      <x:c r="J1100" s="76" t="str">
        <x:v>SIP</x:v>
      </x:c>
    </x:row>
    <x:row r="1101">
      <x:c r="A1101" s="50" t="str">
        <x:v>019fdd08-1c0c-7729-890b-56ee69aa7153</x:v>
      </x:c>
      <x:c r="B1101" s="50" t="str">
        <x:v>BKNG</x:v>
      </x:c>
      <x:c r="C1101" s="70" t="n">
        <x:v>46241.68199125</x:v>
      </x:c>
      <x:c r="D1101" s="50" t="str">
        <x:v>SWING_SETUP</x:v>
      </x:c>
      <x:c r="E1101" s="50" t="str">
        <x:v>BKNG SWING SETUP</x:v>
      </x:c>
      <x:c r="F1101" s="50" t="str">
        <x:v>WATCH</x:v>
      </x:c>
      <x:c r="G1101" s="50"/>
      <x:c r="H1101" s="50" t="str">
        <x:v>LONG</x:v>
      </x:c>
      <x:c r="I1101" s="71" t="n">
        <x:v>213.83</x:v>
      </x:c>
      <x:c r="J1101" s="76" t="str">
        <x:v>SIP</x:v>
      </x:c>
    </x:row>
    <x:row r="1102">
      <x:c r="A1102" s="50" t="str">
        <x:v>019fdd08-1cae-795a-84bd-20e72ad0ab5c</x:v>
      </x:c>
      <x:c r="B1102" s="50" t="str">
        <x:v>KO</x:v>
      </x:c>
      <x:c r="C1102" s="70" t="n">
        <x:v>46241.681993125</x:v>
      </x:c>
      <x:c r="D1102" s="50" t="str">
        <x:v>SWING_SETUP</x:v>
      </x:c>
      <x:c r="E1102" s="50" t="str">
        <x:v>KO SWING SETUP</x:v>
      </x:c>
      <x:c r="F1102" s="50" t="str">
        <x:v>WATCH</x:v>
      </x:c>
      <x:c r="G1102" s="50"/>
      <x:c r="H1102" s="50" t="str">
        <x:v>LONG</x:v>
      </x:c>
      <x:c r="I1102" s="71" t="n">
        <x:v>86.915</x:v>
      </x:c>
      <x:c r="J1102" s="76" t="str">
        <x:v>SIP</x:v>
      </x:c>
    </x:row>
    <x:row r="1103">
      <x:c r="A1103" s="50" t="str">
        <x:v>019fdd08-1cf7-748a-bf2e-be919dfab284</x:v>
      </x:c>
      <x:c r="B1103" s="50" t="str">
        <x:v>CEG</x:v>
      </x:c>
      <x:c r="C1103" s="70" t="n">
        <x:v>46241.681993969905</x:v>
      </x:c>
      <x:c r="D1103" s="50" t="str">
        <x:v>SWING_SETUP</x:v>
      </x:c>
      <x:c r="E1103" s="50" t="str">
        <x:v>CEG SWING SETUP</x:v>
      </x:c>
      <x:c r="F1103" s="50" t="str">
        <x:v>WATCH</x:v>
      </x:c>
      <x:c r="G1103" s="50"/>
      <x:c r="H1103" s="50" t="str">
        <x:v>LONG</x:v>
      </x:c>
      <x:c r="I1103" s="71" t="n">
        <x:v>267.45</x:v>
      </x:c>
      <x:c r="J1103" s="76" t="str">
        <x:v>SIP</x:v>
      </x:c>
    </x:row>
    <x:row r="1104">
      <x:c r="A1104" s="50" t="str">
        <x:v>019fdd08-1d71-7b99-84af-656c28dd8c7d</x:v>
      </x:c>
      <x:c r="B1104" s="50" t="str">
        <x:v>SHW</x:v>
      </x:c>
      <x:c r="C1104" s="70" t="n">
        <x:v>46241.68199538194</x:v>
      </x:c>
      <x:c r="D1104" s="50" t="str">
        <x:v>SWING_SETUP</x:v>
      </x:c>
      <x:c r="E1104" s="50" t="str">
        <x:v>SHW SWING SETUP</x:v>
      </x:c>
      <x:c r="F1104" s="50" t="str">
        <x:v>WATCH</x:v>
      </x:c>
      <x:c r="G1104" s="50"/>
      <x:c r="H1104" s="50" t="str">
        <x:v>LONG</x:v>
      </x:c>
      <x:c r="I1104" s="71" t="n">
        <x:v>367.9</x:v>
      </x:c>
      <x:c r="J1104" s="76" t="str">
        <x:v>SIP</x:v>
      </x:c>
    </x:row>
    <x:row r="1105">
      <x:c r="A1105" s="50" t="str">
        <x:v>019fdd08-2324-74b2-8379-5917c0ae6ce4</x:v>
      </x:c>
      <x:c r="B1105" s="50" t="str">
        <x:v>HRL</x:v>
      </x:c>
      <x:c r="C1105" s="70" t="n">
        <x:v>46241.68201226852</x:v>
      </x:c>
      <x:c r="D1105" s="50" t="str">
        <x:v>LONG_BUY_ZONE</x:v>
      </x:c>
      <x:c r="E1105" s="50" t="str">
        <x:v>HRL LONG BUY ZONE</x:v>
      </x:c>
      <x:c r="F1105" s="50" t="str">
        <x:v>WATCH</x:v>
      </x:c>
      <x:c r="G1105" s="50"/>
      <x:c r="H1105" s="50" t="str">
        <x:v>LONG</x:v>
      </x:c>
      <x:c r="I1105" s="71" t="n">
        <x:v>25.195</x:v>
      </x:c>
      <x:c r="J1105" s="76" t="str">
        <x:v>SIP</x:v>
      </x:c>
    </x:row>
    <x:row r="1106">
      <x:c r="A1106" s="50" t="str">
        <x:v>019fdd08-244b-71f5-8607-382c36e796c2</x:v>
      </x:c>
      <x:c r="B1106" s="50" t="str">
        <x:v>RCL</x:v>
      </x:c>
      <x:c r="C1106" s="70" t="n">
        <x:v>46241.68201568287</x:v>
      </x:c>
      <x:c r="D1106" s="50" t="str">
        <x:v>LONG_BUY_ZONE</x:v>
      </x:c>
      <x:c r="E1106" s="50" t="str">
        <x:v>RCL LONG BUY ZONE</x:v>
      </x:c>
      <x:c r="F1106" s="50" t="str">
        <x:v>WATCH</x:v>
      </x:c>
      <x:c r="G1106" s="50"/>
      <x:c r="H1106" s="50" t="str">
        <x:v>LONG</x:v>
      </x:c>
      <x:c r="I1106" s="71" t="n">
        <x:v>321.755</x:v>
      </x:c>
      <x:c r="J1106" s="76" t="str">
        <x:v>SIP</x:v>
      </x:c>
    </x:row>
    <x:row r="1107">
      <x:c r="A1107" s="50" t="str">
        <x:v>019fdd09-0159-70a2-92d2-205098255dc3</x:v>
      </x:c>
      <x:c r="B1107" s="50" t="str">
        <x:v>RCL</x:v>
      </x:c>
      <x:c r="C1107" s="70" t="n">
        <x:v>46241.68267064815</x:v>
      </x:c>
      <x:c r="D1107" s="50" t="str">
        <x:v>SWING_SETUP</x:v>
      </x:c>
      <x:c r="E1107" s="50" t="str">
        <x:v>RCL SWING SETUP</x:v>
      </x:c>
      <x:c r="F1107" s="50" t="str">
        <x:v>WATCH</x:v>
      </x:c>
      <x:c r="G1107" s="50"/>
      <x:c r="H1107" s="50" t="str">
        <x:v>LONG</x:v>
      </x:c>
      <x:c r="I1107" s="71" t="n">
        <x:v>321.9</x:v>
      </x:c>
      <x:c r="J1107" s="76" t="str">
        <x:v>SIP</x:v>
      </x:c>
    </x:row>
    <x:row r="1108">
      <x:c r="A1108" s="50" t="str">
        <x:v>019fdd09-07fc-7fcd-be9d-83c80f95ddff</x:v>
      </x:c>
      <x:c r="B1108" s="50" t="str">
        <x:v>PM</x:v>
      </x:c>
      <x:c r="C1108" s="70" t="n">
        <x:v>46241.68269032407</x:v>
      </x:c>
      <x:c r="D1108" s="50" t="str">
        <x:v>SWING_SETUP</x:v>
      </x:c>
      <x:c r="E1108" s="50" t="str">
        <x:v>PM SWING SETUP</x:v>
      </x:c>
      <x:c r="F1108" s="50" t="str">
        <x:v>WATCH</x:v>
      </x:c>
      <x:c r="G1108" s="50"/>
      <x:c r="H1108" s="50" t="str">
        <x:v>LONG</x:v>
      </x:c>
      <x:c r="I1108" s="71" t="n">
        <x:v>189.035</x:v>
      </x:c>
      <x:c r="J1108" s="76" t="str">
        <x:v>SIP</x:v>
      </x:c>
    </x:row>
    <x:row r="1109">
      <x:c r="A1109" s="50" t="str">
        <x:v>019fdd09-080b-7fb7-8405-1d78f8359fc6</x:v>
      </x:c>
      <x:c r="B1109" s="50" t="str">
        <x:v>ABT</x:v>
      </x:c>
      <x:c r="C1109" s="70" t="n">
        <x:v>46241.68269048611</x:v>
      </x:c>
      <x:c r="D1109" s="50" t="str">
        <x:v>SWING_SETUP</x:v>
      </x:c>
      <x:c r="E1109" s="50" t="str">
        <x:v>ABT SWING SETUP</x:v>
      </x:c>
      <x:c r="F1109" s="50" t="str">
        <x:v>WATCH</x:v>
      </x:c>
      <x:c r="G1109" s="50"/>
      <x:c r="H1109" s="50" t="str">
        <x:v>LONG</x:v>
      </x:c>
      <x:c r="I1109" s="71" t="n">
        <x:v>107.355</x:v>
      </x:c>
      <x:c r="J1109" s="76" t="str">
        <x:v>SIP</x:v>
      </x:c>
    </x:row>
    <x:row r="1110">
      <x:c r="A1110" s="50" t="str">
        <x:v>019fdd09-083b-74b6-b81c-910983399c24</x:v>
      </x:c>
      <x:c r="B1110" s="50" t="str">
        <x:v>ECL</x:v>
      </x:c>
      <x:c r="C1110" s="70" t="n">
        <x:v>46241.68269105324</x:v>
      </x:c>
      <x:c r="D1110" s="50" t="str">
        <x:v>LONG_BUY_ZONE</x:v>
      </x:c>
      <x:c r="E1110" s="50" t="str">
        <x:v>ECL LONG BUY ZONE</x:v>
      </x:c>
      <x:c r="F1110" s="50" t="str">
        <x:v>WATCH</x:v>
      </x:c>
      <x:c r="G1110" s="50"/>
      <x:c r="H1110" s="50" t="str">
        <x:v>LONG</x:v>
      </x:c>
      <x:c r="I1110" s="71" t="n">
        <x:v>284.795</x:v>
      </x:c>
      <x:c r="J1110" s="76" t="str">
        <x:v>SIP</x:v>
      </x:c>
    </x:row>
    <x:row r="1111">
      <x:c r="A1111" s="50" t="str">
        <x:v>019fdd09-08c3-74df-837a-577f004db062</x:v>
      </x:c>
      <x:c r="B1111" s="50" t="str">
        <x:v>MMM</x:v>
      </x:c>
      <x:c r="C1111" s="70" t="n">
        <x:v>46241.68269262731</x:v>
      </x:c>
      <x:c r="D1111" s="50" t="str">
        <x:v>SWING_SETUP</x:v>
      </x:c>
      <x:c r="E1111" s="50" t="str">
        <x:v>MMM SWING SETUP</x:v>
      </x:c>
      <x:c r="F1111" s="50" t="str">
        <x:v>WATCH</x:v>
      </x:c>
      <x:c r="G1111" s="50"/>
      <x:c r="H1111" s="50" t="str">
        <x:v>LONG</x:v>
      </x:c>
      <x:c r="I1111" s="71" t="n">
        <x:v>182.86</x:v>
      </x:c>
      <x:c r="J1111" s="76" t="str">
        <x:v>SIP</x:v>
      </x:c>
    </x:row>
    <x:row r="1112">
      <x:c r="A1112" s="50" t="str">
        <x:v>019fdd09-12c1-705a-9824-ae541f850a65</x:v>
      </x:c>
      <x:c r="B1112" s="50" t="str">
        <x:v>GS</x:v>
      </x:c>
      <x:c r="C1112" s="70" t="n">
        <x:v>46241.682722233796</x:v>
      </x:c>
      <x:c r="D1112" s="50" t="str">
        <x:v>LONG_BUY_ZONE</x:v>
      </x:c>
      <x:c r="E1112" s="50" t="str">
        <x:v>GS LONG BUY ZONE</x:v>
      </x:c>
      <x:c r="F1112" s="50" t="str">
        <x:v>WATCH</x:v>
      </x:c>
      <x:c r="G1112" s="50"/>
      <x:c r="H1112" s="50" t="str">
        <x:v>LONG</x:v>
      </x:c>
      <x:c r="I1112" s="71" t="n">
        <x:v>1036.57</x:v>
      </x:c>
      <x:c r="J1112" s="76" t="str">
        <x:v>SIP</x:v>
      </x:c>
    </x:row>
    <x:row r="1113">
      <x:c r="A1113" s="50" t="str">
        <x:v>019fdd09-12f2-7e62-8be1-97a4be632f70</x:v>
      </x:c>
      <x:c r="B1113" s="50" t="str">
        <x:v>JNJ</x:v>
      </x:c>
      <x:c r="C1113" s="70" t="n">
        <x:v>46241.68272280093</x:v>
      </x:c>
      <x:c r="D1113" s="50" t="str">
        <x:v>LONG_BUY_ZONE</x:v>
      </x:c>
      <x:c r="E1113" s="50" t="str">
        <x:v>JNJ LONG BUY ZONE</x:v>
      </x:c>
      <x:c r="F1113" s="50" t="str">
        <x:v>WATCH</x:v>
      </x:c>
      <x:c r="G1113" s="50"/>
      <x:c r="H1113" s="50" t="str">
        <x:v>LONG</x:v>
      </x:c>
      <x:c r="I1113" s="71" t="n">
        <x:v>256.43</x:v>
      </x:c>
      <x:c r="J1113" s="76" t="str">
        <x:v>SIP</x:v>
      </x:c>
    </x:row>
    <x:row r="1114">
      <x:c r="A1114" s="50" t="str">
        <x:v>019fdd0c-b313-784b-a00b-3e913997c181</x:v>
      </x:c>
      <x:c r="B1114" s="50" t="str">
        <x:v>VZ</x:v>
      </x:c>
      <x:c r="C1114" s="70" t="n">
        <x:v>46241.6854728125</x:v>
      </x:c>
      <x:c r="D1114" s="50" t="str">
        <x:v>LONG_BUY_ZONE</x:v>
      </x:c>
      <x:c r="E1114" s="50" t="str">
        <x:v>VZ LONG BUY ZONE</x:v>
      </x:c>
      <x:c r="F1114" s="50" t="str">
        <x:v>WATCH</x:v>
      </x:c>
      <x:c r="G1114" s="50"/>
      <x:c r="H1114" s="50" t="str">
        <x:v>LONG</x:v>
      </x:c>
      <x:c r="I1114" s="71" t="n">
        <x:v>46.88</x:v>
      </x:c>
      <x:c r="J1114" s="76" t="str">
        <x:v>SIP</x:v>
      </x:c>
    </x:row>
    <x:row r="1115">
      <x:c r="A1115" s="50" t="str">
        <x:v>019fdd0d-a68e-7e08-9b0c-817770a173c8</x:v>
      </x:c>
      <x:c r="B1115" s="50" t="str">
        <x:v>OXY</x:v>
      </x:c>
      <x:c r="C1115" s="70" t="n">
        <x:v>46241.68619422454</x:v>
      </x:c>
      <x:c r="D1115" s="50" t="str">
        <x:v>LONG_BUY_ZONE</x:v>
      </x:c>
      <x:c r="E1115" s="50" t="str">
        <x:v>OXY LONG BUY ZONE</x:v>
      </x:c>
      <x:c r="F1115" s="50" t="str">
        <x:v>WATCH</x:v>
      </x:c>
      <x:c r="G1115" s="50"/>
      <x:c r="H1115" s="50" t="str">
        <x:v>LONG</x:v>
      </x:c>
      <x:c r="I1115" s="71" t="n">
        <x:v>56.35</x:v>
      </x:c>
      <x:c r="J1115" s="76" t="str">
        <x:v>SIP</x:v>
      </x:c>
    </x:row>
    <x:row r="1116">
      <x:c r="A1116" s="50" t="str">
        <x:v>019fdd0e-8d3b-7674-876f-bec0820c7f9f</x:v>
      </x:c>
      <x:c r="B1116" s="50" t="str">
        <x:v>KDP</x:v>
      </x:c>
      <x:c r="C1116" s="70" t="n">
        <x:v>46241.686877719905</x:v>
      </x:c>
      <x:c r="D1116" s="50" t="str">
        <x:v>LONG_BUY_ZONE</x:v>
      </x:c>
      <x:c r="E1116" s="50" t="str">
        <x:v>KDP LONG BUY ZONE</x:v>
      </x:c>
      <x:c r="F1116" s="50" t="str">
        <x:v>WATCH</x:v>
      </x:c>
      <x:c r="G1116" s="50"/>
      <x:c r="H1116" s="50" t="str">
        <x:v>LONG</x:v>
      </x:c>
      <x:c r="I1116" s="71" t="n">
        <x:v>30.02</x:v>
      </x:c>
      <x:c r="J1116" s="76" t="str">
        <x:v>SIP</x:v>
      </x:c>
    </x:row>
    <x:row r="1117">
      <x:c r="A1117" s="50" t="str">
        <x:v>019fdd10-566e-757a-813b-e8363359b24f</x:v>
      </x:c>
      <x:c r="B1117" s="50" t="str">
        <x:v>AMZN</x:v>
      </x:c>
      <x:c r="C1117" s="70" t="n">
        <x:v>46241.68823238426</x:v>
      </x:c>
      <x:c r="D1117" s="50" t="str">
        <x:v>SWING_SETUP</x:v>
      </x:c>
      <x:c r="E1117" s="50" t="str">
        <x:v>AMZN SWING SETUP</x:v>
      </x:c>
      <x:c r="F1117" s="50" t="str">
        <x:v>WATCH</x:v>
      </x:c>
      <x:c r="G1117" s="50"/>
      <x:c r="H1117" s="50" t="str">
        <x:v>LONG</x:v>
      </x:c>
      <x:c r="I1117" s="71" t="n">
        <x:v>276.17</x:v>
      </x:c>
      <x:c r="J1117" s="76" t="str">
        <x:v>SIP</x:v>
      </x:c>
    </x:row>
    <x:row r="1118">
      <x:c r="A1118" s="50" t="str">
        <x:v>019fdd10-576a-72bc-ad6f-8c6bea6ccdf7</x:v>
      </x:c>
      <x:c r="B1118" s="50" t="str">
        <x:v>MRK</x:v>
      </x:c>
      <x:c r="C1118" s="70" t="n">
        <x:v>46241.68823530093</x:v>
      </x:c>
      <x:c r="D1118" s="50" t="str">
        <x:v>SWING_SETUP</x:v>
      </x:c>
      <x:c r="E1118" s="50" t="str">
        <x:v>MRK SWING SETUP</x:v>
      </x:c>
      <x:c r="F1118" s="50" t="str">
        <x:v>WATCH</x:v>
      </x:c>
      <x:c r="G1118" s="50"/>
      <x:c r="H1118" s="50" t="str">
        <x:v>LONG</x:v>
      </x:c>
      <x:c r="I1118" s="71" t="n">
        <x:v>128.29</x:v>
      </x:c>
      <x:c r="J1118" s="76" t="str">
        <x:v>SIP</x:v>
      </x:c>
    </x:row>
    <x:row r="1119">
      <x:c r="A1119" s="50" t="str">
        <x:v>019fdd10-58ef-7192-82f0-92fd1634f172</x:v>
      </x:c>
      <x:c r="B1119" s="50" t="str">
        <x:v>XOM</x:v>
      </x:c>
      <x:c r="C1119" s="70" t="n">
        <x:v>46241.68823980324</x:v>
      </x:c>
      <x:c r="D1119" s="50" t="str">
        <x:v>SWING_SETUP</x:v>
      </x:c>
      <x:c r="E1119" s="50" t="str">
        <x:v>XOM SWING SETUP</x:v>
      </x:c>
      <x:c r="F1119" s="50" t="str">
        <x:v>WATCH</x:v>
      </x:c>
      <x:c r="G1119" s="50"/>
      <x:c r="H1119" s="50" t="str">
        <x:v>LONG</x:v>
      </x:c>
      <x:c r="I1119" s="71" t="n">
        <x:v>153.435</x:v>
      </x:c>
      <x:c r="J1119" s="76" t="str">
        <x:v>SIP</x:v>
      </x:c>
    </x:row>
    <x:row r="1120">
      <x:c r="A1120" s="50" t="str">
        <x:v>019fdd10-5b9e-7d24-8af6-49bb4bb373a4</x:v>
      </x:c>
      <x:c r="B1120" s="50" t="str">
        <x:v>NUE</x:v>
      </x:c>
      <x:c r="C1120" s="70" t="n">
        <x:v>46241.68824775463</x:v>
      </x:c>
      <x:c r="D1120" s="50" t="str">
        <x:v>SWING_SETUP</x:v>
      </x:c>
      <x:c r="E1120" s="50" t="str">
        <x:v>NUE SWING SETUP</x:v>
      </x:c>
      <x:c r="F1120" s="50" t="str">
        <x:v>WATCH</x:v>
      </x:c>
      <x:c r="G1120" s="50"/>
      <x:c r="H1120" s="50" t="str">
        <x:v>LONG</x:v>
      </x:c>
      <x:c r="I1120" s="71" t="n">
        <x:v>271.7</x:v>
      </x:c>
      <x:c r="J1120" s="76" t="str">
        <x:v>SIP</x:v>
      </x:c>
    </x:row>
    <x:row r="1121">
      <x:c r="A1121" s="50" t="str">
        <x:v>019fdd10-5e4d-70fe-ad10-2f26ba40e9cd</x:v>
      </x:c>
      <x:c r="B1121" s="50" t="str">
        <x:v>BABA</x:v>
      </x:c>
      <x:c r="C1121" s="70" t="n">
        <x:v>46241.68825569445</x:v>
      </x:c>
      <x:c r="D1121" s="50" t="str">
        <x:v>SWING_SETUP</x:v>
      </x:c>
      <x:c r="E1121" s="50" t="str">
        <x:v>BABA SWING SETUP</x:v>
      </x:c>
      <x:c r="F1121" s="50" t="str">
        <x:v>WATCH</x:v>
      </x:c>
      <x:c r="G1121" s="50"/>
      <x:c r="H1121" s="50" t="str">
        <x:v>LONG</x:v>
      </x:c>
      <x:c r="I1121" s="71" t="n">
        <x:v>128.07</x:v>
      </x:c>
      <x:c r="J1121" s="76" t="str">
        <x:v>SIP</x:v>
      </x:c>
    </x:row>
    <x:row r="1122">
      <x:c r="A1122" s="50" t="str">
        <x:v>019fdd10-5e9b-78a9-a0bb-6569173f8c66</x:v>
      </x:c>
      <x:c r="B1122" s="50" t="str">
        <x:v>HRL</x:v>
      </x:c>
      <x:c r="C1122" s="70" t="n">
        <x:v>46241.688256608795</x:v>
      </x:c>
      <x:c r="D1122" s="50" t="str">
        <x:v>SWING_SETUP</x:v>
      </x:c>
      <x:c r="E1122" s="50" t="str">
        <x:v>HRL SWING SETUP</x:v>
      </x:c>
      <x:c r="F1122" s="50" t="str">
        <x:v>WATCH</x:v>
      </x:c>
      <x:c r="G1122" s="50"/>
      <x:c r="H1122" s="50" t="str">
        <x:v>LONG</x:v>
      </x:c>
      <x:c r="I1122" s="71" t="n">
        <x:v>25.2</x:v>
      </x:c>
      <x:c r="J1122" s="76" t="str">
        <x:v>SIP</x:v>
      </x:c>
    </x:row>
    <x:row r="1123">
      <x:c r="A1123" s="50" t="str">
        <x:v>019fdd10-5f3c-7062-bd41-53a14006de99</x:v>
      </x:c>
      <x:c r="B1123" s="50" t="str">
        <x:v>SNOW</x:v>
      </x:c>
      <x:c r="C1123" s="70" t="n">
        <x:v>46241.68825846065</x:v>
      </x:c>
      <x:c r="D1123" s="50" t="str">
        <x:v>SWING_SETUP</x:v>
      </x:c>
      <x:c r="E1123" s="50" t="str">
        <x:v>SNOW SWING SETUP</x:v>
      </x:c>
      <x:c r="F1123" s="50" t="str">
        <x:v>WATCH</x:v>
      </x:c>
      <x:c r="G1123" s="50"/>
      <x:c r="H1123" s="50" t="str">
        <x:v>LONG</x:v>
      </x:c>
      <x:c r="I1123" s="71" t="n">
        <x:v>325.65</x:v>
      </x:c>
      <x:c r="J1123" s="76" t="str">
        <x:v>SIP</x:v>
      </x:c>
    </x:row>
    <x:row r="1124">
      <x:c r="A1124" s="50" t="str">
        <x:v>019fdd10-621e-7b09-b819-cce8f92a8a4e</x:v>
      </x:c>
      <x:c r="B1124" s="50" t="str">
        <x:v>CROX</x:v>
      </x:c>
      <x:c r="C1124" s="70" t="n">
        <x:v>46241.68826701389</x:v>
      </x:c>
      <x:c r="D1124" s="50" t="str">
        <x:v>SWING_SETUP</x:v>
      </x:c>
      <x:c r="E1124" s="50" t="str">
        <x:v>CROX SWING SETUP</x:v>
      </x:c>
      <x:c r="F1124" s="50" t="str">
        <x:v>WATCH</x:v>
      </x:c>
      <x:c r="G1124" s="50"/>
      <x:c r="H1124" s="50" t="str">
        <x:v>LONG</x:v>
      </x:c>
      <x:c r="I1124" s="71" t="n">
        <x:v>137.79</x:v>
      </x:c>
      <x:c r="J1124" s="76" t="str">
        <x:v>SIP</x:v>
      </x:c>
    </x:row>
    <x:row r="1125">
      <x:c r="A1125" s="50" t="str">
        <x:v>019fdd11-4200-7340-bf0c-41b9e854d797</x:v>
      </x:c>
      <x:c r="B1125" s="50" t="str">
        <x:v>SMR</x:v>
      </x:c>
      <x:c r="C1125" s="70" t="n">
        <x:v>46241.68893037037</x:v>
      </x:c>
      <x:c r="D1125" s="50" t="str">
        <x:v>SWING_SETUP</x:v>
      </x:c>
      <x:c r="E1125" s="50" t="str">
        <x:v>SMR SWING SETUP</x:v>
      </x:c>
      <x:c r="F1125" s="50" t="str">
        <x:v>WATCH</x:v>
      </x:c>
      <x:c r="G1125" s="50"/>
      <x:c r="H1125" s="50" t="str">
        <x:v>LONG</x:v>
      </x:c>
      <x:c r="I1125" s="71" t="n">
        <x:v>9.9</x:v>
      </x:c>
      <x:c r="J1125" s="76" t="str">
        <x:v>SIP</x:v>
      </x:c>
    </x:row>
    <x:row r="1126">
      <x:c r="A1126" s="50" t="str">
        <x:v>019fdd11-4553-78bf-b507-be1a1d6d7279</x:v>
      </x:c>
      <x:c r="B1126" s="50" t="str">
        <x:v>NOC</x:v>
      </x:c>
      <x:c r="C1126" s="70" t="n">
        <x:v>46241.68894021991</x:v>
      </x:c>
      <x:c r="D1126" s="50" t="str">
        <x:v>SWING_SETUP</x:v>
      </x:c>
      <x:c r="E1126" s="50" t="str">
        <x:v>NOC SWING SETUP</x:v>
      </x:c>
      <x:c r="F1126" s="50" t="str">
        <x:v>WATCH</x:v>
      </x:c>
      <x:c r="G1126" s="50"/>
      <x:c r="H1126" s="50" t="str">
        <x:v>LONG</x:v>
      </x:c>
      <x:c r="I1126" s="71" t="n">
        <x:v>568.63</x:v>
      </x:c>
      <x:c r="J1126" s="76" t="str">
        <x:v>SIP</x:v>
      </x:c>
    </x:row>
    <x:row r="1127">
      <x:c r="A1127" s="50" t="str">
        <x:v>019fdd11-4638-7e7e-9342-b5388ff183c3</x:v>
      </x:c>
      <x:c r="B1127" s="50" t="str">
        <x:v>PSX</x:v>
      </x:c>
      <x:c r="C1127" s="70" t="n">
        <x:v>46241.6889428588</x:v>
      </x:c>
      <x:c r="D1127" s="50" t="str">
        <x:v>SWING_SETUP</x:v>
      </x:c>
      <x:c r="E1127" s="50" t="str">
        <x:v>PSX SWING SETUP</x:v>
      </x:c>
      <x:c r="F1127" s="50" t="str">
        <x:v>WATCH</x:v>
      </x:c>
      <x:c r="G1127" s="50"/>
      <x:c r="H1127" s="50" t="str">
        <x:v>LONG</x:v>
      </x:c>
      <x:c r="I1127" s="71" t="n">
        <x:v>205.19</x:v>
      </x:c>
      <x:c r="J1127" s="76" t="str">
        <x:v>SIP</x:v>
      </x:c>
    </x:row>
    <x:row r="1128">
      <x:c r="A1128" s="50" t="str">
        <x:v>019fdd11-46c6-735e-8995-19e937cbc332</x:v>
      </x:c>
      <x:c r="B1128" s="50" t="str">
        <x:v>GRAB</x:v>
      </x:c>
      <x:c r="C1128" s="70" t="n">
        <x:v>46241.68894451389</x:v>
      </x:c>
      <x:c r="D1128" s="50" t="str">
        <x:v>SWING_SETUP</x:v>
      </x:c>
      <x:c r="E1128" s="50" t="str">
        <x:v>GRAB SWING SETUP</x:v>
      </x:c>
      <x:c r="F1128" s="50" t="str">
        <x:v>WATCH</x:v>
      </x:c>
      <x:c r="G1128" s="50"/>
      <x:c r="H1128" s="50" t="str">
        <x:v>LONG</x:v>
      </x:c>
      <x:c r="I1128" s="71" t="n">
        <x:v>3.665</x:v>
      </x:c>
      <x:c r="J1128" s="76" t="str">
        <x:v>SIP</x:v>
      </x:c>
    </x:row>
    <x:row r="1129">
      <x:c r="A1129" s="50" t="str">
        <x:v>019fdd11-4b97-77fd-9367-12743569a38e</x:v>
      </x:c>
      <x:c r="B1129" s="50" t="str">
        <x:v>APH</x:v>
      </x:c>
      <x:c r="C1129" s="70" t="n">
        <x:v>46241.688958784725</x:v>
      </x:c>
      <x:c r="D1129" s="50" t="str">
        <x:v>LONG_BUY_ZONE</x:v>
      </x:c>
      <x:c r="E1129" s="50" t="str">
        <x:v>APH LONG BUY ZONE</x:v>
      </x:c>
      <x:c r="F1129" s="50" t="str">
        <x:v>WATCH</x:v>
      </x:c>
      <x:c r="G1129" s="50"/>
      <x:c r="H1129" s="50" t="str">
        <x:v>LONG</x:v>
      </x:c>
      <x:c r="I1129" s="71" t="n">
        <x:v>167.07</x:v>
      </x:c>
      <x:c r="J1129" s="76" t="str">
        <x:v>SIP</x:v>
      </x:c>
    </x:row>
    <x:row r="1130">
      <x:c r="A1130" s="50" t="str">
        <x:v>019fdd12-2ee6-7164-9d18-f2fbfb861c65</x:v>
      </x:c>
      <x:c r="B1130" s="50" t="str">
        <x:v>RDW</x:v>
      </x:c>
      <x:c r="C1130" s="70" t="n">
        <x:v>46241.689632291665</x:v>
      </x:c>
      <x:c r="D1130" s="50" t="str">
        <x:v>SWING_SETUP</x:v>
      </x:c>
      <x:c r="E1130" s="50" t="str">
        <x:v>RDW SWING SETUP</x:v>
      </x:c>
      <x:c r="F1130" s="50" t="str">
        <x:v>WATCH</x:v>
      </x:c>
      <x:c r="G1130" s="50"/>
      <x:c r="H1130" s="50" t="str">
        <x:v>LONG</x:v>
      </x:c>
      <x:c r="I1130" s="71" t="n">
        <x:v>13.475</x:v>
      </x:c>
      <x:c r="J1130" s="76" t="str">
        <x:v>SIP</x:v>
      </x:c>
    </x:row>
    <x:row r="1131">
      <x:c r="A1131" s="50" t="str">
        <x:v>019fdd12-3162-73e2-84e1-e2fa78ec3d95</x:v>
      </x:c>
      <x:c r="B1131" s="50" t="str">
        <x:v>INTU</x:v>
      </x:c>
      <x:c r="C1131" s="70" t="n">
        <x:v>46241.68963965278</x:v>
      </x:c>
      <x:c r="D1131" s="50" t="str">
        <x:v>SWING_SETUP</x:v>
      </x:c>
      <x:c r="E1131" s="50" t="str">
        <x:v>INTU SWING SETUP</x:v>
      </x:c>
      <x:c r="F1131" s="50" t="str">
        <x:v>WATCH</x:v>
      </x:c>
      <x:c r="G1131" s="50"/>
      <x:c r="H1131" s="50" t="str">
        <x:v>LONG</x:v>
      </x:c>
      <x:c r="I1131" s="71" t="n">
        <x:v>330.13</x:v>
      </x:c>
      <x:c r="J1131" s="76" t="str">
        <x:v>SIP</x:v>
      </x:c>
    </x:row>
    <x:row r="1132">
      <x:c r="A1132" s="50" t="str">
        <x:v>019fdd13-23af-7bf9-a3fc-22125e9e73c1</x:v>
      </x:c>
      <x:c r="B1132" s="50" t="str">
        <x:v>MRK</x:v>
      </x:c>
      <x:c r="C1132" s="70" t="n">
        <x:v>46241.69035758102</x:v>
      </x:c>
      <x:c r="D1132" s="50" t="str">
        <x:v>LONG_BUY_ZONE</x:v>
      </x:c>
      <x:c r="E1132" s="50" t="str">
        <x:v>MRK LONG BUY ZONE</x:v>
      </x:c>
      <x:c r="F1132" s="50" t="str">
        <x:v>WATCH</x:v>
      </x:c>
      <x:c r="G1132" s="50"/>
      <x:c r="H1132" s="50" t="str">
        <x:v>LONG</x:v>
      </x:c>
      <x:c r="I1132" s="71" t="n">
        <x:v>128.355</x:v>
      </x:c>
      <x:c r="J1132" s="76" t="str">
        <x:v>SIP</x:v>
      </x:c>
    </x:row>
    <x:row r="1133">
      <x:c r="A1133" s="50" t="str">
        <x:v>019fdd13-fd57-749d-a18b-19f78325b9cc</x:v>
      </x:c>
      <x:c r="B1133" s="50" t="str">
        <x:v>LMT</x:v>
      </x:c>
      <x:c r="C1133" s="70" t="n">
        <x:v>46241.69100248843</x:v>
      </x:c>
      <x:c r="D1133" s="50" t="str">
        <x:v>SWING_SETUP</x:v>
      </x:c>
      <x:c r="E1133" s="50" t="str">
        <x:v>LMT SWING SETUP</x:v>
      </x:c>
      <x:c r="F1133" s="50" t="str">
        <x:v>WATCH</x:v>
      </x:c>
      <x:c r="G1133" s="50"/>
      <x:c r="H1133" s="50" t="str">
        <x:v>LONG</x:v>
      </x:c>
      <x:c r="I1133" s="71" t="n">
        <x:v>583.53</x:v>
      </x:c>
      <x:c r="J1133" s="76" t="str">
        <x:v>SIP</x:v>
      </x:c>
    </x:row>
    <x:row r="1134">
      <x:c r="A1134" s="50" t="str">
        <x:v>019fdd13-fdc0-72b0-98d4-40ac1cfe0fdb</x:v>
      </x:c>
      <x:c r="B1134" s="50" t="str">
        <x:v>DASH</x:v>
      </x:c>
      <x:c r="C1134" s="70" t="n">
        <x:v>46241.6910037037</x:v>
      </x:c>
      <x:c r="D1134" s="50" t="str">
        <x:v>SWING_SETUP</x:v>
      </x:c>
      <x:c r="E1134" s="50" t="str">
        <x:v>DASH SWING SETUP</x:v>
      </x:c>
      <x:c r="F1134" s="50" t="str">
        <x:v>WATCH</x:v>
      </x:c>
      <x:c r="G1134" s="50"/>
      <x:c r="H1134" s="50" t="str">
        <x:v>LONG</x:v>
      </x:c>
      <x:c r="I1134" s="71" t="n">
        <x:v>219.8</x:v>
      </x:c>
      <x:c r="J1134" s="76" t="str">
        <x:v>SIP</x:v>
      </x:c>
    </x:row>
    <x:row r="1135">
      <x:c r="A1135" s="50" t="str">
        <x:v>019fdd13-fe0a-7311-a303-ddda851f0e5d</x:v>
      </x:c>
      <x:c r="B1135" s="50" t="str">
        <x:v>DLR</x:v>
      </x:c>
      <x:c r="C1135" s="70" t="n">
        <x:v>46241.69100456018</x:v>
      </x:c>
      <x:c r="D1135" s="50" t="str">
        <x:v>SWING_SETUP</x:v>
      </x:c>
      <x:c r="E1135" s="50" t="str">
        <x:v>DLR SWING SETUP</x:v>
      </x:c>
      <x:c r="F1135" s="50" t="str">
        <x:v>WATCH</x:v>
      </x:c>
      <x:c r="G1135" s="50"/>
      <x:c r="H1135" s="50" t="str">
        <x:v>LONG</x:v>
      </x:c>
      <x:c r="I1135" s="71" t="n">
        <x:v>195.71</x:v>
      </x:c>
      <x:c r="J1135" s="76" t="str">
        <x:v>SIP</x:v>
      </x:c>
    </x:row>
    <x:row r="1136">
      <x:c r="A1136" s="50" t="str">
        <x:v>019fdd13-fe94-7360-983a-b2c040e74389</x:v>
      </x:c>
      <x:c r="B1136" s="50" t="str">
        <x:v>APA</x:v>
      </x:c>
      <x:c r="C1136" s="70" t="n">
        <x:v>46241.69100615741</x:v>
      </x:c>
      <x:c r="D1136" s="50" t="str">
        <x:v>SWING_SETUP</x:v>
      </x:c>
      <x:c r="E1136" s="50" t="str">
        <x:v>APA SWING SETUP</x:v>
      </x:c>
      <x:c r="F1136" s="50" t="str">
        <x:v>WATCH</x:v>
      </x:c>
      <x:c r="G1136" s="50"/>
      <x:c r="H1136" s="50" t="str">
        <x:v>LONG</x:v>
      </x:c>
      <x:c r="I1136" s="71" t="n">
        <x:v>37.635</x:v>
      </x:c>
      <x:c r="J1136" s="76" t="str">
        <x:v>SIP</x:v>
      </x:c>
    </x:row>
    <x:row r="1137">
      <x:c r="A1137" s="50" t="str">
        <x:v>019fdd13-fea2-7b53-bb9a-bbe244c024b2</x:v>
      </x:c>
      <x:c r="B1137" s="50" t="str">
        <x:v>WELL</x:v>
      </x:c>
      <x:c r="C1137" s="70" t="n">
        <x:v>46241.691006319445</x:v>
      </x:c>
      <x:c r="D1137" s="50" t="str">
        <x:v>SWING_SETUP</x:v>
      </x:c>
      <x:c r="E1137" s="50" t="str">
        <x:v>WELL SWING SETUP</x:v>
      </x:c>
      <x:c r="F1137" s="50" t="str">
        <x:v>WATCH</x:v>
      </x:c>
      <x:c r="G1137" s="50"/>
      <x:c r="H1137" s="50" t="str">
        <x:v>LONG</x:v>
      </x:c>
      <x:c r="I1137" s="71" t="n">
        <x:v>236.89</x:v>
      </x:c>
      <x:c r="J1137" s="76" t="str">
        <x:v>SIP</x:v>
      </x:c>
    </x:row>
    <x:row r="1138">
      <x:c r="A1138" s="50" t="str">
        <x:v>019fdd14-000f-7c95-aa9a-d45e4cbd7b36</x:v>
      </x:c>
      <x:c r="B1138" s="50" t="str">
        <x:v>ANET</x:v>
      </x:c>
      <x:c r="C1138" s="70" t="n">
        <x:v>46241.691010532406</x:v>
      </x:c>
      <x:c r="D1138" s="50" t="str">
        <x:v>SWING_SETUP</x:v>
      </x:c>
      <x:c r="E1138" s="50" t="str">
        <x:v>ANET SWING SETUP</x:v>
      </x:c>
      <x:c r="F1138" s="50" t="str">
        <x:v>WATCH</x:v>
      </x:c>
      <x:c r="G1138" s="50"/>
      <x:c r="H1138" s="50" t="str">
        <x:v>LONG</x:v>
      </x:c>
      <x:c r="I1138" s="71" t="n">
        <x:v>190.76</x:v>
      </x:c>
      <x:c r="J1138" s="76" t="str">
        <x:v>SIP</x:v>
      </x:c>
    </x:row>
    <x:row r="1139">
      <x:c r="A1139" s="50" t="str">
        <x:v>019fdd14-00a0-7d2a-b279-2e55e54c7ebd</x:v>
      </x:c>
      <x:c r="B1139" s="50" t="str">
        <x:v>COP</x:v>
      </x:c>
      <x:c r="C1139" s="70" t="n">
        <x:v>46241.691012222225</x:v>
      </x:c>
      <x:c r="D1139" s="50" t="str">
        <x:v>SWING_SETUP</x:v>
      </x:c>
      <x:c r="E1139" s="50" t="str">
        <x:v>COP SWING SETUP</x:v>
      </x:c>
      <x:c r="F1139" s="50" t="str">
        <x:v>WATCH</x:v>
      </x:c>
      <x:c r="G1139" s="50"/>
      <x:c r="H1139" s="50" t="str">
        <x:v>LONG</x:v>
      </x:c>
      <x:c r="I1139" s="71" t="n">
        <x:v>118.3</x:v>
      </x:c>
      <x:c r="J1139" s="76" t="str">
        <x:v>SIP</x:v>
      </x:c>
    </x:row>
    <x:row r="1140">
      <x:c r="A1140" s="50" t="str">
        <x:v>019fdd14-00cf-7dd9-ae1c-828db81eeb87</x:v>
      </x:c>
      <x:c r="B1140" s="50" t="str">
        <x:v>SBUX</x:v>
      </x:c>
      <x:c r="C1140" s="70" t="n">
        <x:v>46241.691012766205</x:v>
      </x:c>
      <x:c r="D1140" s="50" t="str">
        <x:v>SWING_SETUP</x:v>
      </x:c>
      <x:c r="E1140" s="50" t="str">
        <x:v>SBUX SWING SETUP</x:v>
      </x:c>
      <x:c r="F1140" s="50" t="str">
        <x:v>WATCH</x:v>
      </x:c>
      <x:c r="G1140" s="50"/>
      <x:c r="H1140" s="50" t="str">
        <x:v>LONG</x:v>
      </x:c>
      <x:c r="I1140" s="71" t="n">
        <x:v>106.59</x:v>
      </x:c>
      <x:c r="J1140" s="76" t="str">
        <x:v>SIP</x:v>
      </x:c>
    </x:row>
    <x:row r="1141">
      <x:c r="A1141" s="50" t="str">
        <x:v>019fdd14-00e7-7d26-aedd-5e279f2f78dc</x:v>
      </x:c>
      <x:c r="B1141" s="50" t="str">
        <x:v>MDLZ</x:v>
      </x:c>
      <x:c r="C1141" s="70" t="n">
        <x:v>46241.69101304398</x:v>
      </x:c>
      <x:c r="D1141" s="50" t="str">
        <x:v>SWING_SETUP</x:v>
      </x:c>
      <x:c r="E1141" s="50" t="str">
        <x:v>MDLZ SWING SETUP</x:v>
      </x:c>
      <x:c r="F1141" s="50" t="str">
        <x:v>WATCH</x:v>
      </x:c>
      <x:c r="G1141" s="50"/>
      <x:c r="H1141" s="50" t="str">
        <x:v>LONG</x:v>
      </x:c>
      <x:c r="I1141" s="71" t="n">
        <x:v>62.805</x:v>
      </x:c>
      <x:c r="J1141" s="76" t="str">
        <x:v>SIP</x:v>
      </x:c>
    </x:row>
    <x:row r="1142">
      <x:c r="A1142" s="50" t="str">
        <x:v>019fdd14-00f7-7dda-8de4-69c2ea7694eb</x:v>
      </x:c>
      <x:c r="B1142" s="50" t="str">
        <x:v>VZ</x:v>
      </x:c>
      <x:c r="C1142" s="70" t="n">
        <x:v>46241.69101322917</x:v>
      </x:c>
      <x:c r="D1142" s="50" t="str">
        <x:v>SWING_SETUP</x:v>
      </x:c>
      <x:c r="E1142" s="50" t="str">
        <x:v>VZ SWING SETUP</x:v>
      </x:c>
      <x:c r="F1142" s="50" t="str">
        <x:v>WATCH</x:v>
      </x:c>
      <x:c r="G1142" s="50"/>
      <x:c r="H1142" s="50" t="str">
        <x:v>LONG</x:v>
      </x:c>
      <x:c r="I1142" s="71" t="n">
        <x:v>46.875</x:v>
      </x:c>
      <x:c r="J1142" s="76" t="str">
        <x:v>SIP</x:v>
      </x:c>
    </x:row>
    <x:row r="1143">
      <x:c r="A1143" s="50" t="str">
        <x:v>019fdd14-0114-7b12-8c94-b142d3ce3599</x:v>
      </x:c>
      <x:c r="B1143" s="50" t="str">
        <x:v>UNP</x:v>
      </x:c>
      <x:c r="C1143" s="70" t="n">
        <x:v>46241.691013564814</x:v>
      </x:c>
      <x:c r="D1143" s="50" t="str">
        <x:v>SWING_SETUP</x:v>
      </x:c>
      <x:c r="E1143" s="50" t="str">
        <x:v>UNP SWING SETUP</x:v>
      </x:c>
      <x:c r="F1143" s="50" t="str">
        <x:v>WATCH</x:v>
      </x:c>
      <x:c r="G1143" s="50"/>
      <x:c r="H1143" s="50" t="str">
        <x:v>LONG</x:v>
      </x:c>
      <x:c r="I1143" s="71" t="n">
        <x:v>295.99</x:v>
      </x:c>
      <x:c r="J1143" s="76" t="str">
        <x:v>SIP</x:v>
      </x:c>
    </x:row>
    <x:row r="1144">
      <x:c r="A1144" s="50" t="str">
        <x:v>019fdd14-0125-7f08-8ebc-4410a3c71b26</x:v>
      </x:c>
      <x:c r="B1144" s="50" t="str">
        <x:v>OXY</x:v>
      </x:c>
      <x:c r="C1144" s="70" t="n">
        <x:v>46241.69101376157</x:v>
      </x:c>
      <x:c r="D1144" s="50" t="str">
        <x:v>SWING_SETUP</x:v>
      </x:c>
      <x:c r="E1144" s="50" t="str">
        <x:v>OXY SWING SETUP</x:v>
      </x:c>
      <x:c r="F1144" s="50" t="str">
        <x:v>WATCH</x:v>
      </x:c>
      <x:c r="G1144" s="50"/>
      <x:c r="H1144" s="50" t="str">
        <x:v>LONG</x:v>
      </x:c>
      <x:c r="I1144" s="71" t="n">
        <x:v>56.31</x:v>
      </x:c>
      <x:c r="J1144" s="76" t="str">
        <x:v>SIP</x:v>
      </x:c>
    </x:row>
    <x:row r="1145">
      <x:c r="A1145" s="50" t="str">
        <x:v>019fdd14-040c-7574-ac11-fc4852dc163f</x:v>
      </x:c>
      <x:c r="B1145" s="50" t="str">
        <x:v>BMY</x:v>
      </x:c>
      <x:c r="C1145" s="70" t="n">
        <x:v>46241.691022349536</x:v>
      </x:c>
      <x:c r="D1145" s="50" t="str">
        <x:v>SWING_SETUP</x:v>
      </x:c>
      <x:c r="E1145" s="50" t="str">
        <x:v>BMY SWING SETUP</x:v>
      </x:c>
      <x:c r="F1145" s="50" t="str">
        <x:v>WATCH</x:v>
      </x:c>
      <x:c r="G1145" s="50"/>
      <x:c r="H1145" s="50" t="str">
        <x:v>LONG</x:v>
      </x:c>
      <x:c r="I1145" s="71" t="n">
        <x:v>64.27</x:v>
      </x:c>
      <x:c r="J1145" s="76" t="str">
        <x:v>SIP</x:v>
      </x:c>
    </x:row>
    <x:row r="1146">
      <x:c r="A1146" s="50" t="str">
        <x:v>019fdd14-0540-7823-a4be-00831ac1b7a6</x:v>
      </x:c>
      <x:c r="B1146" s="50" t="str">
        <x:v>SCHW</x:v>
      </x:c>
      <x:c r="C1146" s="70" t="n">
        <x:v>46241.691025925924</x:v>
      </x:c>
      <x:c r="D1146" s="50" t="str">
        <x:v>SWING_SETUP</x:v>
      </x:c>
      <x:c r="E1146" s="50" t="str">
        <x:v>SCHW SWING SETUP</x:v>
      </x:c>
      <x:c r="F1146" s="50" t="str">
        <x:v>WATCH</x:v>
      </x:c>
      <x:c r="G1146" s="50"/>
      <x:c r="H1146" s="50" t="str">
        <x:v>LONG</x:v>
      </x:c>
      <x:c r="I1146" s="71" t="n">
        <x:v>106.742</x:v>
      </x:c>
      <x:c r="J1146" s="76" t="str">
        <x:v>SIP</x:v>
      </x:c>
    </x:row>
    <x:row r="1147">
      <x:c r="A1147" s="50" t="str">
        <x:v>019fdd14-0558-7b32-ab75-367235223558</x:v>
      </x:c>
      <x:c r="B1147" s="50" t="str">
        <x:v>PLTR</x:v>
      </x:c>
      <x:c r="C1147" s="70" t="n">
        <x:v>46241.691026203705</x:v>
      </x:c>
      <x:c r="D1147" s="50" t="str">
        <x:v>SWING_SETUP</x:v>
      </x:c>
      <x:c r="E1147" s="50" t="str">
        <x:v>PLTR SWING SETUP</x:v>
      </x:c>
      <x:c r="F1147" s="50" t="str">
        <x:v>WATCH</x:v>
      </x:c>
      <x:c r="G1147" s="50"/>
      <x:c r="H1147" s="50" t="str">
        <x:v>LONG</x:v>
      </x:c>
      <x:c r="I1147" s="71" t="n">
        <x:v>169.51</x:v>
      </x:c>
      <x:c r="J1147" s="76" t="str">
        <x:v>SIP</x:v>
      </x:c>
    </x:row>
    <x:row r="1148">
      <x:c r="A1148" s="50" t="str">
        <x:v>019fdd14-0fba-78ac-93db-c0bb70236cf3</x:v>
      </x:c>
      <x:c r="B1148" s="50" t="str">
        <x:v>SBUX</x:v>
      </x:c>
      <x:c r="C1148" s="70" t="n">
        <x:v>46241.69105696759</x:v>
      </x:c>
      <x:c r="D1148" s="50" t="str">
        <x:v>LONG_BUY_ZONE</x:v>
      </x:c>
      <x:c r="E1148" s="50" t="str">
        <x:v>SBUX LONG BUY ZONE</x:v>
      </x:c>
      <x:c r="F1148" s="50" t="str">
        <x:v>WATCH</x:v>
      </x:c>
      <x:c r="G1148" s="50"/>
      <x:c r="H1148" s="50" t="str">
        <x:v>LONG</x:v>
      </x:c>
      <x:c r="I1148" s="71" t="n">
        <x:v>106.465</x:v>
      </x:c>
      <x:c r="J1148" s="76" t="str">
        <x:v>SIP</x:v>
      </x:c>
    </x:row>
    <x:row r="1149">
      <x:c r="A1149" s="50" t="str">
        <x:v>019fdd14-ee07-7fff-af98-608f772ed562</x:v>
      </x:c>
      <x:c r="B1149" s="50" t="str">
        <x:v>ABBV</x:v>
      </x:c>
      <x:c r="C1149" s="70" t="n">
        <x:v>46241.691715636574</x:v>
      </x:c>
      <x:c r="D1149" s="50" t="str">
        <x:v>LONG_BUY_ZONE</x:v>
      </x:c>
      <x:c r="E1149" s="50" t="str">
        <x:v>ABBV LONG BUY ZONE</x:v>
      </x:c>
      <x:c r="F1149" s="50" t="str">
        <x:v>WATCH</x:v>
      </x:c>
      <x:c r="G1149" s="50"/>
      <x:c r="H1149" s="50" t="str">
        <x:v>LONG</x:v>
      </x:c>
      <x:c r="I1149" s="71" t="n">
        <x:v>244.69</x:v>
      </x:c>
      <x:c r="J1149" s="76" t="str">
        <x:v>SIP</x:v>
      </x:c>
    </x:row>
    <x:row r="1150">
      <x:c r="A1150" s="50" t="str">
        <x:v>019fdd15-d3b5-733f-97da-975e8b8e1c5c</x:v>
      </x:c>
      <x:c r="B1150" s="50" t="str">
        <x:v>BLK</x:v>
      </x:c>
      <x:c r="C1150" s="70" t="n">
        <x:v>46241.69239616898</x:v>
      </x:c>
      <x:c r="D1150" s="50" t="str">
        <x:v>SWING_SETUP</x:v>
      </x:c>
      <x:c r="E1150" s="50" t="str">
        <x:v>BLK SWING SETUP</x:v>
      </x:c>
      <x:c r="F1150" s="50" t="str">
        <x:v>WATCH</x:v>
      </x:c>
      <x:c r="G1150" s="50"/>
      <x:c r="H1150" s="50" t="str">
        <x:v>LONG</x:v>
      </x:c>
      <x:c r="I1150" s="71" t="n">
        <x:v>1129.115</x:v>
      </x:c>
      <x:c r="J1150" s="76" t="str">
        <x:v>SIP</x:v>
      </x:c>
    </x:row>
    <x:row r="1151">
      <x:c r="A1151" s="50" t="str">
        <x:v>019fdd15-d6ea-7ada-a0eb-02909c886deb</x:v>
      </x:c>
      <x:c r="B1151" s="50" t="str">
        <x:v>JD</x:v>
      </x:c>
      <x:c r="C1151" s="70" t="n">
        <x:v>46241.692405671296</x:v>
      </x:c>
      <x:c r="D1151" s="50" t="str">
        <x:v>SWING_SETUP</x:v>
      </x:c>
      <x:c r="E1151" s="50" t="str">
        <x:v>JD SWING SETUP</x:v>
      </x:c>
      <x:c r="F1151" s="50" t="str">
        <x:v>WATCH</x:v>
      </x:c>
      <x:c r="G1151" s="50"/>
      <x:c r="H1151" s="50" t="str">
        <x:v>LONG</x:v>
      </x:c>
      <x:c r="I1151" s="71" t="n">
        <x:v>32.925</x:v>
      </x:c>
      <x:c r="J1151" s="76" t="str">
        <x:v>SIP</x:v>
      </x:c>
    </x:row>
    <x:row r="1152">
      <x:c r="A1152" s="50" t="str">
        <x:v>019fdd15-d72b-72e5-b81e-17511c7654af</x:v>
      </x:c>
      <x:c r="B1152" s="50" t="str">
        <x:v>BAC</x:v>
      </x:c>
      <x:c r="C1152" s="70" t="n">
        <x:v>46241.69240642361</x:v>
      </x:c>
      <x:c r="D1152" s="50" t="str">
        <x:v>SWING_SETUP</x:v>
      </x:c>
      <x:c r="E1152" s="50" t="str">
        <x:v>BAC SWING SETUP</x:v>
      </x:c>
      <x:c r="F1152" s="50" t="str">
        <x:v>WATCH</x:v>
      </x:c>
      <x:c r="G1152" s="50"/>
      <x:c r="H1152" s="50" t="str">
        <x:v>LONG</x:v>
      </x:c>
      <x:c r="I1152" s="71" t="n">
        <x:v>62.91</x:v>
      </x:c>
      <x:c r="J1152" s="76" t="str">
        <x:v>SIP</x:v>
      </x:c>
    </x:row>
    <x:row r="1153">
      <x:c r="A1153" s="50" t="str">
        <x:v>019fdd15-d745-7641-82cb-e52d8d29eee0</x:v>
      </x:c>
      <x:c r="B1153" s="50" t="str">
        <x:v>JPM</x:v>
      </x:c>
      <x:c r="C1153" s="70" t="n">
        <x:v>46241.692406724535</x:v>
      </x:c>
      <x:c r="D1153" s="50" t="str">
        <x:v>SWING_SETUP</x:v>
      </x:c>
      <x:c r="E1153" s="50" t="str">
        <x:v>JPM SWING SETUP</x:v>
      </x:c>
      <x:c r="F1153" s="50" t="str">
        <x:v>WATCH</x:v>
      </x:c>
      <x:c r="G1153" s="50"/>
      <x:c r="H1153" s="50" t="str">
        <x:v>LONG</x:v>
      </x:c>
      <x:c r="I1153" s="71" t="n">
        <x:v>356.92</x:v>
      </x:c>
      <x:c r="J1153" s="76" t="str">
        <x:v>SIP</x:v>
      </x:c>
    </x:row>
    <x:row r="1154">
      <x:c r="A1154" s="50" t="str">
        <x:v>019fdd15-d7a8-79f9-8881-d221561923d5</x:v>
      </x:c>
      <x:c r="B1154" s="50" t="str">
        <x:v>ETHA</x:v>
      </x:c>
      <x:c r="C1154" s="70" t="n">
        <x:v>46241.69240787037</x:v>
      </x:c>
      <x:c r="D1154" s="50" t="str">
        <x:v>SWING_SETUP</x:v>
      </x:c>
      <x:c r="E1154" s="50" t="str">
        <x:v>ETHA SWING SETUP</x:v>
      </x:c>
      <x:c r="F1154" s="50" t="str">
        <x:v>WATCH</x:v>
      </x:c>
      <x:c r="G1154" s="50"/>
      <x:c r="H1154" s="50" t="str">
        <x:v>LONG</x:v>
      </x:c>
      <x:c r="I1154" s="71" t="n">
        <x:v>14.445</x:v>
      </x:c>
      <x:c r="J1154" s="76" t="str">
        <x:v>SIP</x:v>
      </x:c>
    </x:row>
    <x:row r="1155">
      <x:c r="A1155" s="50" t="str">
        <x:v>019fdd15-d7c3-719c-8d27-77a6b09fe6de</x:v>
      </x:c>
      <x:c r="B1155" s="50" t="str">
        <x:v>TMDX</x:v>
      </x:c>
      <x:c r="C1155" s="70" t="n">
        <x:v>46241.69240818287</x:v>
      </x:c>
      <x:c r="D1155" s="50" t="str">
        <x:v>SWING_SETUP</x:v>
      </x:c>
      <x:c r="E1155" s="50" t="str">
        <x:v>TMDX SWING SETUP</x:v>
      </x:c>
      <x:c r="F1155" s="50" t="str">
        <x:v>WATCH</x:v>
      </x:c>
      <x:c r="G1155" s="50"/>
      <x:c r="H1155" s="50" t="str">
        <x:v>LONG</x:v>
      </x:c>
      <x:c r="I1155" s="71" t="n">
        <x:v>81.25</x:v>
      </x:c>
      <x:c r="J1155" s="76" t="str">
        <x:v>SIP</x:v>
      </x:c>
    </x:row>
    <x:row r="1156">
      <x:c r="A1156" s="50" t="str">
        <x:v>019fdd15-d80b-75a3-a97b-a238dca7bc93</x:v>
      </x:c>
      <x:c r="B1156" s="50" t="str">
        <x:v>BKNG</x:v>
      </x:c>
      <x:c r="C1156" s="70" t="n">
        <x:v>46241.69240901621</x:v>
      </x:c>
      <x:c r="D1156" s="50" t="str">
        <x:v>SWING_SETUP</x:v>
      </x:c>
      <x:c r="E1156" s="50" t="str">
        <x:v>BKNG SWING SETUP</x:v>
      </x:c>
      <x:c r="F1156" s="50" t="str">
        <x:v>WATCH</x:v>
      </x:c>
      <x:c r="G1156" s="50"/>
      <x:c r="H1156" s="50" t="str">
        <x:v>LONG</x:v>
      </x:c>
      <x:c r="I1156" s="71" t="n">
        <x:v>214.21</x:v>
      </x:c>
      <x:c r="J1156" s="76" t="str">
        <x:v>SIP</x:v>
      </x:c>
    </x:row>
    <x:row r="1157">
      <x:c r="A1157" s="50" t="str">
        <x:v>019fdd15-d887-7326-9483-b2b1e06fa991</x:v>
      </x:c>
      <x:c r="B1157" s="50" t="str">
        <x:v>KO</x:v>
      </x:c>
      <x:c r="C1157" s="70" t="n">
        <x:v>46241.69241045139</x:v>
      </x:c>
      <x:c r="D1157" s="50" t="str">
        <x:v>SWING_SETUP</x:v>
      </x:c>
      <x:c r="E1157" s="50" t="str">
        <x:v>KO SWING SETUP</x:v>
      </x:c>
      <x:c r="F1157" s="50" t="str">
        <x:v>WATCH</x:v>
      </x:c>
      <x:c r="G1157" s="50"/>
      <x:c r="H1157" s="50" t="str">
        <x:v>LONG</x:v>
      </x:c>
      <x:c r="I1157" s="71" t="n">
        <x:v>86.985</x:v>
      </x:c>
      <x:c r="J1157" s="76" t="str">
        <x:v>SIP</x:v>
      </x:c>
    </x:row>
    <x:row r="1158">
      <x:c r="A1158" s="50" t="str">
        <x:v>019fdd15-d8c7-7d5f-86db-cd87a7299554</x:v>
      </x:c>
      <x:c r="B1158" s="50" t="str">
        <x:v>CEG</x:v>
      </x:c>
      <x:c r="C1158" s="70" t="n">
        <x:v>46241.69241119213</x:v>
      </x:c>
      <x:c r="D1158" s="50" t="str">
        <x:v>SWING_SETUP</x:v>
      </x:c>
      <x:c r="E1158" s="50" t="str">
        <x:v>CEG SWING SETUP</x:v>
      </x:c>
      <x:c r="F1158" s="50" t="str">
        <x:v>WATCH</x:v>
      </x:c>
      <x:c r="G1158" s="50"/>
      <x:c r="H1158" s="50" t="str">
        <x:v>LONG</x:v>
      </x:c>
      <x:c r="I1158" s="71" t="n">
        <x:v>265.86</x:v>
      </x:c>
      <x:c r="J1158" s="76" t="str">
        <x:v>SIP</x:v>
      </x:c>
    </x:row>
    <x:row r="1159">
      <x:c r="A1159" s="50" t="str">
        <x:v>019fdd15-d966-7694-981a-e4307561fe25</x:v>
      </x:c>
      <x:c r="B1159" s="50" t="str">
        <x:v>SHW</x:v>
      </x:c>
      <x:c r="C1159" s="70" t="n">
        <x:v>46241.692413032404</x:v>
      </x:c>
      <x:c r="D1159" s="50" t="str">
        <x:v>SWING_SETUP</x:v>
      </x:c>
      <x:c r="E1159" s="50" t="str">
        <x:v>SHW SWING SETUP</x:v>
      </x:c>
      <x:c r="F1159" s="50" t="str">
        <x:v>WATCH</x:v>
      </x:c>
      <x:c r="G1159" s="50"/>
      <x:c r="H1159" s="50" t="str">
        <x:v>LONG</x:v>
      </x:c>
      <x:c r="I1159" s="71" t="n">
        <x:v>367.3</x:v>
      </x:c>
      <x:c r="J1159" s="76" t="str">
        <x:v>SIP</x:v>
      </x:c>
    </x:row>
    <x:row r="1160">
      <x:c r="A1160" s="50" t="str">
        <x:v>019fdd15-df4a-7c7e-a0c6-b598490024a0</x:v>
      </x:c>
      <x:c r="B1160" s="50" t="str">
        <x:v>PM</x:v>
      </x:c>
      <x:c r="C1160" s="70" t="n">
        <x:v>46241.69243048611</x:v>
      </x:c>
      <x:c r="D1160" s="50" t="str">
        <x:v>LONG_BUY_ZONE</x:v>
      </x:c>
      <x:c r="E1160" s="50" t="str">
        <x:v>PM LONG BUY ZONE</x:v>
      </x:c>
      <x:c r="F1160" s="50" t="str">
        <x:v>WATCH</x:v>
      </x:c>
      <x:c r="G1160" s="50"/>
      <x:c r="H1160" s="50" t="str">
        <x:v>LONG</x:v>
      </x:c>
      <x:c r="I1160" s="71" t="n">
        <x:v>189.2868</x:v>
      </x:c>
      <x:c r="J1160" s="76" t="str">
        <x:v>SIP</x:v>
      </x:c>
    </x:row>
    <x:row r="1161">
      <x:c r="A1161" s="50" t="str">
        <x:v>019fdd15-e68b-751a-a048-21d2f05cb854</x:v>
      </x:c>
      <x:c r="B1161" s="50" t="str">
        <x:v>HRL</x:v>
      </x:c>
      <x:c r="C1161" s="70" t="n">
        <x:v>46241.692451979165</x:v>
      </x:c>
      <x:c r="D1161" s="50" t="str">
        <x:v>LONG_BUY_ZONE</x:v>
      </x:c>
      <x:c r="E1161" s="50" t="str">
        <x:v>HRL LONG BUY ZONE</x:v>
      </x:c>
      <x:c r="F1161" s="50" t="str">
        <x:v>WATCH</x:v>
      </x:c>
      <x:c r="G1161" s="50"/>
      <x:c r="H1161" s="50" t="str">
        <x:v>LONG</x:v>
      </x:c>
      <x:c r="I1161" s="71" t="n">
        <x:v>25.18</x:v>
      </x:c>
      <x:c r="J1161" s="76" t="str">
        <x:v>SIP</x:v>
      </x:c>
    </x:row>
    <x:row r="1162">
      <x:c r="A1162" s="50" t="str">
        <x:v>019fdd16-bd6b-7d9f-bb52-e7d6b5e53fef</x:v>
      </x:c>
      <x:c r="B1162" s="50" t="str">
        <x:v>ECL</x:v>
      </x:c>
      <x:c r="C1162" s="70" t="n">
        <x:v>46241.693088645836</x:v>
      </x:c>
      <x:c r="D1162" s="50" t="str">
        <x:v>SWING_SETUP</x:v>
      </x:c>
      <x:c r="E1162" s="50" t="str">
        <x:v>ECL SWING SETUP</x:v>
      </x:c>
      <x:c r="F1162" s="50" t="str">
        <x:v>WATCH</x:v>
      </x:c>
      <x:c r="G1162" s="50"/>
      <x:c r="H1162" s="50" t="str">
        <x:v>LONG</x:v>
      </x:c>
      <x:c r="I1162" s="71" t="n">
        <x:v>285.35</x:v>
      </x:c>
      <x:c r="J1162" s="76" t="str">
        <x:v>SIP</x:v>
      </x:c>
    </x:row>
    <x:row r="1163">
      <x:c r="A1163" s="50" t="str">
        <x:v>019fdd16-bd86-7ef4-abad-2eb1d81a7878</x:v>
      </x:c>
      <x:c r="B1163" s="50" t="str">
        <x:v>PFE</x:v>
      </x:c>
      <x:c r="C1163" s="70" t="n">
        <x:v>46241.69308895833</x:v>
      </x:c>
      <x:c r="D1163" s="50" t="str">
        <x:v>SWING_SETUP</x:v>
      </x:c>
      <x:c r="E1163" s="50" t="str">
        <x:v>PFE SWING SETUP</x:v>
      </x:c>
      <x:c r="F1163" s="50" t="str">
        <x:v>WATCH</x:v>
      </x:c>
      <x:c r="G1163" s="50"/>
      <x:c r="H1163" s="50" t="str">
        <x:v>LONG</x:v>
      </x:c>
      <x:c r="I1163" s="71" t="n">
        <x:v>26.4194</x:v>
      </x:c>
      <x:c r="J1163" s="76" t="str">
        <x:v>SIP</x:v>
      </x:c>
    </x:row>
    <x:row r="1164">
      <x:c r="A1164" s="50" t="str">
        <x:v>019fdd16-c176-7cd1-925a-a7961b01f700</x:v>
      </x:c>
      <x:c r="B1164" s="50" t="str">
        <x:v>RCL</x:v>
      </x:c>
      <x:c r="C1164" s="70" t="n">
        <x:v>46241.693100625</x:v>
      </x:c>
      <x:c r="D1164" s="50" t="str">
        <x:v>LONG_BUY_ZONE</x:v>
      </x:c>
      <x:c r="E1164" s="50" t="str">
        <x:v>RCL LONG BUY ZONE</x:v>
      </x:c>
      <x:c r="F1164" s="50" t="str">
        <x:v>WATCH</x:v>
      </x:c>
      <x:c r="G1164" s="50"/>
      <x:c r="H1164" s="50" t="str">
        <x:v>LONG</x:v>
      </x:c>
      <x:c r="I1164" s="71" t="n">
        <x:v>320.61</x:v>
      </x:c>
      <x:c r="J1164" s="76" t="str">
        <x:v>SIP</x:v>
      </x:c>
    </x:row>
    <x:row r="1165">
      <x:c r="A1165" s="50" t="str">
        <x:v>019fdd16-c4ed-7a6e-ba91-403f84385f83</x:v>
      </x:c>
      <x:c r="B1165" s="50" t="str">
        <x:v>RCL</x:v>
      </x:c>
      <x:c r="C1165" s="70" t="n">
        <x:v>46241.6931108912</x:v>
      </x:c>
      <x:c r="D1165" s="50" t="str">
        <x:v>SWING_SETUP</x:v>
      </x:c>
      <x:c r="E1165" s="50" t="str">
        <x:v>RCL SWING SETUP</x:v>
      </x:c>
      <x:c r="F1165" s="50" t="str">
        <x:v>WATCH</x:v>
      </x:c>
      <x:c r="G1165" s="50"/>
      <x:c r="H1165" s="50" t="str">
        <x:v>LONG</x:v>
      </x:c>
      <x:c r="I1165" s="71" t="n">
        <x:v>321.13</x:v>
      </x:c>
      <x:c r="J1165" s="76" t="str">
        <x:v>SIP</x:v>
      </x:c>
    </x:row>
    <x:row r="1166">
      <x:c r="A1166" s="50" t="str">
        <x:v>019fdd16-c9b6-7f0e-810b-1642f0ac94f5</x:v>
      </x:c>
      <x:c r="B1166" s="50" t="str">
        <x:v>ECL</x:v>
      </x:c>
      <x:c r="C1166" s="70" t="n">
        <x:v>46241.69312506945</x:v>
      </x:c>
      <x:c r="D1166" s="50" t="str">
        <x:v>LONG_BUY_ZONE</x:v>
      </x:c>
      <x:c r="E1166" s="50" t="str">
        <x:v>ECL LONG BUY ZONE</x:v>
      </x:c>
      <x:c r="F1166" s="50" t="str">
        <x:v>WATCH</x:v>
      </x:c>
      <x:c r="G1166" s="50"/>
      <x:c r="H1166" s="50" t="str">
        <x:v>LONG</x:v>
      </x:c>
      <x:c r="I1166" s="71" t="n">
        <x:v>284.585</x:v>
      </x:c>
      <x:c r="J1166" s="76" t="str">
        <x:v>SIP</x:v>
      </x:c>
    </x:row>
    <x:row r="1167">
      <x:c r="A1167" s="50" t="str">
        <x:v>019fdd17-a9a0-79f5-9b91-678c824e1950</x:v>
      </x:c>
      <x:c r="B1167" s="50" t="str">
        <x:v>PM</x:v>
      </x:c>
      <x:c r="C1167" s="70" t="n">
        <x:v>46241.69378851852</x:v>
      </x:c>
      <x:c r="D1167" s="50" t="str">
        <x:v>SWING_SETUP</x:v>
      </x:c>
      <x:c r="E1167" s="50" t="str">
        <x:v>PM SWING SETUP</x:v>
      </x:c>
      <x:c r="F1167" s="50" t="str">
        <x:v>WATCH</x:v>
      </x:c>
      <x:c r="G1167" s="50"/>
      <x:c r="H1167" s="50" t="str">
        <x:v>LONG</x:v>
      </x:c>
      <x:c r="I1167" s="71" t="n">
        <x:v>189.09</x:v>
      </x:c>
      <x:c r="J1167" s="76" t="str">
        <x:v>SIP</x:v>
      </x:c>
    </x:row>
    <x:row r="1168">
      <x:c r="A1168" s="50" t="str">
        <x:v>019fdd17-aa45-7a2e-bbd0-26074989ec43</x:v>
      </x:c>
      <x:c r="B1168" s="50" t="str">
        <x:v>MMM</x:v>
      </x:c>
      <x:c r="C1168" s="70" t="n">
        <x:v>46241.69379042824</x:v>
      </x:c>
      <x:c r="D1168" s="50" t="str">
        <x:v>SWING_SETUP</x:v>
      </x:c>
      <x:c r="E1168" s="50" t="str">
        <x:v>MMM SWING SETUP</x:v>
      </x:c>
      <x:c r="F1168" s="50" t="str">
        <x:v>WATCH</x:v>
      </x:c>
      <x:c r="G1168" s="50"/>
      <x:c r="H1168" s="50" t="str">
        <x:v>LONG</x:v>
      </x:c>
      <x:c r="I1168" s="71" t="n">
        <x:v>182.86</x:v>
      </x:c>
      <x:c r="J1168" s="76" t="str">
        <x:v>SIP</x:v>
      </x:c>
    </x:row>
    <x:row r="1169">
      <x:c r="A1169" s="50" t="str">
        <x:v>019fdd17-aa55-79c5-bf3a-4168cf07cd89</x:v>
      </x:c>
      <x:c r="B1169" s="50" t="str">
        <x:v>ABT</x:v>
      </x:c>
      <x:c r="C1169" s="70" t="n">
        <x:v>46241.693790613426</x:v>
      </x:c>
      <x:c r="D1169" s="50" t="str">
        <x:v>SWING_SETUP</x:v>
      </x:c>
      <x:c r="E1169" s="50" t="str">
        <x:v>ABT SWING SETUP</x:v>
      </x:c>
      <x:c r="F1169" s="50" t="str">
        <x:v>WATCH</x:v>
      </x:c>
      <x:c r="G1169" s="50"/>
      <x:c r="H1169" s="50" t="str">
        <x:v>LONG</x:v>
      </x:c>
      <x:c r="I1169" s="71" t="n">
        <x:v>107.63</x:v>
      </x:c>
      <x:c r="J1169" s="76" t="str">
        <x:v>SIP</x:v>
      </x:c>
    </x:row>
    <x:row r="1170">
      <x:c r="A1170" s="50" t="str">
        <x:v>019fdd17-b823-748d-9b82-97d67f424604</x:v>
      </x:c>
      <x:c r="B1170" s="50" t="str">
        <x:v>JNJ</x:v>
      </x:c>
      <x:c r="C1170" s="70" t="n">
        <x:v>46241.693831516204</x:v>
      </x:c>
      <x:c r="D1170" s="50" t="str">
        <x:v>LONG_BUY_ZONE</x:v>
      </x:c>
      <x:c r="E1170" s="50" t="str">
        <x:v>JNJ LONG BUY ZONE</x:v>
      </x:c>
      <x:c r="F1170" s="50" t="str">
        <x:v>WATCH</x:v>
      </x:c>
      <x:c r="G1170" s="50"/>
      <x:c r="H1170" s="50" t="str">
        <x:v>LONG</x:v>
      </x:c>
      <x:c r="I1170" s="71" t="n">
        <x:v>256.29</x:v>
      </x:c>
      <x:c r="J1170" s="76" t="str">
        <x:v>SIP</x:v>
      </x:c>
    </x:row>
    <x:row r="1171">
      <x:c r="A1171" s="50" t="str">
        <x:v>019fdd17-b8ed-753e-8e83-471cb485ba03</x:v>
      </x:c>
      <x:c r="B1171" s="50" t="str">
        <x:v>GS</x:v>
      </x:c>
      <x:c r="C1171" s="70" t="n">
        <x:v>46241.693833854166</x:v>
      </x:c>
      <x:c r="D1171" s="50" t="str">
        <x:v>LONG_BUY_ZONE</x:v>
      </x:c>
      <x:c r="E1171" s="50" t="str">
        <x:v>GS LONG BUY ZONE</x:v>
      </x:c>
      <x:c r="F1171" s="50" t="str">
        <x:v>WATCH</x:v>
      </x:c>
      <x:c r="G1171" s="50"/>
      <x:c r="H1171" s="50" t="str">
        <x:v>LONG</x:v>
      </x:c>
      <x:c r="I1171" s="71" t="n">
        <x:v>1035.615</x:v>
      </x:c>
      <x:c r="J1171" s="76" t="str">
        <x:v>SIP</x:v>
      </x:c>
    </x:row>
    <x:row r="1172">
      <x:c r="A1172" s="50" t="str">
        <x:v>019fdd19-7b98-7e3b-9192-30ac1ee7fc5d</x:v>
      </x:c>
      <x:c r="B1172" s="50" t="str">
        <x:v>BBWI</x:v>
      </x:c>
      <x:c r="C1172" s="70" t="n">
        <x:v>46241.69516916667</x:v>
      </x:c>
      <x:c r="D1172" s="50" t="str">
        <x:v>ENTRY_WATCH</x:v>
      </x:c>
      <x:c r="E1172" s="50" t="str">
        <x:v>BBWI ENTRY BREAKAWAY WATCH</x:v>
      </x:c>
      <x:c r="F1172" s="50" t="str">
        <x:v>WATCH</x:v>
      </x:c>
      <x:c r="G1172" s="50"/>
      <x:c r="H1172" s="50" t="str">
        <x:v>LONG</x:v>
      </x:c>
      <x:c r="I1172" s="71" t="n">
        <x:v>20.315</x:v>
      </x:c>
      <x:c r="J1172" s="76" t="str">
        <x:v>SIP</x:v>
      </x:c>
    </x:row>
    <x:row r="1173">
      <x:c r="A1173" s="50" t="str">
        <x:v>019fdd1a-74ba-7981-bb22-49697e08e7ef</x:v>
      </x:c>
      <x:c r="B1173" s="50" t="str">
        <x:v>VZ</x:v>
      </x:c>
      <x:c r="C1173" s="70" t="n">
        <x:v>46241.69590733796</x:v>
      </x:c>
      <x:c r="D1173" s="50" t="str">
        <x:v>LONG_BUY_ZONE</x:v>
      </x:c>
      <x:c r="E1173" s="50" t="str">
        <x:v>VZ LONG BUY ZONE</x:v>
      </x:c>
      <x:c r="F1173" s="50" t="str">
        <x:v>WATCH</x:v>
      </x:c>
      <x:c r="G1173" s="50"/>
      <x:c r="H1173" s="50" t="str">
        <x:v>LONG</x:v>
      </x:c>
      <x:c r="I1173" s="71" t="n">
        <x:v>46.965</x:v>
      </x:c>
      <x:c r="J1173" s="76" t="str">
        <x:v>SIP</x:v>
      </x:c>
    </x:row>
    <x:row r="1174">
      <x:c r="A1174" s="50" t="str">
        <x:v>019fdd1b-5481-7012-a2b4-750f614db574</x:v>
      </x:c>
      <x:c r="B1174" s="50" t="str">
        <x:v>NU</x:v>
      </x:c>
      <x:c r="C1174" s="70" t="n">
        <x:v>46241.696570381944</x:v>
      </x:c>
      <x:c r="D1174" s="50" t="str">
        <x:v>ENTRY_WATCH</x:v>
      </x:c>
      <x:c r="E1174" s="50" t="str">
        <x:v>NU ENTRY IN_ZONE EARLY WATCH</x:v>
      </x:c>
      <x:c r="F1174" s="50" t="str">
        <x:v>WATCH</x:v>
      </x:c>
      <x:c r="G1174" s="50"/>
      <x:c r="H1174" s="50" t="str">
        <x:v>LONG</x:v>
      </x:c>
      <x:c r="I1174" s="71" t="n">
        <x:v>13.915</x:v>
      </x:c>
      <x:c r="J1174" s="76" t="str">
        <x:v>SIP</x:v>
      </x:c>
    </x:row>
    <x:row r="1175">
      <x:c r="A1175" s="50" t="str">
        <x:v>019fdd1c-45ea-7734-a13d-3e388b7769f8</x:v>
      </x:c>
      <x:c r="B1175" s="50" t="str">
        <x:v>NU</x:v>
      </x:c>
      <x:c r="C1175" s="70" t="n">
        <x:v>46241.69728565972</x:v>
      </x:c>
      <x:c r="D1175" s="50" t="str">
        <x:v>ENTRY_WATCH</x:v>
      </x:c>
      <x:c r="E1175" s="50" t="str">
        <x:v>NU ENTRY BREAKAWAY WATCH</x:v>
      </x:c>
      <x:c r="F1175" s="50" t="str">
        <x:v>WATCH</x:v>
      </x:c>
      <x:c r="G1175" s="50"/>
      <x:c r="H1175" s="50" t="str">
        <x:v>LONG</x:v>
      </x:c>
      <x:c r="I1175" s="71" t="n">
        <x:v>13.925</x:v>
      </x:c>
      <x:c r="J1175" s="76" t="str">
        <x:v>SIP</x:v>
      </x:c>
    </x:row>
    <x:row r="1176">
      <x:c r="A1176" s="50" t="str">
        <x:v>019fdd1c-4ccb-7fc1-b33b-4f8d0c58ccd7</x:v>
      </x:c>
      <x:c r="B1176" s="50" t="str">
        <x:v>OXY</x:v>
      </x:c>
      <x:c r="C1176" s="70" t="n">
        <x:v>46241.69730605324</x:v>
      </x:c>
      <x:c r="D1176" s="50" t="str">
        <x:v>LONG_BUY_ZONE</x:v>
      </x:c>
      <x:c r="E1176" s="50" t="str">
        <x:v>OXY LONG BUY ZONE</x:v>
      </x:c>
      <x:c r="F1176" s="50" t="str">
        <x:v>WATCH</x:v>
      </x:c>
      <x:c r="G1176" s="50"/>
      <x:c r="H1176" s="50" t="str">
        <x:v>LONG</x:v>
      </x:c>
      <x:c r="I1176" s="71" t="n">
        <x:v>56.4</x:v>
      </x:c>
      <x:c r="J1176" s="76" t="str">
        <x:v>SIP</x:v>
      </x:c>
    </x:row>
    <x:row r="1177">
      <x:c r="A1177" s="50" t="str">
        <x:v>019fdd1c-fe4c-7d19-a9dc-daa3ce6df7ac</x:v>
      </x:c>
      <x:c r="B1177" s="50" t="str">
        <x:v>SNDK</x:v>
      </x:c>
      <x:c r="C1177" s="70" t="n">
        <x:v>46241.69783199074</x:v>
      </x:c>
      <x:c r="D1177" s="50" t="str">
        <x:v>ENTRY_WATCH</x:v>
      </x:c>
      <x:c r="E1177" s="50" t="str">
        <x:v>SNDK ENTRY ARMED</x:v>
      </x:c>
      <x:c r="F1177" s="50" t="str">
        <x:v>INFO</x:v>
      </x:c>
      <x:c r="G1177" s="50"/>
      <x:c r="H1177" s="50" t="str">
        <x:v>LONG</x:v>
      </x:c>
      <x:c r="I1177" s="71" t="n">
        <x:v>1229.3875</x:v>
      </x:c>
      <x:c r="J1177" s="76" t="str">
        <x:v>SIP</x:v>
      </x:c>
    </x:row>
    <x:row r="1178">
      <x:c r="A1178" s="50" t="str">
        <x:v>019fdd1c-fec1-73d3-b25b-993d0f19674d</x:v>
      </x:c>
      <x:c r="B1178" s="50" t="str">
        <x:v>SNDK</x:v>
      </x:c>
      <x:c r="C1178" s="70" t="n">
        <x:v>46241.69783334491</x:v>
      </x:c>
      <x:c r="D1178" s="50" t="str">
        <x:v>ENTRY_OPPORTUNITY_PROGRESS</x:v>
      </x:c>
      <x:c r="E1178" s="50" t="str">
        <x:v>SNDK ENTRY ARMED [##--------]</x:v>
      </x:c>
      <x:c r="F1178" s="50" t="str">
        <x:v>INFO</x:v>
      </x:c>
      <x:c r="G1178" s="50"/>
      <x:c r="H1178" s="50" t="str">
        <x:v>LONG</x:v>
      </x:c>
      <x:c r="I1178" s="71" t="n">
        <x:v>1229.3875</x:v>
      </x:c>
      <x:c r="J1178" s="76" t="str">
        <x:v>SIP</x:v>
      </x:c>
    </x:row>
    <x:row r="1179">
      <x:c r="A1179" s="50" t="str">
        <x:v>019fdd1d-2855-780f-a8ed-4d5bdbb21c1d</x:v>
      </x:c>
      <x:c r="B1179" s="50" t="str">
        <x:v>KDP</x:v>
      </x:c>
      <x:c r="C1179" s="70" t="n">
        <x:v>46241.69795653935</x:v>
      </x:c>
      <x:c r="D1179" s="50" t="str">
        <x:v>LONG_BUY_ZONE</x:v>
      </x:c>
      <x:c r="E1179" s="50" t="str">
        <x:v>KDP LONG BUY ZONE</x:v>
      </x:c>
      <x:c r="F1179" s="50" t="str">
        <x:v>WATCH</x:v>
      </x:c>
      <x:c r="G1179" s="50"/>
      <x:c r="H1179" s="50" t="str">
        <x:v>LONG</x:v>
      </x:c>
      <x:c r="I1179" s="71" t="n">
        <x:v>30.065</x:v>
      </x:c>
      <x:c r="J1179" s="76" t="str">
        <x:v>SIP</x:v>
      </x:c>
    </x:row>
    <x:row r="1180">
      <x:c r="A1180" s="50" t="str">
        <x:v>019fdd1d-5436-7f5b-9a07-69a816f47b07</x:v>
      </x:c>
      <x:c r="B1180" s="50" t="str">
        <x:v>SNDK</x:v>
      </x:c>
      <x:c r="C1180" s="70" t="n">
        <x:v>46241.698086550925</x:v>
      </x:c>
      <x:c r="D1180" s="50" t="str">
        <x:v>ENTRY_OPPORTUNITY_CLOSED</x:v>
      </x:c>
      <x:c r="E1180" s="50" t="str">
        <x:v>SNDK ENTRY CLOSED - UNIVERSE REMOVED</x:v>
      </x:c>
      <x:c r="F1180" s="50" t="str">
        <x:v>ACTION</x:v>
      </x:c>
      <x:c r="G1180" s="50"/>
      <x:c r="H1180" s="50" t="str">
        <x:v>NEUTRAL</x:v>
      </x:c>
      <x:c r="I1180" s="71" t="n">
        <x:v>1229.3875</x:v>
      </x:c>
      <x:c r="J1180" s="76" t="str">
        <x:v>SIP</x:v>
      </x:c>
    </x:row>
    <x:row r="1181">
      <x:c r="A1181" s="50" t="str">
        <x:v>019fdd1e-0e42-78b7-a007-2590b03a1d06</x:v>
      </x:c>
      <x:c r="B1181" s="50" t="str">
        <x:v>MA</x:v>
      </x:c>
      <x:c r="C1181" s="70" t="n">
        <x:v>46241.698637800924</x:v>
      </x:c>
      <x:c r="D1181" s="50" t="str">
        <x:v>SWING_SETUP</x:v>
      </x:c>
      <x:c r="E1181" s="50" t="str">
        <x:v>MA SWING SETUP</x:v>
      </x:c>
      <x:c r="F1181" s="50" t="str">
        <x:v>WATCH</x:v>
      </x:c>
      <x:c r="G1181" s="50"/>
      <x:c r="H1181" s="50" t="str">
        <x:v>LONG</x:v>
      </x:c>
      <x:c r="I1181" s="71" t="n">
        <x:v>564.78</x:v>
      </x:c>
      <x:c r="J1181" s="76" t="str">
        <x:v>SIP</x:v>
      </x:c>
    </x:row>
    <x:row r="1182">
      <x:c r="A1182" s="50" t="str">
        <x:v>019fdd1e-10d7-7d3f-945d-24bc3cfcd1d5</x:v>
      </x:c>
      <x:c r="B1182" s="50" t="str">
        <x:v>UEC</x:v>
      </x:c>
      <x:c r="C1182" s="70" t="n">
        <x:v>46241.69864545139</x:v>
      </x:c>
      <x:c r="D1182" s="50" t="str">
        <x:v>SWING_SETUP</x:v>
      </x:c>
      <x:c r="E1182" s="50" t="str">
        <x:v>UEC SWING SETUP</x:v>
      </x:c>
      <x:c r="F1182" s="50" t="str">
        <x:v>WATCH</x:v>
      </x:c>
      <x:c r="G1182" s="50"/>
      <x:c r="H1182" s="50" t="str">
        <x:v>LONG</x:v>
      </x:c>
      <x:c r="I1182" s="71" t="n">
        <x:v>11.29</x:v>
      </x:c>
      <x:c r="J1182" s="76" t="str">
        <x:v>SIP</x:v>
      </x:c>
    </x:row>
    <x:row r="1183">
      <x:c r="A1183" s="50" t="str">
        <x:v>019fdd1e-1354-761f-8e64-f45433d3df06</x:v>
      </x:c>
      <x:c r="B1183" s="50" t="str">
        <x:v>MRK</x:v>
      </x:c>
      <x:c r="C1183" s="70" t="n">
        <x:v>46241.698652824074</x:v>
      </x:c>
      <x:c r="D1183" s="50" t="str">
        <x:v>SWING_SETUP</x:v>
      </x:c>
      <x:c r="E1183" s="50" t="str">
        <x:v>MRK SWING SETUP</x:v>
      </x:c>
      <x:c r="F1183" s="50" t="str">
        <x:v>WATCH</x:v>
      </x:c>
      <x:c r="G1183" s="50"/>
      <x:c r="H1183" s="50" t="str">
        <x:v>LONG</x:v>
      </x:c>
      <x:c r="I1183" s="71" t="n">
        <x:v>128.405</x:v>
      </x:c>
      <x:c r="J1183" s="76" t="str">
        <x:v>SIP</x:v>
      </x:c>
    </x:row>
    <x:row r="1184">
      <x:c r="A1184" s="50" t="str">
        <x:v>019fdd1e-1397-7933-b3e9-9d8e9697df8e</x:v>
      </x:c>
      <x:c r="B1184" s="50" t="str">
        <x:v>NVDA</x:v>
      </x:c>
      <x:c r="C1184" s="70" t="n">
        <x:v>46241.69865358796</x:v>
      </x:c>
      <x:c r="D1184" s="50" t="str">
        <x:v>SWING_SETUP</x:v>
      </x:c>
      <x:c r="E1184" s="50" t="str">
        <x:v>NVDA SWING SETUP</x:v>
      </x:c>
      <x:c r="F1184" s="50" t="str">
        <x:v>WATCH</x:v>
      </x:c>
      <x:c r="G1184" s="50"/>
      <x:c r="H1184" s="50" t="str">
        <x:v>LONG</x:v>
      </x:c>
      <x:c r="I1184" s="71" t="n">
        <x:v>222.415</x:v>
      </x:c>
      <x:c r="J1184" s="76" t="str">
        <x:v>SIP</x:v>
      </x:c>
    </x:row>
    <x:row r="1185">
      <x:c r="A1185" s="50" t="str">
        <x:v>019fdd1e-140b-77f8-a1d4-c774efc31f59</x:v>
      </x:c>
      <x:c r="B1185" s="50" t="str">
        <x:v>RTX</x:v>
      </x:c>
      <x:c r="C1185" s="70" t="n">
        <x:v>46241.69865494213</x:v>
      </x:c>
      <x:c r="D1185" s="50" t="str">
        <x:v>SWING_SETUP</x:v>
      </x:c>
      <x:c r="E1185" s="50" t="str">
        <x:v>RTX SWING SETUP</x:v>
      </x:c>
      <x:c r="F1185" s="50" t="str">
        <x:v>WATCH</x:v>
      </x:c>
      <x:c r="G1185" s="50"/>
      <x:c r="H1185" s="50" t="str">
        <x:v>LONG</x:v>
      </x:c>
      <x:c r="I1185" s="71" t="n">
        <x:v>222.35</x:v>
      </x:c>
      <x:c r="J1185" s="76" t="str">
        <x:v>SIP</x:v>
      </x:c>
    </x:row>
    <x:row r="1186">
      <x:c r="A1186" s="50" t="str">
        <x:v>019fdd1e-169e-7f6c-b5a2-0421212524db</x:v>
      </x:c>
      <x:c r="B1186" s="50" t="str">
        <x:v>AMZN</x:v>
      </x:c>
      <x:c r="C1186" s="70" t="n">
        <x:v>46241.69866256945</x:v>
      </x:c>
      <x:c r="D1186" s="50" t="str">
        <x:v>SWING_SETUP</x:v>
      </x:c>
      <x:c r="E1186" s="50" t="str">
        <x:v>AMZN SWING SETUP</x:v>
      </x:c>
      <x:c r="F1186" s="50" t="str">
        <x:v>WATCH</x:v>
      </x:c>
      <x:c r="G1186" s="50"/>
      <x:c r="H1186" s="50" t="str">
        <x:v>LONG</x:v>
      </x:c>
      <x:c r="I1186" s="71" t="n">
        <x:v>275.9295</x:v>
      </x:c>
      <x:c r="J1186" s="76" t="str">
        <x:v>SIP</x:v>
      </x:c>
    </x:row>
    <x:row r="1187">
      <x:c r="A1187" s="50" t="str">
        <x:v>019fdd1e-174b-7807-aefa-66cb50732d78</x:v>
      </x:c>
      <x:c r="B1187" s="50" t="str">
        <x:v>AMGN</x:v>
      </x:c>
      <x:c r="C1187" s="70" t="n">
        <x:v>46241.69866457176</x:v>
      </x:c>
      <x:c r="D1187" s="50" t="str">
        <x:v>SWING_SETUP</x:v>
      </x:c>
      <x:c r="E1187" s="50" t="str">
        <x:v>AMGN SWING SETUP</x:v>
      </x:c>
      <x:c r="F1187" s="50" t="str">
        <x:v>WATCH</x:v>
      </x:c>
      <x:c r="G1187" s="50"/>
      <x:c r="H1187" s="50" t="str">
        <x:v>LONG</x:v>
      </x:c>
      <x:c r="I1187" s="71" t="n">
        <x:v>406.64</x:v>
      </x:c>
      <x:c r="J1187" s="76" t="str">
        <x:v>SIP</x:v>
      </x:c>
    </x:row>
    <x:row r="1188">
      <x:c r="A1188" s="50" t="str">
        <x:v>019fdd1e-1796-7487-a27c-9f4d74a6bbcf</x:v>
      </x:c>
      <x:c r="B1188" s="50" t="str">
        <x:v>TGT</x:v>
      </x:c>
      <x:c r="C1188" s="70" t="n">
        <x:v>46241.69866543981</x:v>
      </x:c>
      <x:c r="D1188" s="50" t="str">
        <x:v>SWING_SETUP</x:v>
      </x:c>
      <x:c r="E1188" s="50" t="str">
        <x:v>TGT SWING SETUP</x:v>
      </x:c>
      <x:c r="F1188" s="50" t="str">
        <x:v>WATCH</x:v>
      </x:c>
      <x:c r="G1188" s="50"/>
      <x:c r="H1188" s="50" t="str">
        <x:v>LONG</x:v>
      </x:c>
      <x:c r="I1188" s="71" t="n">
        <x:v>148.05</x:v>
      </x:c>
      <x:c r="J1188" s="76" t="str">
        <x:v>SIP</x:v>
      </x:c>
    </x:row>
    <x:row r="1189">
      <x:c r="A1189" s="50" t="str">
        <x:v>019fdd1e-17a3-7ad8-a6ce-5693c8f5bebe</x:v>
      </x:c>
      <x:c r="B1189" s="50" t="str">
        <x:v>ABNB</x:v>
      </x:c>
      <x:c r="C1189" s="70" t="n">
        <x:v>46241.69866559028</x:v>
      </x:c>
      <x:c r="D1189" s="50" t="str">
        <x:v>SWING_SETUP</x:v>
      </x:c>
      <x:c r="E1189" s="50" t="str">
        <x:v>ABNB SWING SETUP</x:v>
      </x:c>
      <x:c r="F1189" s="50" t="str">
        <x:v>WATCH</x:v>
      </x:c>
      <x:c r="G1189" s="50"/>
      <x:c r="H1189" s="50" t="str">
        <x:v>LONG</x:v>
      </x:c>
      <x:c r="I1189" s="71" t="n">
        <x:v>174.665</x:v>
      </x:c>
      <x:c r="J1189" s="76" t="str">
        <x:v>SIP</x:v>
      </x:c>
    </x:row>
    <x:row r="1190">
      <x:c r="A1190" s="50" t="str">
        <x:v>019fdd1e-1a1b-7303-88d0-aa2d58f5fca4</x:v>
      </x:c>
      <x:c r="B1190" s="50" t="str">
        <x:v>XOM</x:v>
      </x:c>
      <x:c r="C1190" s="70" t="n">
        <x:v>46241.69867290509</x:v>
      </x:c>
      <x:c r="D1190" s="50" t="str">
        <x:v>SWING_SETUP</x:v>
      </x:c>
      <x:c r="E1190" s="50" t="str">
        <x:v>XOM SWING SETUP</x:v>
      </x:c>
      <x:c r="F1190" s="50" t="str">
        <x:v>WATCH</x:v>
      </x:c>
      <x:c r="G1190" s="50"/>
      <x:c r="H1190" s="50" t="str">
        <x:v>LONG</x:v>
      </x:c>
      <x:c r="I1190" s="71" t="n">
        <x:v>153.63</x:v>
      </x:c>
      <x:c r="J1190" s="76" t="str">
        <x:v>SIP</x:v>
      </x:c>
    </x:row>
    <x:row r="1191">
      <x:c r="A1191" s="50" t="str">
        <x:v>019fdd1e-1d7b-796a-9109-48b9d4e2593a</x:v>
      </x:c>
      <x:c r="B1191" s="50" t="str">
        <x:v>HRL</x:v>
      </x:c>
      <x:c r="C1191" s="70" t="n">
        <x:v>46241.698682905095</x:v>
      </x:c>
      <x:c r="D1191" s="50" t="str">
        <x:v>SWING_SETUP</x:v>
      </x:c>
      <x:c r="E1191" s="50" t="str">
        <x:v>HRL SWING SETUP</x:v>
      </x:c>
      <x:c r="F1191" s="50" t="str">
        <x:v>WATCH</x:v>
      </x:c>
      <x:c r="G1191" s="50"/>
      <x:c r="H1191" s="50" t="str">
        <x:v>LONG</x:v>
      </x:c>
      <x:c r="I1191" s="71" t="n">
        <x:v>25.21</x:v>
      </x:c>
      <x:c r="J1191" s="76" t="str">
        <x:v>SIP</x:v>
      </x:c>
    </x:row>
    <x:row r="1192">
      <x:c r="A1192" s="50" t="str">
        <x:v>019fdd1e-fdd3-7b27-908a-4da37c97ae8d</x:v>
      </x:c>
      <x:c r="B1192" s="50" t="str">
        <x:v>SNOW</x:v>
      </x:c>
      <x:c r="C1192" s="70" t="n">
        <x:v>46241.69934762731</x:v>
      </x:c>
      <x:c r="D1192" s="50" t="str">
        <x:v>SWING_SETUP</x:v>
      </x:c>
      <x:c r="E1192" s="50" t="str">
        <x:v>SNOW SWING SETUP</x:v>
      </x:c>
      <x:c r="F1192" s="50" t="str">
        <x:v>WATCH</x:v>
      </x:c>
      <x:c r="G1192" s="50"/>
      <x:c r="H1192" s="50" t="str">
        <x:v>LONG</x:v>
      </x:c>
      <x:c r="I1192" s="71" t="n">
        <x:v>325.89</x:v>
      </x:c>
      <x:c r="J1192" s="76" t="str">
        <x:v>SIP</x:v>
      </x:c>
    </x:row>
    <x:row r="1193">
      <x:c r="A1193" s="50" t="str">
        <x:v>019fdd1e-ffec-7cba-b7a4-faf8cdbfcba8</x:v>
      </x:c>
      <x:c r="B1193" s="50" t="str">
        <x:v>CROX</x:v>
      </x:c>
      <x:c r="C1193" s="70" t="n">
        <x:v>46241.699353842596</x:v>
      </x:c>
      <x:c r="D1193" s="50" t="str">
        <x:v>SWING_SETUP</x:v>
      </x:c>
      <x:c r="E1193" s="50" t="str">
        <x:v>CROX SWING SETUP</x:v>
      </x:c>
      <x:c r="F1193" s="50" t="str">
        <x:v>WATCH</x:v>
      </x:c>
      <x:c r="G1193" s="50"/>
      <x:c r="H1193" s="50" t="str">
        <x:v>LONG</x:v>
      </x:c>
      <x:c r="I1193" s="71" t="n">
        <x:v>138.15</x:v>
      </x:c>
      <x:c r="J1193" s="76" t="str">
        <x:v>SIP</x:v>
      </x:c>
    </x:row>
    <x:row r="1194">
      <x:c r="A1194" s="50" t="str">
        <x:v>019fdd1f-0296-703d-8365-ac9bca6ca2cd</x:v>
      </x:c>
      <x:c r="B1194" s="50" t="str">
        <x:v>GRAB</x:v>
      </x:c>
      <x:c r="C1194" s="70" t="n">
        <x:v>46241.69936172454</x:v>
      </x:c>
      <x:c r="D1194" s="50" t="str">
        <x:v>SWING_SETUP</x:v>
      </x:c>
      <x:c r="E1194" s="50" t="str">
        <x:v>GRAB SWING SETUP</x:v>
      </x:c>
      <x:c r="F1194" s="50" t="str">
        <x:v>WATCH</x:v>
      </x:c>
      <x:c r="G1194" s="50"/>
      <x:c r="H1194" s="50" t="str">
        <x:v>LONG</x:v>
      </x:c>
      <x:c r="I1194" s="71" t="n">
        <x:v>3.665</x:v>
      </x:c>
      <x:c r="J1194" s="76" t="str">
        <x:v>SIP</x:v>
      </x:c>
    </x:row>
    <x:row r="1195">
      <x:c r="A1195" s="50" t="str">
        <x:v>019fdd1f-e419-7136-8c98-c31761368f1d</x:v>
      </x:c>
      <x:c r="B1195" s="50" t="str">
        <x:v>NOC</x:v>
      </x:c>
      <x:c r="C1195" s="70" t="n">
        <x:v>46241.70002991898</x:v>
      </x:c>
      <x:c r="D1195" s="50" t="str">
        <x:v>SWING_SETUP</x:v>
      </x:c>
      <x:c r="E1195" s="50" t="str">
        <x:v>NOC SWING SETUP</x:v>
      </x:c>
      <x:c r="F1195" s="50" t="str">
        <x:v>WATCH</x:v>
      </x:c>
      <x:c r="G1195" s="50"/>
      <x:c r="H1195" s="50" t="str">
        <x:v>LONG</x:v>
      </x:c>
      <x:c r="I1195" s="71" t="n">
        <x:v>569.645</x:v>
      </x:c>
      <x:c r="J1195" s="76" t="str">
        <x:v>SIP</x:v>
      </x:c>
    </x:row>
    <x:row r="1196">
      <x:c r="A1196" s="50" t="str">
        <x:v>019fdd1f-e52b-7fa6-84af-bf01bf78c501</x:v>
      </x:c>
      <x:c r="B1196" s="50" t="str">
        <x:v>PSX</x:v>
      </x:c>
      <x:c r="C1196" s="70" t="n">
        <x:v>46241.70003309028</x:v>
      </x:c>
      <x:c r="D1196" s="50" t="str">
        <x:v>SWING_SETUP</x:v>
      </x:c>
      <x:c r="E1196" s="50" t="str">
        <x:v>PSX SWING SETUP</x:v>
      </x:c>
      <x:c r="F1196" s="50" t="str">
        <x:v>WATCH</x:v>
      </x:c>
      <x:c r="G1196" s="50"/>
      <x:c r="H1196" s="50" t="str">
        <x:v>LONG</x:v>
      </x:c>
      <x:c r="I1196" s="71" t="n">
        <x:v>205.525</x:v>
      </x:c>
      <x:c r="J1196" s="76" t="str">
        <x:v>SIP</x:v>
      </x:c>
    </x:row>
    <x:row r="1197">
      <x:c r="A1197" s="50" t="str">
        <x:v>019fdd1f-eac9-7e10-9049-92f067c6bfcc</x:v>
      </x:c>
      <x:c r="B1197" s="50" t="str">
        <x:v>SMR</x:v>
      </x:c>
      <x:c r="C1197" s="70" t="n">
        <x:v>46241.700049733794</x:v>
      </x:c>
      <x:c r="D1197" s="50" t="str">
        <x:v>SWING_SETUP</x:v>
      </x:c>
      <x:c r="E1197" s="50" t="str">
        <x:v>SMR SWING SETUP</x:v>
      </x:c>
      <x:c r="F1197" s="50" t="str">
        <x:v>WATCH</x:v>
      </x:c>
      <x:c r="G1197" s="50"/>
      <x:c r="H1197" s="50" t="str">
        <x:v>LONG</x:v>
      </x:c>
      <x:c r="I1197" s="71" t="n">
        <x:v>9.915</x:v>
      </x:c>
      <x:c r="J1197" s="76" t="str">
        <x:v>SIP</x:v>
      </x:c>
    </x:row>
    <x:row r="1198">
      <x:c r="A1198" s="50" t="str">
        <x:v>019fdd1f-ec45-786e-be3b-4c7abeb91ee6</x:v>
      </x:c>
      <x:c r="B1198" s="50" t="str">
        <x:v>RDW</x:v>
      </x:c>
      <x:c r="C1198" s="70" t="n">
        <x:v>46241.70005413194</x:v>
      </x:c>
      <x:c r="D1198" s="50" t="str">
        <x:v>SWING_SETUP</x:v>
      </x:c>
      <x:c r="E1198" s="50" t="str">
        <x:v>RDW SWING SETUP</x:v>
      </x:c>
      <x:c r="F1198" s="50" t="str">
        <x:v>WATCH</x:v>
      </x:c>
      <x:c r="G1198" s="50"/>
      <x:c r="H1198" s="50" t="str">
        <x:v>LONG</x:v>
      </x:c>
      <x:c r="I1198" s="71" t="n">
        <x:v>13.455</x:v>
      </x:c>
      <x:c r="J1198" s="76" t="str">
        <x:v>SIP</x:v>
      </x:c>
    </x:row>
    <x:row r="1199">
      <x:c r="A1199" s="50" t="str">
        <x:v>019fdd1f-f6ee-7730-a117-779ba3371d1b</x:v>
      </x:c>
      <x:c r="B1199" s="50" t="str">
        <x:v>APH</x:v>
      </x:c>
      <x:c r="C1199" s="70" t="n">
        <x:v>46241.700085717595</x:v>
      </x:c>
      <x:c r="D1199" s="50" t="str">
        <x:v>LONG_BUY_ZONE</x:v>
      </x:c>
      <x:c r="E1199" s="50" t="str">
        <x:v>APH LONG BUY ZONE</x:v>
      </x:c>
      <x:c r="F1199" s="50" t="str">
        <x:v>WATCH</x:v>
      </x:c>
      <x:c r="G1199" s="50"/>
      <x:c r="H1199" s="50" t="str">
        <x:v>LONG</x:v>
      </x:c>
      <x:c r="I1199" s="71" t="n">
        <x:v>167.46</x:v>
      </x:c>
      <x:c r="J1199" s="76" t="str">
        <x:v>SIP</x:v>
      </x:c>
    </x:row>
    <x:row r="1200">
      <x:c r="A1200" s="50" t="str">
        <x:v>019fdd20-d699-7804-9086-d1231894f75b</x:v>
      </x:c>
      <x:c r="B1200" s="50" t="str">
        <x:v>INTU</x:v>
      </x:c>
      <x:c r="C1200" s="70" t="n">
        <x:v>46241.70074842592</x:v>
      </x:c>
      <x:c r="D1200" s="50" t="str">
        <x:v>SWING_SETUP</x:v>
      </x:c>
      <x:c r="E1200" s="50" t="str">
        <x:v>INTU SWING SETUP</x:v>
      </x:c>
      <x:c r="F1200" s="50" t="str">
        <x:v>WATCH</x:v>
      </x:c>
      <x:c r="G1200" s="50"/>
      <x:c r="H1200" s="50" t="str">
        <x:v>LONG</x:v>
      </x:c>
      <x:c r="I1200" s="71" t="n">
        <x:v>329.71</x:v>
      </x:c>
      <x:c r="J1200" s="76" t="str">
        <x:v>SIP</x:v>
      </x:c>
    </x:row>
    <x:row r="1201">
      <x:c r="A1201" s="50" t="str">
        <x:v>019fdd21-c0c3-74fc-8981-6faaa6e97d9c</x:v>
      </x:c>
      <x:c r="B1201" s="50" t="str">
        <x:v>LMT</x:v>
      </x:c>
      <x:c r="C1201" s="70" t="n">
        <x:v>46241.70144224537</x:v>
      </x:c>
      <x:c r="D1201" s="50" t="str">
        <x:v>SWING_SETUP</x:v>
      </x:c>
      <x:c r="E1201" s="50" t="str">
        <x:v>LMT SWING SETUP</x:v>
      </x:c>
      <x:c r="F1201" s="50" t="str">
        <x:v>WATCH</x:v>
      </x:c>
      <x:c r="G1201" s="50"/>
      <x:c r="H1201" s="50" t="str">
        <x:v>LONG</x:v>
      </x:c>
      <x:c r="I1201" s="71" t="n">
        <x:v>584.465</x:v>
      </x:c>
      <x:c r="J1201" s="76" t="str">
        <x:v>SIP</x:v>
      </x:c>
    </x:row>
    <x:row r="1202">
      <x:c r="A1202" s="50" t="str">
        <x:v>019fdd21-c115-7671-a700-1be3a336b40c</x:v>
      </x:c>
      <x:c r="B1202" s="50" t="str">
        <x:v>DASH</x:v>
      </x:c>
      <x:c r="C1202" s="70" t="n">
        <x:v>46241.70144320602</x:v>
      </x:c>
      <x:c r="D1202" s="50" t="str">
        <x:v>SWING_SETUP</x:v>
      </x:c>
      <x:c r="E1202" s="50" t="str">
        <x:v>DASH SWING SETUP</x:v>
      </x:c>
      <x:c r="F1202" s="50" t="str">
        <x:v>WATCH</x:v>
      </x:c>
      <x:c r="G1202" s="50"/>
      <x:c r="H1202" s="50" t="str">
        <x:v>LONG</x:v>
      </x:c>
      <x:c r="I1202" s="71" t="n">
        <x:v>220.31</x:v>
      </x:c>
      <x:c r="J1202" s="76" t="str">
        <x:v>SIP</x:v>
      </x:c>
    </x:row>
    <x:row r="1203">
      <x:c r="A1203" s="50" t="str">
        <x:v>019fdd21-c14d-739b-9281-49bb758cc48e</x:v>
      </x:c>
      <x:c r="B1203" s="50" t="str">
        <x:v>DLR</x:v>
      </x:c>
      <x:c r="C1203" s="70" t="n">
        <x:v>46241.70144385417</x:v>
      </x:c>
      <x:c r="D1203" s="50" t="str">
        <x:v>SWING_SETUP</x:v>
      </x:c>
      <x:c r="E1203" s="50" t="str">
        <x:v>DLR SWING SETUP</x:v>
      </x:c>
      <x:c r="F1203" s="50" t="str">
        <x:v>WATCH</x:v>
      </x:c>
      <x:c r="G1203" s="50"/>
      <x:c r="H1203" s="50" t="str">
        <x:v>LONG</x:v>
      </x:c>
      <x:c r="I1203" s="71" t="n">
        <x:v>195.215</x:v>
      </x:c>
      <x:c r="J1203" s="76" t="str">
        <x:v>SIP</x:v>
      </x:c>
    </x:row>
    <x:row r="1204">
      <x:c r="A1204" s="50" t="str">
        <x:v>019fdd21-c1bc-7fdc-9ce0-2054d90d8708</x:v>
      </x:c>
      <x:c r="B1204" s="50" t="str">
        <x:v>APA</x:v>
      </x:c>
      <x:c r="C1204" s="70" t="n">
        <x:v>46241.70144513889</x:v>
      </x:c>
      <x:c r="D1204" s="50" t="str">
        <x:v>SWING_SETUP</x:v>
      </x:c>
      <x:c r="E1204" s="50" t="str">
        <x:v>APA SWING SETUP</x:v>
      </x:c>
      <x:c r="F1204" s="50" t="str">
        <x:v>WATCH</x:v>
      </x:c>
      <x:c r="G1204" s="50"/>
      <x:c r="H1204" s="50" t="str">
        <x:v>LONG</x:v>
      </x:c>
      <x:c r="I1204" s="71" t="n">
        <x:v>37.74</x:v>
      </x:c>
      <x:c r="J1204" s="76" t="str">
        <x:v>SIP</x:v>
      </x:c>
    </x:row>
    <x:row r="1205">
      <x:c r="A1205" s="50" t="str">
        <x:v>019fdd21-c1c9-77b1-8f89-5df40999b4f7</x:v>
      </x:c>
      <x:c r="B1205" s="50" t="str">
        <x:v>WELL</x:v>
      </x:c>
      <x:c r="C1205" s="70" t="n">
        <x:v>46241.70144528935</x:v>
      </x:c>
      <x:c r="D1205" s="50" t="str">
        <x:v>SWING_SETUP</x:v>
      </x:c>
      <x:c r="E1205" s="50" t="str">
        <x:v>WELL SWING SETUP</x:v>
      </x:c>
      <x:c r="F1205" s="50" t="str">
        <x:v>WATCH</x:v>
      </x:c>
      <x:c r="G1205" s="50"/>
      <x:c r="H1205" s="50" t="str">
        <x:v>LONG</x:v>
      </x:c>
      <x:c r="I1205" s="71" t="n">
        <x:v>236.62</x:v>
      </x:c>
      <x:c r="J1205" s="76" t="str">
        <x:v>SIP</x:v>
      </x:c>
    </x:row>
    <x:row r="1206">
      <x:c r="A1206" s="50" t="str">
        <x:v>019fdd21-c730-704d-bd4d-3156c3100a5f</x:v>
      </x:c>
      <x:c r="B1206" s="50" t="str">
        <x:v>MRK</x:v>
      </x:c>
      <x:c r="C1206" s="70" t="n">
        <x:v>46241.701461296296</x:v>
      </x:c>
      <x:c r="D1206" s="50" t="str">
        <x:v>LONG_BUY_ZONE</x:v>
      </x:c>
      <x:c r="E1206" s="50" t="str">
        <x:v>MRK LONG BUY ZONE</x:v>
      </x:c>
      <x:c r="F1206" s="50" t="str">
        <x:v>WATCH</x:v>
      </x:c>
      <x:c r="G1206" s="50"/>
      <x:c r="H1206" s="50" t="str">
        <x:v>LONG</x:v>
      </x:c>
      <x:c r="I1206" s="71" t="n">
        <x:v>128.34</x:v>
      </x:c>
      <x:c r="J1206" s="76" t="str">
        <x:v>SIP</x:v>
      </x:c>
    </x:row>
    <x:row r="1207">
      <x:c r="A1207" s="50" t="str">
        <x:v>019fdd22-a5a5-7d28-b99e-5ab25434a35a</x:v>
      </x:c>
      <x:c r="B1207" s="50" t="str">
        <x:v>ANET</x:v>
      </x:c>
      <x:c r="C1207" s="70" t="n">
        <x:v>46241.70212042824</x:v>
      </x:c>
      <x:c r="D1207" s="50" t="str">
        <x:v>SWING_SETUP</x:v>
      </x:c>
      <x:c r="E1207" s="50" t="str">
        <x:v>ANET SWING SETUP</x:v>
      </x:c>
      <x:c r="F1207" s="50" t="str">
        <x:v>WATCH</x:v>
      </x:c>
      <x:c r="G1207" s="50"/>
      <x:c r="H1207" s="50" t="str">
        <x:v>LONG</x:v>
      </x:c>
      <x:c r="I1207" s="71" t="n">
        <x:v>191.14</x:v>
      </x:c>
      <x:c r="J1207" s="76" t="str">
        <x:v>SIP</x:v>
      </x:c>
    </x:row>
    <x:row r="1208">
      <x:c r="A1208" s="50" t="str">
        <x:v>019fdd22-a63d-7fbc-b989-37bfe9f48c67</x:v>
      </x:c>
      <x:c r="B1208" s="50" t="str">
        <x:v>SBUX</x:v>
      </x:c>
      <x:c r="C1208" s="70" t="n">
        <x:v>46241.7021221875</x:v>
      </x:c>
      <x:c r="D1208" s="50" t="str">
        <x:v>SWING_SETUP</x:v>
      </x:c>
      <x:c r="E1208" s="50" t="str">
        <x:v>SBUX SWING SETUP</x:v>
      </x:c>
      <x:c r="F1208" s="50" t="str">
        <x:v>WATCH</x:v>
      </x:c>
      <x:c r="G1208" s="50"/>
      <x:c r="H1208" s="50" t="str">
        <x:v>LONG</x:v>
      </x:c>
      <x:c r="I1208" s="71" t="n">
        <x:v>106.42</x:v>
      </x:c>
      <x:c r="J1208" s="76" t="str">
        <x:v>SIP</x:v>
      </x:c>
    </x:row>
    <x:row r="1209">
      <x:c r="A1209" s="50" t="str">
        <x:v>019fdd22-a658-76e7-8871-a6cc53be7e62</x:v>
      </x:c>
      <x:c r="B1209" s="50" t="str">
        <x:v>MDLZ</x:v>
      </x:c>
      <x:c r="C1209" s="70" t="n">
        <x:v>46241.7021225</x:v>
      </x:c>
      <x:c r="D1209" s="50" t="str">
        <x:v>SWING_SETUP</x:v>
      </x:c>
      <x:c r="E1209" s="50" t="str">
        <x:v>MDLZ SWING SETUP</x:v>
      </x:c>
      <x:c r="F1209" s="50" t="str">
        <x:v>WATCH</x:v>
      </x:c>
      <x:c r="G1209" s="50"/>
      <x:c r="H1209" s="50" t="str">
        <x:v>LONG</x:v>
      </x:c>
      <x:c r="I1209" s="71" t="n">
        <x:v>62.7998</x:v>
      </x:c>
      <x:c r="J1209" s="76" t="str">
        <x:v>SIP</x:v>
      </x:c>
    </x:row>
    <x:row r="1210">
      <x:c r="A1210" s="50" t="str">
        <x:v>019fdd22-a667-7a16-bbfb-9b8a4b38f8e9</x:v>
      </x:c>
      <x:c r="B1210" s="50" t="str">
        <x:v>VZ</x:v>
      </x:c>
      <x:c r="C1210" s="70" t="n">
        <x:v>46241.70212267361</x:v>
      </x:c>
      <x:c r="D1210" s="50" t="str">
        <x:v>SWING_SETUP</x:v>
      </x:c>
      <x:c r="E1210" s="50" t="str">
        <x:v>VZ SWING SETUP</x:v>
      </x:c>
      <x:c r="F1210" s="50" t="str">
        <x:v>WATCH</x:v>
      </x:c>
      <x:c r="G1210" s="50"/>
      <x:c r="H1210" s="50" t="str">
        <x:v>LONG</x:v>
      </x:c>
      <x:c r="I1210" s="71" t="n">
        <x:v>46.985</x:v>
      </x:c>
      <x:c r="J1210" s="76" t="str">
        <x:v>SIP</x:v>
      </x:c>
    </x:row>
    <x:row r="1211">
      <x:c r="A1211" s="50" t="str">
        <x:v>019fdd22-a680-7da5-9234-3aa43192127e</x:v>
      </x:c>
      <x:c r="B1211" s="50" t="str">
        <x:v>UNP</x:v>
      </x:c>
      <x:c r="C1211" s="70" t="n">
        <x:v>46241.70212296296</x:v>
      </x:c>
      <x:c r="D1211" s="50" t="str">
        <x:v>SWING_SETUP</x:v>
      </x:c>
      <x:c r="E1211" s="50" t="str">
        <x:v>UNP SWING SETUP</x:v>
      </x:c>
      <x:c r="F1211" s="50" t="str">
        <x:v>WATCH</x:v>
      </x:c>
      <x:c r="G1211" s="50"/>
      <x:c r="H1211" s="50" t="str">
        <x:v>LONG</x:v>
      </x:c>
      <x:c r="I1211" s="71" t="n">
        <x:v>296.77</x:v>
      </x:c>
      <x:c r="J1211" s="76" t="str">
        <x:v>SIP</x:v>
      </x:c>
    </x:row>
    <x:row r="1212">
      <x:c r="A1212" s="50" t="str">
        <x:v>019fdd22-a691-7997-9527-2ce9deca2cee</x:v>
      </x:c>
      <x:c r="B1212" s="50" t="str">
        <x:v>OXY</x:v>
      </x:c>
      <x:c r="C1212" s="70" t="n">
        <x:v>46241.702123159725</x:v>
      </x:c>
      <x:c r="D1212" s="50" t="str">
        <x:v>SWING_SETUP</x:v>
      </x:c>
      <x:c r="E1212" s="50" t="str">
        <x:v>OXY SWING SETUP</x:v>
      </x:c>
      <x:c r="F1212" s="50" t="str">
        <x:v>WATCH</x:v>
      </x:c>
      <x:c r="G1212" s="50"/>
      <x:c r="H1212" s="50" t="str">
        <x:v>LONG</x:v>
      </x:c>
      <x:c r="I1212" s="71" t="n">
        <x:v>56.405</x:v>
      </x:c>
      <x:c r="J1212" s="76" t="str">
        <x:v>SIP</x:v>
      </x:c>
    </x:row>
    <x:row r="1213">
      <x:c r="A1213" s="50" t="str">
        <x:v>019fdd22-a6b4-7bf2-b57a-cf60ee51a3f2</x:v>
      </x:c>
      <x:c r="B1213" s="50" t="str">
        <x:v>COP</x:v>
      </x:c>
      <x:c r="C1213" s="70" t="n">
        <x:v>46241.70212356481</x:v>
      </x:c>
      <x:c r="D1213" s="50" t="str">
        <x:v>SWING_SETUP</x:v>
      </x:c>
      <x:c r="E1213" s="50" t="str">
        <x:v>COP SWING SETUP</x:v>
      </x:c>
      <x:c r="F1213" s="50" t="str">
        <x:v>WATCH</x:v>
      </x:c>
      <x:c r="G1213" s="50"/>
      <x:c r="H1213" s="50" t="str">
        <x:v>LONG</x:v>
      </x:c>
      <x:c r="I1213" s="71" t="n">
        <x:v>118.42</x:v>
      </x:c>
      <x:c r="J1213" s="76" t="str">
        <x:v>SIP</x:v>
      </x:c>
    </x:row>
    <x:row r="1214">
      <x:c r="A1214" s="50" t="str">
        <x:v>019fdd22-a97f-719c-bbd2-d484b3048303</x:v>
      </x:c>
      <x:c r="B1214" s="50" t="str">
        <x:v>BMY</x:v>
      </x:c>
      <x:c r="C1214" s="70" t="n">
        <x:v>46241.70213184028</x:v>
      </x:c>
      <x:c r="D1214" s="50" t="str">
        <x:v>SWING_SETUP</x:v>
      </x:c>
      <x:c r="E1214" s="50" t="str">
        <x:v>BMY SWING SETUP</x:v>
      </x:c>
      <x:c r="F1214" s="50" t="str">
        <x:v>WATCH</x:v>
      </x:c>
      <x:c r="G1214" s="50"/>
      <x:c r="H1214" s="50" t="str">
        <x:v>LONG</x:v>
      </x:c>
      <x:c r="I1214" s="71" t="n">
        <x:v>64.35</x:v>
      </x:c>
      <x:c r="J1214" s="76" t="str">
        <x:v>SIP</x:v>
      </x:c>
    </x:row>
    <x:row r="1215">
      <x:c r="A1215" s="50" t="str">
        <x:v>019fdd22-aab0-75c0-93b2-ee145a0a12fd</x:v>
      </x:c>
      <x:c r="B1215" s="50" t="str">
        <x:v>SCHW</x:v>
      </x:c>
      <x:c r="C1215" s="70" t="n">
        <x:v>46241.70213537037</x:v>
      </x:c>
      <x:c r="D1215" s="50" t="str">
        <x:v>SWING_SETUP</x:v>
      </x:c>
      <x:c r="E1215" s="50" t="str">
        <x:v>SCHW SWING SETUP</x:v>
      </x:c>
      <x:c r="F1215" s="50" t="str">
        <x:v>WATCH</x:v>
      </x:c>
      <x:c r="G1215" s="50"/>
      <x:c r="H1215" s="50" t="str">
        <x:v>LONG</x:v>
      </x:c>
      <x:c r="I1215" s="71" t="n">
        <x:v>106.7577</x:v>
      </x:c>
      <x:c r="J1215" s="76" t="str">
        <x:v>SIP</x:v>
      </x:c>
    </x:row>
    <x:row r="1216">
      <x:c r="A1216" s="50" t="str">
        <x:v>019fdd22-aac8-7b92-b393-a5e53a7bd8a9</x:v>
      </x:c>
      <x:c r="B1216" s="50" t="str">
        <x:v>PLTR</x:v>
      </x:c>
      <x:c r="C1216" s="70" t="n">
        <x:v>46241.70213564815</x:v>
      </x:c>
      <x:c r="D1216" s="50" t="str">
        <x:v>SWING_SETUP</x:v>
      </x:c>
      <x:c r="E1216" s="50" t="str">
        <x:v>PLTR SWING SETUP</x:v>
      </x:c>
      <x:c r="F1216" s="50" t="str">
        <x:v>WATCH</x:v>
      </x:c>
      <x:c r="G1216" s="50"/>
      <x:c r="H1216" s="50" t="str">
        <x:v>LONG</x:v>
      </x:c>
      <x:c r="I1216" s="71" t="n">
        <x:v>170.09</x:v>
      </x:c>
      <x:c r="J1216" s="76" t="str">
        <x:v>SIP</x:v>
      </x:c>
    </x:row>
    <x:row r="1217">
      <x:c r="A1217" s="50" t="str">
        <x:v>019fdd22-b5db-7f52-babb-8fb9be9f2536</x:v>
      </x:c>
      <x:c r="B1217" s="50" t="str">
        <x:v>SBUX</x:v>
      </x:c>
      <x:c r="C1217" s="70" t="n">
        <x:v>46241.70216846065</x:v>
      </x:c>
      <x:c r="D1217" s="50" t="str">
        <x:v>LONG_BUY_ZONE</x:v>
      </x:c>
      <x:c r="E1217" s="50" t="str">
        <x:v>SBUX LONG BUY ZONE</x:v>
      </x:c>
      <x:c r="F1217" s="50" t="str">
        <x:v>WATCH</x:v>
      </x:c>
      <x:c r="G1217" s="50"/>
      <x:c r="H1217" s="50" t="str">
        <x:v>LONG</x:v>
      </x:c>
      <x:c r="I1217" s="71" t="n">
        <x:v>106.43</x:v>
      </x:c>
      <x:c r="J1217" s="76" t="str">
        <x:v>SIP</x:v>
      </x:c>
    </x:row>
    <x:row r="1218">
      <x:c r="A1218" s="50" t="str">
        <x:v>019fdd23-9758-7a1d-bd85-22c9a5ce14ac</x:v>
      </x:c>
      <x:c r="B1218" s="50" t="str">
        <x:v>ABBV</x:v>
      </x:c>
      <x:c r="C1218" s="70" t="n">
        <x:v>46241.70283657408</x:v>
      </x:c>
      <x:c r="D1218" s="50" t="str">
        <x:v>LONG_BUY_ZONE</x:v>
      </x:c>
      <x:c r="E1218" s="50" t="str">
        <x:v>ABBV LONG BUY ZONE</x:v>
      </x:c>
      <x:c r="F1218" s="50" t="str">
        <x:v>WATCH</x:v>
      </x:c>
      <x:c r="G1218" s="50"/>
      <x:c r="H1218" s="50" t="str">
        <x:v>LONG</x:v>
      </x:c>
      <x:c r="I1218" s="71" t="n">
        <x:v>244.88</x:v>
      </x:c>
      <x:c r="J1218" s="76" t="str">
        <x:v>SIP</x:v>
      </x:c>
    </x:row>
    <x:row r="1219">
      <x:c r="A1219" s="50" t="str">
        <x:v>019fdd23-a162-71cf-a96a-89e91f5994d5</x:v>
      </x:c>
      <x:c r="B1219" s="50" t="str">
        <x:v>PM</x:v>
      </x:c>
      <x:c r="C1219" s="70" t="n">
        <x:v>46241.70286631944</x:v>
      </x:c>
      <x:c r="D1219" s="50" t="str">
        <x:v>LONG_BUY_ZONE</x:v>
      </x:c>
      <x:c r="E1219" s="50" t="str">
        <x:v>PM LONG BUY ZONE</x:v>
      </x:c>
      <x:c r="F1219" s="50" t="str">
        <x:v>WATCH</x:v>
      </x:c>
      <x:c r="G1219" s="50"/>
      <x:c r="H1219" s="50" t="str">
        <x:v>LONG</x:v>
      </x:c>
      <x:c r="I1219" s="71" t="n">
        <x:v>189.25</x:v>
      </x:c>
      <x:c r="J1219" s="76" t="str">
        <x:v>SIP</x:v>
      </x:c>
    </x:row>
    <x:row r="1220">
      <x:c r="A1220" s="50" t="str">
        <x:v>019fdd24-77b2-7569-b2cf-968db4e2f22e</x:v>
      </x:c>
      <x:c r="B1220" s="50" t="str">
        <x:v>ETHA</x:v>
      </x:c>
      <x:c r="C1220" s="70" t="n">
        <x:v>46241.70350131945</x:v>
      </x:c>
      <x:c r="D1220" s="50" t="str">
        <x:v>SWING_SETUP</x:v>
      </x:c>
      <x:c r="E1220" s="50" t="str">
        <x:v>ETHA SWING SETUP</x:v>
      </x:c>
      <x:c r="F1220" s="50" t="str">
        <x:v>WATCH</x:v>
      </x:c>
      <x:c r="G1220" s="50"/>
      <x:c r="H1220" s="50" t="str">
        <x:v>LONG</x:v>
      </x:c>
      <x:c r="I1220" s="71" t="n">
        <x:v>14.4486</x:v>
      </x:c>
      <x:c r="J1220" s="76" t="str">
        <x:v>SIP</x:v>
      </x:c>
    </x:row>
    <x:row r="1221">
      <x:c r="A1221" s="50" t="str">
        <x:v>019fdd24-77ce-78f5-8636-3e5b25bd93f6</x:v>
      </x:c>
      <x:c r="B1221" s="50" t="str">
        <x:v>TMDX</x:v>
      </x:c>
      <x:c r="C1221" s="70" t="n">
        <x:v>46241.70350164352</x:v>
      </x:c>
      <x:c r="D1221" s="50" t="str">
        <x:v>SWING_SETUP</x:v>
      </x:c>
      <x:c r="E1221" s="50" t="str">
        <x:v>TMDX SWING SETUP</x:v>
      </x:c>
      <x:c r="F1221" s="50" t="str">
        <x:v>WATCH</x:v>
      </x:c>
      <x:c r="G1221" s="50"/>
      <x:c r="H1221" s="50" t="str">
        <x:v>LONG</x:v>
      </x:c>
      <x:c r="I1221" s="71" t="n">
        <x:v>80.7</x:v>
      </x:c>
      <x:c r="J1221" s="76" t="str">
        <x:v>SIP</x:v>
      </x:c>
    </x:row>
    <x:row r="1222">
      <x:c r="A1222" s="50" t="str">
        <x:v>019fdd24-7838-7e44-ba76-698fee79c76d</x:v>
      </x:c>
      <x:c r="B1222" s="50" t="str">
        <x:v>BKNG</x:v>
      </x:c>
      <x:c r="C1222" s="70" t="n">
        <x:v>46241.70350287037</x:v>
      </x:c>
      <x:c r="D1222" s="50" t="str">
        <x:v>SWING_SETUP</x:v>
      </x:c>
      <x:c r="E1222" s="50" t="str">
        <x:v>BKNG SWING SETUP</x:v>
      </x:c>
      <x:c r="F1222" s="50" t="str">
        <x:v>WATCH</x:v>
      </x:c>
      <x:c r="G1222" s="50"/>
      <x:c r="H1222" s="50" t="str">
        <x:v>LONG</x:v>
      </x:c>
      <x:c r="I1222" s="71" t="n">
        <x:v>213.06</x:v>
      </x:c>
      <x:c r="J1222" s="76" t="str">
        <x:v>SIP</x:v>
      </x:c>
    </x:row>
    <x:row r="1223">
      <x:c r="A1223" s="50" t="str">
        <x:v>019fdd24-78d1-7d7a-9416-c3cc72517888</x:v>
      </x:c>
      <x:c r="B1223" s="50" t="str">
        <x:v>KO</x:v>
      </x:c>
      <x:c r="C1223" s="70" t="n">
        <x:v>46241.703504641206</x:v>
      </x:c>
      <x:c r="D1223" s="50" t="str">
        <x:v>SWING_SETUP</x:v>
      </x:c>
      <x:c r="E1223" s="50" t="str">
        <x:v>KO SWING SETUP</x:v>
      </x:c>
      <x:c r="F1223" s="50" t="str">
        <x:v>WATCH</x:v>
      </x:c>
      <x:c r="G1223" s="50"/>
      <x:c r="H1223" s="50" t="str">
        <x:v>LONG</x:v>
      </x:c>
      <x:c r="I1223" s="71" t="n">
        <x:v>87.08</x:v>
      </x:c>
      <x:c r="J1223" s="76" t="str">
        <x:v>SIP</x:v>
      </x:c>
    </x:row>
    <x:row r="1224">
      <x:c r="A1224" s="50" t="str">
        <x:v>019fdd24-7927-786f-bcef-20a9ee46e007</x:v>
      </x:c>
      <x:c r="B1224" s="50" t="str">
        <x:v>CEG</x:v>
      </x:c>
      <x:c r="C1224" s="70" t="n">
        <x:v>46241.70350563657</x:v>
      </x:c>
      <x:c r="D1224" s="50" t="str">
        <x:v>SWING_SETUP</x:v>
      </x:c>
      <x:c r="E1224" s="50" t="str">
        <x:v>CEG SWING SETUP</x:v>
      </x:c>
      <x:c r="F1224" s="50" t="str">
        <x:v>WATCH</x:v>
      </x:c>
      <x:c r="G1224" s="50"/>
      <x:c r="H1224" s="50" t="str">
        <x:v>LONG</x:v>
      </x:c>
      <x:c r="I1224" s="71" t="n">
        <x:v>266.485</x:v>
      </x:c>
      <x:c r="J1224" s="76" t="str">
        <x:v>SIP</x:v>
      </x:c>
    </x:row>
    <x:row r="1225">
      <x:c r="A1225" s="50" t="str">
        <x:v>019fdd24-79e4-743b-a387-6e3e00924d5d</x:v>
      </x:c>
      <x:c r="B1225" s="50" t="str">
        <x:v>SHW</x:v>
      </x:c>
      <x:c r="C1225" s="70" t="n">
        <x:v>46241.7035078125</x:v>
      </x:c>
      <x:c r="D1225" s="50" t="str">
        <x:v>SWING_SETUP</x:v>
      </x:c>
      <x:c r="E1225" s="50" t="str">
        <x:v>SHW SWING SETUP</x:v>
      </x:c>
      <x:c r="F1225" s="50" t="str">
        <x:v>WATCH</x:v>
      </x:c>
      <x:c r="G1225" s="50"/>
      <x:c r="H1225" s="50" t="str">
        <x:v>LONG</x:v>
      </x:c>
      <x:c r="I1225" s="71" t="n">
        <x:v>368.47</x:v>
      </x:c>
      <x:c r="J1225" s="76" t="str">
        <x:v>SIP</x:v>
      </x:c>
    </x:row>
    <x:row r="1226">
      <x:c r="A1226" s="50" t="str">
        <x:v>019fdd24-7dc4-70d4-af75-78e1004bec8a</x:v>
      </x:c>
      <x:c r="B1226" s="50" t="str">
        <x:v>BLK</x:v>
      </x:c>
      <x:c r="C1226" s="70" t="n">
        <x:v>46241.703519305556</x:v>
      </x:c>
      <x:c r="D1226" s="50" t="str">
        <x:v>SWING_SETUP</x:v>
      </x:c>
      <x:c r="E1226" s="50" t="str">
        <x:v>BLK SWING SETUP</x:v>
      </x:c>
      <x:c r="F1226" s="50" t="str">
        <x:v>WATCH</x:v>
      </x:c>
      <x:c r="G1226" s="50"/>
      <x:c r="H1226" s="50" t="str">
        <x:v>LONG</x:v>
      </x:c>
      <x:c r="I1226" s="71" t="n">
        <x:v>1132.735</x:v>
      </x:c>
      <x:c r="J1226" s="76" t="str">
        <x:v>SIP</x:v>
      </x:c>
    </x:row>
    <x:row r="1227">
      <x:c r="A1227" s="50" t="str">
        <x:v>019fdd24-8081-7f86-9f5f-0adeb81efe62</x:v>
      </x:c>
      <x:c r="B1227" s="50" t="str">
        <x:v>ECL</x:v>
      </x:c>
      <x:c r="C1227" s="70" t="n">
        <x:v>46241.703527418984</x:v>
      </x:c>
      <x:c r="D1227" s="50" t="str">
        <x:v>SWING_SETUP</x:v>
      </x:c>
      <x:c r="E1227" s="50" t="str">
        <x:v>ECL SWING SETUP</x:v>
      </x:c>
      <x:c r="F1227" s="50" t="str">
        <x:v>WATCH</x:v>
      </x:c>
      <x:c r="G1227" s="50"/>
      <x:c r="H1227" s="50" t="str">
        <x:v>LONG</x:v>
      </x:c>
      <x:c r="I1227" s="71" t="n">
        <x:v>285.005</x:v>
      </x:c>
      <x:c r="J1227" s="76" t="str">
        <x:v>SIP</x:v>
      </x:c>
    </x:row>
    <x:row r="1228">
      <x:c r="A1228" s="50" t="str">
        <x:v>019fdd24-80a0-786b-b939-c5e685f3af12</x:v>
      </x:c>
      <x:c r="B1228" s="50" t="str">
        <x:v>PFE</x:v>
      </x:c>
      <x:c r="C1228" s="70" t="n">
        <x:v>46241.703527777776</x:v>
      </x:c>
      <x:c r="D1228" s="50" t="str">
        <x:v>SWING_SETUP</x:v>
      </x:c>
      <x:c r="E1228" s="50" t="str">
        <x:v>PFE SWING SETUP</x:v>
      </x:c>
      <x:c r="F1228" s="50" t="str">
        <x:v>WATCH</x:v>
      </x:c>
      <x:c r="G1228" s="50"/>
      <x:c r="H1228" s="50" t="str">
        <x:v>LONG</x:v>
      </x:c>
      <x:c r="I1228" s="71" t="n">
        <x:v>26.45</x:v>
      </x:c>
      <x:c r="J1228" s="76" t="str">
        <x:v>SIP</x:v>
      </x:c>
    </x:row>
    <x:row r="1229">
      <x:c r="A1229" s="50" t="str">
        <x:v>019fdd24-80d7-7f16-888b-f175645d018b</x:v>
      </x:c>
      <x:c r="B1229" s="50" t="str">
        <x:v>JD</x:v>
      </x:c>
      <x:c r="C1229" s="70" t="n">
        <x:v>46241.70352841435</x:v>
      </x:c>
      <x:c r="D1229" s="50" t="str">
        <x:v>SWING_SETUP</x:v>
      </x:c>
      <x:c r="E1229" s="50" t="str">
        <x:v>JD SWING SETUP</x:v>
      </x:c>
      <x:c r="F1229" s="50" t="str">
        <x:v>WATCH</x:v>
      </x:c>
      <x:c r="G1229" s="50"/>
      <x:c r="H1229" s="50" t="str">
        <x:v>LONG</x:v>
      </x:c>
      <x:c r="I1229" s="71" t="n">
        <x:v>32.92</x:v>
      </x:c>
      <x:c r="J1229" s="76" t="str">
        <x:v>SIP</x:v>
      </x:c>
    </x:row>
    <x:row r="1230">
      <x:c r="A1230" s="50" t="str">
        <x:v>019fdd24-8119-7eda-9571-19afe71d2070</x:v>
      </x:c>
      <x:c r="B1230" s="50" t="str">
        <x:v>BAC</x:v>
      </x:c>
      <x:c r="C1230" s="70" t="n">
        <x:v>46241.70352917824</x:v>
      </x:c>
      <x:c r="D1230" s="50" t="str">
        <x:v>SWING_SETUP</x:v>
      </x:c>
      <x:c r="E1230" s="50" t="str">
        <x:v>BAC SWING SETUP</x:v>
      </x:c>
      <x:c r="F1230" s="50" t="str">
        <x:v>WATCH</x:v>
      </x:c>
      <x:c r="G1230" s="50"/>
      <x:c r="H1230" s="50" t="str">
        <x:v>LONG</x:v>
      </x:c>
      <x:c r="I1230" s="71" t="n">
        <x:v>63.005</x:v>
      </x:c>
      <x:c r="J1230" s="76" t="str">
        <x:v>SIP</x:v>
      </x:c>
    </x:row>
    <x:row r="1231">
      <x:c r="A1231" s="50" t="str">
        <x:v>019fdd24-8134-7099-ba70-f0973935076b</x:v>
      </x:c>
      <x:c r="B1231" s="50" t="str">
        <x:v>JPM</x:v>
      </x:c>
      <x:c r="C1231" s="70" t="n">
        <x:v>46241.70352949074</x:v>
      </x:c>
      <x:c r="D1231" s="50" t="str">
        <x:v>SWING_SETUP</x:v>
      </x:c>
      <x:c r="E1231" s="50" t="str">
        <x:v>JPM SWING SETUP</x:v>
      </x:c>
      <x:c r="F1231" s="50" t="str">
        <x:v>WATCH</x:v>
      </x:c>
      <x:c r="G1231" s="50"/>
      <x:c r="H1231" s="50" t="str">
        <x:v>LONG</x:v>
      </x:c>
      <x:c r="I1231" s="71" t="n">
        <x:v>357.68</x:v>
      </x:c>
      <x:c r="J1231" s="76" t="str">
        <x:v>SIP</x:v>
      </x:c>
    </x:row>
    <x:row r="1232">
      <x:c r="A1232" s="50" t="str">
        <x:v>019fdd24-8682-727a-b203-4fae573b5f10</x:v>
      </x:c>
      <x:c r="B1232" s="50" t="str">
        <x:v>HRL</x:v>
      </x:c>
      <x:c r="C1232" s="70" t="n">
        <x:v>46241.70354520834</x:v>
      </x:c>
      <x:c r="D1232" s="50" t="str">
        <x:v>LONG_BUY_ZONE</x:v>
      </x:c>
      <x:c r="E1232" s="50" t="str">
        <x:v>HRL LONG BUY ZONE</x:v>
      </x:c>
      <x:c r="F1232" s="50" t="str">
        <x:v>WATCH</x:v>
      </x:c>
      <x:c r="G1232" s="50"/>
      <x:c r="H1232" s="50" t="str">
        <x:v>LONG</x:v>
      </x:c>
      <x:c r="I1232" s="71" t="n">
        <x:v>25.19</x:v>
      </x:c>
      <x:c r="J1232" s="76" t="str">
        <x:v>SIP</x:v>
      </x:c>
    </x:row>
    <x:row r="1233">
      <x:c r="A1233" s="50" t="str">
        <x:v>019fdd24-8715-7f8e-9a88-67a0076927c7</x:v>
      </x:c>
      <x:c r="B1233" s="50" t="str">
        <x:v>ECL</x:v>
      </x:c>
      <x:c r="C1233" s="70" t="n">
        <x:v>46241.703546909725</x:v>
      </x:c>
      <x:c r="D1233" s="50" t="str">
        <x:v>LONG_BUY_ZONE</x:v>
      </x:c>
      <x:c r="E1233" s="50" t="str">
        <x:v>ECL LONG BUY ZONE</x:v>
      </x:c>
      <x:c r="F1233" s="50" t="str">
        <x:v>WATCH</x:v>
      </x:c>
      <x:c r="G1233" s="50"/>
      <x:c r="H1233" s="50" t="str">
        <x:v>LONG</x:v>
      </x:c>
      <x:c r="I1233" s="71" t="n">
        <x:v>284.55</x:v>
      </x:c>
      <x:c r="J1233" s="76" t="str">
        <x:v>SIP</x:v>
      </x:c>
    </x:row>
    <x:row r="1234">
      <x:c r="A1234" s="50" t="str">
        <x:v>019fdd24-8c37-7a3c-8379-a99678eff04f</x:v>
      </x:c>
      <x:c r="B1234" s="50" t="str">
        <x:v>RCL</x:v>
      </x:c>
      <x:c r="C1234" s="70" t="n">
        <x:v>46241.703562118055</x:v>
      </x:c>
      <x:c r="D1234" s="50" t="str">
        <x:v>LONG_BUY_ZONE</x:v>
      </x:c>
      <x:c r="E1234" s="50" t="str">
        <x:v>RCL LONG BUY ZONE</x:v>
      </x:c>
      <x:c r="F1234" s="50" t="str">
        <x:v>WATCH</x:v>
      </x:c>
      <x:c r="G1234" s="50"/>
      <x:c r="H1234" s="50" t="str">
        <x:v>LONG</x:v>
      </x:c>
      <x:c r="I1234" s="71" t="n">
        <x:v>319.98</x:v>
      </x:c>
      <x:c r="J1234" s="76" t="str">
        <x:v>SIP</x:v>
      </x:c>
    </x:row>
    <x:row r="1235">
      <x:c r="A1235" s="50" t="str">
        <x:v>019fdd25-674c-7db6-a671-b0ae2f3ae91e</x:v>
      </x:c>
      <x:c r="B1235" s="50" t="str">
        <x:v>PM</x:v>
      </x:c>
      <x:c r="C1235" s="70" t="n">
        <x:v>46241.70421125</x:v>
      </x:c>
      <x:c r="D1235" s="50" t="str">
        <x:v>SWING_SETUP</x:v>
      </x:c>
      <x:c r="E1235" s="50" t="str">
        <x:v>PM SWING SETUP</x:v>
      </x:c>
      <x:c r="F1235" s="50" t="str">
        <x:v>WATCH</x:v>
      </x:c>
      <x:c r="G1235" s="50"/>
      <x:c r="H1235" s="50" t="str">
        <x:v>LONG</x:v>
      </x:c>
      <x:c r="I1235" s="71" t="n">
        <x:v>189.44</x:v>
      </x:c>
      <x:c r="J1235" s="76" t="str">
        <x:v>SIP</x:v>
      </x:c>
    </x:row>
    <x:row r="1236">
      <x:c r="A1236" s="50" t="str">
        <x:v>019fdd25-67fc-73c4-b766-77ff8749f1f8</x:v>
      </x:c>
      <x:c r="B1236" s="50" t="str">
        <x:v>MMM</x:v>
      </x:c>
      <x:c r="C1236" s="70" t="n">
        <x:v>46241.704213287034</x:v>
      </x:c>
      <x:c r="D1236" s="50" t="str">
        <x:v>SWING_SETUP</x:v>
      </x:c>
      <x:c r="E1236" s="50" t="str">
        <x:v>MMM SWING SETUP</x:v>
      </x:c>
      <x:c r="F1236" s="50" t="str">
        <x:v>WATCH</x:v>
      </x:c>
      <x:c r="G1236" s="50"/>
      <x:c r="H1236" s="50" t="str">
        <x:v>LONG</x:v>
      </x:c>
      <x:c r="I1236" s="71" t="n">
        <x:v>183</x:v>
      </x:c>
      <x:c r="J1236" s="76" t="str">
        <x:v>SIP</x:v>
      </x:c>
    </x:row>
    <x:row r="1237">
      <x:c r="A1237" s="50" t="str">
        <x:v>019fdd25-6809-707b-97b6-1aba959ff0f5</x:v>
      </x:c>
      <x:c r="B1237" s="50" t="str">
        <x:v>ABT</x:v>
      </x:c>
      <x:c r="C1237" s="70" t="n">
        <x:v>46241.7042134375</x:v>
      </x:c>
      <x:c r="D1237" s="50" t="str">
        <x:v>SWING_SETUP</x:v>
      </x:c>
      <x:c r="E1237" s="50" t="str">
        <x:v>ABT SWING SETUP</x:v>
      </x:c>
      <x:c r="F1237" s="50" t="str">
        <x:v>WATCH</x:v>
      </x:c>
      <x:c r="G1237" s="50"/>
      <x:c r="H1237" s="50" t="str">
        <x:v>LONG</x:v>
      </x:c>
      <x:c r="I1237" s="71" t="n">
        <x:v>107.67</x:v>
      </x:c>
      <x:c r="J1237" s="76" t="str">
        <x:v>SIP</x:v>
      </x:c>
    </x:row>
    <x:row r="1238">
      <x:c r="A1238" s="50" t="str">
        <x:v>019fdd25-69e6-7cbe-903c-49f250c4985a</x:v>
      </x:c>
      <x:c r="B1238" s="50" t="str">
        <x:v>RCL</x:v>
      </x:c>
      <x:c r="C1238" s="70" t="n">
        <x:v>46241.70421895833</x:v>
      </x:c>
      <x:c r="D1238" s="50" t="str">
        <x:v>SWING_SETUP</x:v>
      </x:c>
      <x:c r="E1238" s="50" t="str">
        <x:v>RCL SWING SETUP</x:v>
      </x:c>
      <x:c r="F1238" s="50" t="str">
        <x:v>WATCH</x:v>
      </x:c>
      <x:c r="G1238" s="50"/>
      <x:c r="H1238" s="50" t="str">
        <x:v>LONG</x:v>
      </x:c>
      <x:c r="I1238" s="71" t="n">
        <x:v>320.83</x:v>
      </x:c>
      <x:c r="J1238" s="76" t="str">
        <x:v>SIP</x:v>
      </x:c>
    </x:row>
    <x:row r="1239">
      <x:c r="A1239" s="50" t="str">
        <x:v>019fdd26-5763-72bd-b2d7-5ed1cd623ed9</x:v>
      </x:c>
      <x:c r="B1239" s="50" t="str">
        <x:v>JNJ</x:v>
      </x:c>
      <x:c r="C1239" s="70" t="n">
        <x:v>46241.704922627316</x:v>
      </x:c>
      <x:c r="D1239" s="50" t="str">
        <x:v>LONG_BUY_ZONE</x:v>
      </x:c>
      <x:c r="E1239" s="50" t="str">
        <x:v>JNJ LONG BUY ZONE</x:v>
      </x:c>
      <x:c r="F1239" s="50" t="str">
        <x:v>WATCH</x:v>
      </x:c>
      <x:c r="G1239" s="50"/>
      <x:c r="H1239" s="50" t="str">
        <x:v>LONG</x:v>
      </x:c>
      <x:c r="I1239" s="71" t="n">
        <x:v>256.56</x:v>
      </x:c>
      <x:c r="J1239" s="76" t="str">
        <x:v>SIP</x:v>
      </x:c>
    </x:row>
    <x:row r="1240">
      <x:c r="A1240" s="50" t="str">
        <x:v>019fdd26-5931-7fdf-916a-70d3926e6895</x:v>
      </x:c>
      <x:c r="B1240" s="50" t="str">
        <x:v>GS</x:v>
      </x:c>
      <x:c r="C1240" s="70" t="n">
        <x:v>46241.70492797454</x:v>
      </x:c>
      <x:c r="D1240" s="50" t="str">
        <x:v>LONG_BUY_ZONE</x:v>
      </x:c>
      <x:c r="E1240" s="50" t="str">
        <x:v>GS LONG BUY ZONE</x:v>
      </x:c>
      <x:c r="F1240" s="50" t="str">
        <x:v>WATCH</x:v>
      </x:c>
      <x:c r="G1240" s="50"/>
      <x:c r="H1240" s="50" t="str">
        <x:v>LONG</x:v>
      </x:c>
      <x:c r="I1240" s="71" t="n">
        <x:v>1036.7075</x:v>
      </x:c>
      <x:c r="J1240" s="76" t="str">
        <x:v>SIP</x:v>
      </x:c>
    </x:row>
    <x:row r="1241">
      <x:c r="A1241" s="50" t="str">
        <x:v>019fdd29-1d4b-728e-8cc2-cd13302faf22</x:v>
      </x:c>
      <x:c r="B1241" s="50" t="str">
        <x:v>VZ</x:v>
      </x:c>
      <x:c r="C1241" s="70" t="n">
        <x:v>46241.70702605324</x:v>
      </x:c>
      <x:c r="D1241" s="50" t="str">
        <x:v>LONG_BUY_ZONE</x:v>
      </x:c>
      <x:c r="E1241" s="50" t="str">
        <x:v>VZ LONG BUY ZONE</x:v>
      </x:c>
      <x:c r="F1241" s="50" t="str">
        <x:v>WATCH</x:v>
      </x:c>
      <x:c r="G1241" s="50"/>
      <x:c r="H1241" s="50" t="str">
        <x:v>LONG</x:v>
      </x:c>
      <x:c r="I1241" s="71" t="n">
        <x:v>46.945</x:v>
      </x:c>
      <x:c r="J1241" s="76" t="str">
        <x:v>SIP</x:v>
      </x:c>
    </x:row>
    <x:row r="1242">
      <x:c r="A1242" s="50" t="str">
        <x:v>019fdd2a-e224-76af-bc6c-b83a3198b6e7</x:v>
      </x:c>
      <x:c r="B1242" s="50" t="str">
        <x:v>OXY</x:v>
      </x:c>
      <x:c r="C1242" s="70" t="n">
        <x:v>46241.708367824074</x:v>
      </x:c>
      <x:c r="D1242" s="50" t="str">
        <x:v>LONG_BUY_ZONE</x:v>
      </x:c>
      <x:c r="E1242" s="50" t="str">
        <x:v>OXY LONG BUY ZONE</x:v>
      </x:c>
      <x:c r="F1242" s="50" t="str">
        <x:v>WATCH</x:v>
      </x:c>
      <x:c r="G1242" s="50"/>
      <x:c r="H1242" s="50" t="str">
        <x:v>LONG</x:v>
      </x:c>
      <x:c r="I1242" s="71" t="n">
        <x:v>56.41</x:v>
      </x:c>
      <x:c r="J1242" s="76" t="str">
        <x:v>SIP</x:v>
      </x:c>
    </x:row>
    <x:row r="1243">
      <x:c r="A1243" s="50" t="str">
        <x:v>019fdd2a-e737-7c61-8855-2cf98d3a04ce</x:v>
      </x:c>
      <x:c r="B1243" s="50" t="str">
        <x:v>KDP</x:v>
      </x:c>
      <x:c r="C1243" s="70" t="n">
        <x:v>46241.70838285879</x:v>
      </x:c>
      <x:c r="D1243" s="50" t="str">
        <x:v>LONG_BUY_ZONE</x:v>
      </x:c>
      <x:c r="E1243" s="50" t="str">
        <x:v>KDP LONG BUY ZONE</x:v>
      </x:c>
      <x:c r="F1243" s="50" t="str">
        <x:v>WATCH</x:v>
      </x:c>
      <x:c r="G1243" s="50"/>
      <x:c r="H1243" s="50" t="str">
        <x:v>LONG</x:v>
      </x:c>
      <x:c r="I1243" s="71" t="n">
        <x:v>30.015</x:v>
      </x:c>
      <x:c r="J1243" s="76" t="str">
        <x:v>SIP</x:v>
      </x:c>
    </x:row>
    <x:row r="1244">
      <x:c r="A1244" s="50" t="str">
        <x:v>019fdd2b-cfc7-7ad7-9a2d-4ffb3733eeda</x:v>
      </x:c>
      <x:c r="B1244" s="50" t="str">
        <x:v>UEC</x:v>
      </x:c>
      <x:c r="C1244" s="70" t="n">
        <x:v>46241.70907193287</x:v>
      </x:c>
      <x:c r="D1244" s="50" t="str">
        <x:v>SWING_SETUP</x:v>
      </x:c>
      <x:c r="E1244" s="50" t="str">
        <x:v>UEC SWING SETUP</x:v>
      </x:c>
      <x:c r="F1244" s="50" t="str">
        <x:v>WATCH</x:v>
      </x:c>
      <x:c r="G1244" s="50"/>
      <x:c r="H1244" s="50" t="str">
        <x:v>LONG</x:v>
      </x:c>
      <x:c r="I1244" s="71" t="n">
        <x:v>11.29</x:v>
      </x:c>
      <x:c r="J1244" s="76" t="str">
        <x:v>SIP</x:v>
      </x:c>
    </x:row>
    <x:row r="1245">
      <x:c r="A1245" s="50" t="str">
        <x:v>019fdd2b-d099-75bc-9140-d27270ef3934</x:v>
      </x:c>
      <x:c r="B1245" s="50" t="str">
        <x:v>MA</x:v>
      </x:c>
      <x:c r="C1245" s="70" t="n">
        <x:v>46241.709074363425</x:v>
      </x:c>
      <x:c r="D1245" s="50" t="str">
        <x:v>SWING_SETUP</x:v>
      </x:c>
      <x:c r="E1245" s="50" t="str">
        <x:v>MA SWING SETUP</x:v>
      </x:c>
      <x:c r="F1245" s="50" t="str">
        <x:v>WATCH</x:v>
      </x:c>
      <x:c r="G1245" s="50"/>
      <x:c r="H1245" s="50" t="str">
        <x:v>LONG</x:v>
      </x:c>
      <x:c r="I1245" s="71" t="n">
        <x:v>564.78</x:v>
      </x:c>
      <x:c r="J1245" s="76" t="str">
        <x:v>SIP</x:v>
      </x:c>
    </x:row>
    <x:row r="1246">
      <x:c r="A1246" s="50" t="str">
        <x:v>019fdd2b-d429-70d6-b3d0-53d8bfb5a5d4</x:v>
      </x:c>
      <x:c r="B1246" s="50" t="str">
        <x:v>ABNB</x:v>
      </x:c>
      <x:c r="C1246" s="70" t="n">
        <x:v>46241.709084918984</x:v>
      </x:c>
      <x:c r="D1246" s="50" t="str">
        <x:v>SWING_SETUP</x:v>
      </x:c>
      <x:c r="E1246" s="50" t="str">
        <x:v>ABNB SWING SETUP</x:v>
      </x:c>
      <x:c r="F1246" s="50" t="str">
        <x:v>WATCH</x:v>
      </x:c>
      <x:c r="G1246" s="50"/>
      <x:c r="H1246" s="50" t="str">
        <x:v>LONG</x:v>
      </x:c>
      <x:c r="I1246" s="71" t="n">
        <x:v>174.565</x:v>
      </x:c>
      <x:c r="J1246" s="76" t="str">
        <x:v>SIP</x:v>
      </x:c>
    </x:row>
    <x:row r="1247">
      <x:c r="A1247" s="50" t="str">
        <x:v>019fdd2b-d716-73d3-922c-0372b01f333d</x:v>
      </x:c>
      <x:c r="B1247" s="50" t="str">
        <x:v>AMZN</x:v>
      </x:c>
      <x:c r="C1247" s="70" t="n">
        <x:v>46241.70909358796</x:v>
      </x:c>
      <x:c r="D1247" s="50" t="str">
        <x:v>SWING_SETUP</x:v>
      </x:c>
      <x:c r="E1247" s="50" t="str">
        <x:v>AMZN SWING SETUP</x:v>
      </x:c>
      <x:c r="F1247" s="50" t="str">
        <x:v>WATCH</x:v>
      </x:c>
      <x:c r="G1247" s="50"/>
      <x:c r="H1247" s="50" t="str">
        <x:v>LONG</x:v>
      </x:c>
      <x:c r="I1247" s="71" t="n">
        <x:v>275.9295</x:v>
      </x:c>
      <x:c r="J1247" s="76" t="str">
        <x:v>SIP</x:v>
      </x:c>
    </x:row>
    <x:row r="1248">
      <x:c r="A1248" s="50" t="str">
        <x:v>019fdd2b-d868-7c28-a40c-882f54a6a692</x:v>
      </x:c>
      <x:c r="B1248" s="50" t="str">
        <x:v>MRK</x:v>
      </x:c>
      <x:c r="C1248" s="70" t="n">
        <x:v>46241.7090975</x:v>
      </x:c>
      <x:c r="D1248" s="50" t="str">
        <x:v>SWING_SETUP</x:v>
      </x:c>
      <x:c r="E1248" s="50" t="str">
        <x:v>MRK SWING SETUP</x:v>
      </x:c>
      <x:c r="F1248" s="50" t="str">
        <x:v>WATCH</x:v>
      </x:c>
      <x:c r="G1248" s="50"/>
      <x:c r="H1248" s="50" t="str">
        <x:v>LONG</x:v>
      </x:c>
      <x:c r="I1248" s="71" t="n">
        <x:v>128.17</x:v>
      </x:c>
      <x:c r="J1248" s="76" t="str">
        <x:v>SIP</x:v>
      </x:c>
    </x:row>
    <x:row r="1249">
      <x:c r="A1249" s="50" t="str">
        <x:v>019fdd2c-b3a8-726a-9b19-633b2af453e3</x:v>
      </x:c>
      <x:c r="B1249" s="50" t="str">
        <x:v>MNST</x:v>
      </x:c>
      <x:c r="C1249" s="70" t="n">
        <x:v>46241.70974712963</x:v>
      </x:c>
      <x:c r="D1249" s="50" t="str">
        <x:v>ENTRY_WATCH</x:v>
      </x:c>
      <x:c r="E1249" s="50" t="str">
        <x:v>MNST ENTRY BREAKAWAY WATCH</x:v>
      </x:c>
      <x:c r="F1249" s="50" t="str">
        <x:v>WATCH</x:v>
      </x:c>
      <x:c r="G1249" s="50"/>
      <x:c r="H1249" s="50" t="str">
        <x:v>LONG</x:v>
      </x:c>
      <x:c r="I1249" s="71" t="n">
        <x:v>90.435</x:v>
      </x:c>
      <x:c r="J1249" s="76" t="str">
        <x:v>SIP</x:v>
      </x:c>
    </x:row>
    <x:row r="1250">
      <x:c r="A1250" s="50" t="str">
        <x:v>019fdd2c-b71d-7f52-bfa9-43c065c9a06e</x:v>
      </x:c>
      <x:c r="B1250" s="50" t="str">
        <x:v>XOM</x:v>
      </x:c>
      <x:c r="C1250" s="70" t="n">
        <x:v>46241.709757372686</x:v>
      </x:c>
      <x:c r="D1250" s="50" t="str">
        <x:v>SWING_SETUP</x:v>
      </x:c>
      <x:c r="E1250" s="50" t="str">
        <x:v>XOM SWING SETUP</x:v>
      </x:c>
      <x:c r="F1250" s="50" t="str">
        <x:v>WATCH</x:v>
      </x:c>
      <x:c r="G1250" s="50"/>
      <x:c r="H1250" s="50" t="str">
        <x:v>LONG</x:v>
      </x:c>
      <x:c r="I1250" s="71" t="n">
        <x:v>153.39</x:v>
      </x:c>
      <x:c r="J1250" s="76" t="str">
        <x:v>SIP</x:v>
      </x:c>
    </x:row>
    <x:row r="1251">
      <x:c r="A1251" s="50" t="str">
        <x:v>019fdd2c-b9ee-7055-a032-fea5e7f4f3b5</x:v>
      </x:c>
      <x:c r="B1251" s="50" t="str">
        <x:v>SNOW</x:v>
      </x:c>
      <x:c r="C1251" s="70" t="n">
        <x:v>46241.70976571759</x:v>
      </x:c>
      <x:c r="D1251" s="50" t="str">
        <x:v>SWING_SETUP</x:v>
      </x:c>
      <x:c r="E1251" s="50" t="str">
        <x:v>SNOW SWING SETUP</x:v>
      </x:c>
      <x:c r="F1251" s="50" t="str">
        <x:v>WATCH</x:v>
      </x:c>
      <x:c r="G1251" s="50"/>
      <x:c r="H1251" s="50" t="str">
        <x:v>LONG</x:v>
      </x:c>
      <x:c r="I1251" s="71" t="n">
        <x:v>325.075</x:v>
      </x:c>
      <x:c r="J1251" s="76" t="str">
        <x:v>SIP</x:v>
      </x:c>
    </x:row>
    <x:row r="1252">
      <x:c r="A1252" s="50" t="str">
        <x:v>019fdd2c-bc5a-7b0e-804e-a39658480b0e</x:v>
      </x:c>
      <x:c r="B1252" s="50" t="str">
        <x:v>HRL</x:v>
      </x:c>
      <x:c r="C1252" s="70" t="n">
        <x:v>46241.70977289352</x:v>
      </x:c>
      <x:c r="D1252" s="50" t="str">
        <x:v>SWING_SETUP</x:v>
      </x:c>
      <x:c r="E1252" s="50" t="str">
        <x:v>HRL SWING SETUP</x:v>
      </x:c>
      <x:c r="F1252" s="50" t="str">
        <x:v>WATCH</x:v>
      </x:c>
      <x:c r="G1252" s="50"/>
      <x:c r="H1252" s="50" t="str">
        <x:v>LONG</x:v>
      </x:c>
      <x:c r="I1252" s="71" t="n">
        <x:v>25.21</x:v>
      </x:c>
      <x:c r="J1252" s="76" t="str">
        <x:v>SIP</x:v>
      </x:c>
    </x:row>
    <x:row r="1253">
      <x:c r="A1253" s="50" t="str">
        <x:v>019fdd2d-a436-7f32-885a-c4a646d8fbf3</x:v>
      </x:c>
      <x:c r="B1253" s="50" t="str">
        <x:v>NOC</x:v>
      </x:c>
      <x:c r="C1253" s="70" t="n">
        <x:v>46241.710459884256</x:v>
      </x:c>
      <x:c r="D1253" s="50" t="str">
        <x:v>SWING_SETUP</x:v>
      </x:c>
      <x:c r="E1253" s="50" t="str">
        <x:v>NOC SWING SETUP</x:v>
      </x:c>
      <x:c r="F1253" s="50" t="str">
        <x:v>WATCH</x:v>
      </x:c>
      <x:c r="G1253" s="50"/>
      <x:c r="H1253" s="50" t="str">
        <x:v>LONG</x:v>
      </x:c>
      <x:c r="I1253" s="71" t="n">
        <x:v>568.89</x:v>
      </x:c>
      <x:c r="J1253" s="76" t="str">
        <x:v>SIP</x:v>
      </x:c>
    </x:row>
    <x:row r="1254">
      <x:c r="A1254" s="50" t="str">
        <x:v>019fdd2d-a52c-7f00-a4e6-b36a90bbbc72</x:v>
      </x:c>
      <x:c r="B1254" s="50" t="str">
        <x:v>PSX</x:v>
      </x:c>
      <x:c r="C1254" s="70" t="n">
        <x:v>46241.710462731484</x:v>
      </x:c>
      <x:c r="D1254" s="50" t="str">
        <x:v>SWING_SETUP</x:v>
      </x:c>
      <x:c r="E1254" s="50" t="str">
        <x:v>PSX SWING SETUP</x:v>
      </x:c>
      <x:c r="F1254" s="50" t="str">
        <x:v>WATCH</x:v>
      </x:c>
      <x:c r="G1254" s="50"/>
      <x:c r="H1254" s="50" t="str">
        <x:v>LONG</x:v>
      </x:c>
      <x:c r="I1254" s="71" t="n">
        <x:v>205.645</x:v>
      </x:c>
      <x:c r="J1254" s="76" t="str">
        <x:v>SIP</x:v>
      </x:c>
    </x:row>
    <x:row r="1255">
      <x:c r="A1255" s="50" t="str">
        <x:v>019fdd2e-89b3-77c5-a09e-5ad4e7cf13d1</x:v>
      </x:c>
      <x:c r="B1255" s="50" t="str">
        <x:v>RDW</x:v>
      </x:c>
      <x:c r="C1255" s="70" t="n">
        <x:v>46241.71113984954</x:v>
      </x:c>
      <x:c r="D1255" s="50" t="str">
        <x:v>SWING_SETUP</x:v>
      </x:c>
      <x:c r="E1255" s="50" t="str">
        <x:v>RDW SWING SETUP</x:v>
      </x:c>
      <x:c r="F1255" s="50" t="str">
        <x:v>WATCH</x:v>
      </x:c>
      <x:c r="G1255" s="50"/>
      <x:c r="H1255" s="50" t="str">
        <x:v>LONG</x:v>
      </x:c>
      <x:c r="I1255" s="71" t="n">
        <x:v>13.49</x:v>
      </x:c>
      <x:c r="J1255" s="76" t="str">
        <x:v>SIP</x:v>
      </x:c>
    </x:row>
    <x:row r="1256">
      <x:c r="A1256" s="50" t="str">
        <x:v>019fdd2e-8f10-7f1c-937f-a0f2fcb19433</x:v>
      </x:c>
      <x:c r="B1256" s="50" t="str">
        <x:v>MNST</x:v>
      </x:c>
      <x:c r="C1256" s="70" t="n">
        <x:v>46241.71115574074</x:v>
      </x:c>
      <x:c r="D1256" s="50" t="str">
        <x:v>ENTRY_WATCH</x:v>
      </x:c>
      <x:c r="E1256" s="50" t="str">
        <x:v>MNST ENTRY IN_ZONE EARLY WATCH</x:v>
      </x:c>
      <x:c r="F1256" s="50" t="str">
        <x:v>WATCH</x:v>
      </x:c>
      <x:c r="G1256" s="50"/>
      <x:c r="H1256" s="50" t="str">
        <x:v>LONG</x:v>
      </x:c>
      <x:c r="I1256" s="71" t="n">
        <x:v>90.29</x:v>
      </x:c>
      <x:c r="J1256" s="76" t="str">
        <x:v>SIP</x:v>
      </x:c>
    </x:row>
    <x:row r="1257">
      <x:c r="A1257" s="50" t="str">
        <x:v>019fdd2e-91ce-734e-b43d-cc1a79d3531f</x:v>
      </x:c>
      <x:c r="B1257" s="50" t="str">
        <x:v>NU</x:v>
      </x:c>
      <x:c r="C1257" s="70" t="n">
        <x:v>46241.71116385417</x:v>
      </x:c>
      <x:c r="D1257" s="50" t="str">
        <x:v>ENTRY_WATCH</x:v>
      </x:c>
      <x:c r="E1257" s="50" t="str">
        <x:v>NU ENTRY IN_ZONE EARLY WATCH</x:v>
      </x:c>
      <x:c r="F1257" s="50" t="str">
        <x:v>WATCH</x:v>
      </x:c>
      <x:c r="G1257" s="50"/>
      <x:c r="H1257" s="50" t="str">
        <x:v>LONG</x:v>
      </x:c>
      <x:c r="I1257" s="71" t="n">
        <x:v>13.915</x:v>
      </x:c>
      <x:c r="J1257" s="76" t="str">
        <x:v>SIP</x:v>
      </x:c>
    </x:row>
    <x:row r="1258">
      <x:c r="A1258" s="50" t="str">
        <x:v>019fdd2e-9208-737d-bae2-14826260ef88</x:v>
      </x:c>
      <x:c r="B1258" s="50" t="str">
        <x:v>SMR</x:v>
      </x:c>
      <x:c r="C1258" s="70" t="n">
        <x:v>46241.71116453704</x:v>
      </x:c>
      <x:c r="D1258" s="50" t="str">
        <x:v>SWING_SETUP</x:v>
      </x:c>
      <x:c r="E1258" s="50" t="str">
        <x:v>SMR SWING SETUP</x:v>
      </x:c>
      <x:c r="F1258" s="50" t="str">
        <x:v>WATCH</x:v>
      </x:c>
      <x:c r="G1258" s="50"/>
      <x:c r="H1258" s="50" t="str">
        <x:v>LONG</x:v>
      </x:c>
      <x:c r="I1258" s="71" t="n">
        <x:v>9.975</x:v>
      </x:c>
      <x:c r="J1258" s="76" t="str">
        <x:v>SIP</x:v>
      </x:c>
    </x:row>
    <x:row r="1259">
      <x:c r="A1259" s="50" t="str">
        <x:v>019fdd2e-92e1-78dc-90f5-ed583a326387</x:v>
      </x:c>
      <x:c r="B1259" s="50" t="str">
        <x:v>DASH</x:v>
      </x:c>
      <x:c r="C1259" s="70" t="n">
        <x:v>46241.71116704861</x:v>
      </x:c>
      <x:c r="D1259" s="50" t="str">
        <x:v>ENTRY_CONFIRMED</x:v>
      </x:c>
      <x:c r="E1259" s="50" t="str">
        <x:v>DASH ENTRY CONFIRMED</x:v>
      </x:c>
      <x:c r="F1259" s="50" t="str">
        <x:v>ACTION</x:v>
      </x:c>
      <x:c r="G1259" s="50" t="str">
        <x:v>L2_SWING_CONFIRMED</x:v>
      </x:c>
      <x:c r="H1259" s="50" t="str">
        <x:v>LONG</x:v>
      </x:c>
      <x:c r="I1259" s="71" t="n">
        <x:v>221.35</x:v>
      </x:c>
      <x:c r="J1259" s="76" t="str">
        <x:v>SIP</x:v>
      </x:c>
    </x:row>
    <x:row r="1260">
      <x:c r="A1260" s="50" t="str">
        <x:v>019fdd2e-95a9-75d2-b5de-dd230d19c615</x:v>
      </x:c>
      <x:c r="B1260" s="50" t="str">
        <x:v>APH</x:v>
      </x:c>
      <x:c r="C1260" s="70" t="n">
        <x:v>46241.711175289354</x:v>
      </x:c>
      <x:c r="D1260" s="50" t="str">
        <x:v>LONG_BUY_ZONE</x:v>
      </x:c>
      <x:c r="E1260" s="50" t="str">
        <x:v>APH LONG BUY ZONE</x:v>
      </x:c>
      <x:c r="F1260" s="50" t="str">
        <x:v>WATCH</x:v>
      </x:c>
      <x:c r="G1260" s="50"/>
      <x:c r="H1260" s="50" t="str">
        <x:v>LONG</x:v>
      </x:c>
      <x:c r="I1260" s="71" t="n">
        <x:v>167.525</x:v>
      </x:c>
      <x:c r="J1260" s="76" t="str">
        <x:v>SIP</x:v>
      </x:c>
    </x:row>
    <x:row r="1261">
      <x:c r="A1261" s="50" t="str">
        <x:v>019fdd2f-77cc-7793-8c3d-d1275e3350b1</x:v>
      </x:c>
      <x:c r="B1261" s="50" t="str">
        <x:v>INTU</x:v>
      </x:c>
      <x:c r="C1261" s="70" t="n">
        <x:v>46241.7118453125</x:v>
      </x:c>
      <x:c r="D1261" s="50" t="str">
        <x:v>SWING_SETUP</x:v>
      </x:c>
      <x:c r="E1261" s="50" t="str">
        <x:v>INTU SWING SETUP</x:v>
      </x:c>
      <x:c r="F1261" s="50" t="str">
        <x:v>WATCH</x:v>
      </x:c>
      <x:c r="G1261" s="50"/>
      <x:c r="H1261" s="50" t="str">
        <x:v>LONG</x:v>
      </x:c>
      <x:c r="I1261" s="71" t="n">
        <x:v>328.6</x:v>
      </x:c>
      <x:c r="J1261" s="76" t="str">
        <x:v>SIP</x:v>
      </x:c>
    </x:row>
    <x:row r="1262">
      <x:c r="A1262" s="50" t="str">
        <x:v>019fdd2f-7fb2-7b2c-a425-f52414f70dee</x:v>
      </x:c>
      <x:c r="B1262" s="50" t="str">
        <x:v>MNST</x:v>
      </x:c>
      <x:c r="C1262" s="70" t="n">
        <x:v>46241.711868715276</x:v>
      </x:c>
      <x:c r="D1262" s="50" t="str">
        <x:v>ENTRY_WATCH</x:v>
      </x:c>
      <x:c r="E1262" s="50" t="str">
        <x:v>MNST ENTRY BREAKAWAY WATCH</x:v>
      </x:c>
      <x:c r="F1262" s="50" t="str">
        <x:v>WATCH</x:v>
      </x:c>
      <x:c r="G1262" s="50"/>
      <x:c r="H1262" s="50" t="str">
        <x:v>LONG</x:v>
      </x:c>
      <x:c r="I1262" s="71" t="n">
        <x:v>90.37</x:v>
      </x:c>
      <x:c r="J1262" s="76" t="str">
        <x:v>SIP</x:v>
      </x:c>
    </x:row>
    <x:row r="1263">
      <x:c r="A1263" s="50" t="str">
        <x:v>019fdd30-625e-7064-bcb8-2cdbd92d4415</x:v>
      </x:c>
      <x:c r="B1263" s="50" t="str">
        <x:v>LMT</x:v>
      </x:c>
      <x:c r="C1263" s="70" t="n">
        <x:v>46241.712540347224</x:v>
      </x:c>
      <x:c r="D1263" s="50" t="str">
        <x:v>SWING_SETUP</x:v>
      </x:c>
      <x:c r="E1263" s="50" t="str">
        <x:v>LMT SWING SETUP</x:v>
      </x:c>
      <x:c r="F1263" s="50" t="str">
        <x:v>WATCH</x:v>
      </x:c>
      <x:c r="G1263" s="50"/>
      <x:c r="H1263" s="50" t="str">
        <x:v>LONG</x:v>
      </x:c>
      <x:c r="I1263" s="71" t="n">
        <x:v>584.11</x:v>
      </x:c>
      <x:c r="J1263" s="76" t="str">
        <x:v>SIP</x:v>
      </x:c>
    </x:row>
    <x:row r="1264">
      <x:c r="A1264" s="50" t="str">
        <x:v>019fdd30-62c4-79cc-ad75-67a018a876b7</x:v>
      </x:c>
      <x:c r="B1264" s="50" t="str">
        <x:v>APA</x:v>
      </x:c>
      <x:c r="C1264" s="70" t="n">
        <x:v>46241.71254152778</x:v>
      </x:c>
      <x:c r="D1264" s="50" t="str">
        <x:v>SWING_SETUP</x:v>
      </x:c>
      <x:c r="E1264" s="50" t="str">
        <x:v>APA SWING SETUP</x:v>
      </x:c>
      <x:c r="F1264" s="50" t="str">
        <x:v>WATCH</x:v>
      </x:c>
      <x:c r="G1264" s="50"/>
      <x:c r="H1264" s="50" t="str">
        <x:v>LONG</x:v>
      </x:c>
      <x:c r="I1264" s="71" t="n">
        <x:v>37.855</x:v>
      </x:c>
      <x:c r="J1264" s="76" t="str">
        <x:v>SIP</x:v>
      </x:c>
    </x:row>
    <x:row r="1265">
      <x:c r="A1265" s="50" t="str">
        <x:v>019fdd30-62cf-7051-827a-623a2f121562</x:v>
      </x:c>
      <x:c r="B1265" s="50" t="str">
        <x:v>WELL</x:v>
      </x:c>
      <x:c r="C1265" s="70" t="n">
        <x:v>46241.71254165509</x:v>
      </x:c>
      <x:c r="D1265" s="50" t="str">
        <x:v>SWING_SETUP</x:v>
      </x:c>
      <x:c r="E1265" s="50" t="str">
        <x:v>WELL SWING SETUP</x:v>
      </x:c>
      <x:c r="F1265" s="50" t="str">
        <x:v>WATCH</x:v>
      </x:c>
      <x:c r="G1265" s="50"/>
      <x:c r="H1265" s="50" t="str">
        <x:v>LONG</x:v>
      </x:c>
      <x:c r="I1265" s="71" t="n">
        <x:v>236.46</x:v>
      </x:c>
      <x:c r="J1265" s="76" t="str">
        <x:v>SIP</x:v>
      </x:c>
    </x:row>
    <x:row r="1266">
      <x:c r="A1266" s="50" t="str">
        <x:v>019fdd30-62e1-7a4a-94e6-ddea2a6b36d3</x:v>
      </x:c>
      <x:c r="B1266" s="50" t="str">
        <x:v>DASH</x:v>
      </x:c>
      <x:c r="C1266" s="70" t="n">
        <x:v>46241.712541863424</x:v>
      </x:c>
      <x:c r="D1266" s="50" t="str">
        <x:v>SWING_SETUP</x:v>
      </x:c>
      <x:c r="E1266" s="50" t="str">
        <x:v>DASH SWING SETUP</x:v>
      </x:c>
      <x:c r="F1266" s="50" t="str">
        <x:v>WATCH</x:v>
      </x:c>
      <x:c r="G1266" s="50"/>
      <x:c r="H1266" s="50" t="str">
        <x:v>LONG</x:v>
      </x:c>
      <x:c r="I1266" s="71" t="n">
        <x:v>220.63</x:v>
      </x:c>
      <x:c r="J1266" s="76" t="str">
        <x:v>SIP</x:v>
      </x:c>
    </x:row>
    <x:row r="1267">
      <x:c r="A1267" s="50" t="str">
        <x:v>019fdd30-6321-7909-8044-68466c433c46</x:v>
      </x:c>
      <x:c r="B1267" s="50" t="str">
        <x:v>DLR</x:v>
      </x:c>
      <x:c r="C1267" s="70" t="n">
        <x:v>46241.71254260417</x:v>
      </x:c>
      <x:c r="D1267" s="50" t="str">
        <x:v>SWING_SETUP</x:v>
      </x:c>
      <x:c r="E1267" s="50" t="str">
        <x:v>DLR SWING SETUP</x:v>
      </x:c>
      <x:c r="F1267" s="50" t="str">
        <x:v>WATCH</x:v>
      </x:c>
      <x:c r="G1267" s="50"/>
      <x:c r="H1267" s="50" t="str">
        <x:v>LONG</x:v>
      </x:c>
      <x:c r="I1267" s="71" t="n">
        <x:v>195.215</x:v>
      </x:c>
      <x:c r="J1267" s="76" t="str">
        <x:v>SIP</x:v>
      </x:c>
    </x:row>
    <x:row r="1268">
      <x:c r="A1268" s="50" t="str">
        <x:v>019fdd30-6451-78ea-9e9c-c79defe78f82</x:v>
      </x:c>
      <x:c r="B1268" s="50" t="str">
        <x:v>ANET</x:v>
      </x:c>
      <x:c r="C1268" s="70" t="n">
        <x:v>46241.71254612268</x:v>
      </x:c>
      <x:c r="D1268" s="50" t="str">
        <x:v>SWING_SETUP</x:v>
      </x:c>
      <x:c r="E1268" s="50" t="str">
        <x:v>ANET SWING SETUP</x:v>
      </x:c>
      <x:c r="F1268" s="50" t="str">
        <x:v>WATCH</x:v>
      </x:c>
      <x:c r="G1268" s="50"/>
      <x:c r="H1268" s="50" t="str">
        <x:v>LONG</x:v>
      </x:c>
      <x:c r="I1268" s="71" t="n">
        <x:v>191.46</x:v>
      </x:c>
      <x:c r="J1268" s="76" t="str">
        <x:v>SIP</x:v>
      </x:c>
    </x:row>
    <x:row r="1269">
      <x:c r="A1269" s="50" t="str">
        <x:v>019fdd30-6515-7e9e-a902-6f204464b629</x:v>
      </x:c>
      <x:c r="B1269" s="50" t="str">
        <x:v>MDLZ</x:v>
      </x:c>
      <x:c r="C1269" s="70" t="n">
        <x:v>46241.7125483912</x:v>
      </x:c>
      <x:c r="D1269" s="50" t="str">
        <x:v>SWING_SETUP</x:v>
      </x:c>
      <x:c r="E1269" s="50" t="str">
        <x:v>MDLZ SWING SETUP</x:v>
      </x:c>
      <x:c r="F1269" s="50" t="str">
        <x:v>WATCH</x:v>
      </x:c>
      <x:c r="G1269" s="50"/>
      <x:c r="H1269" s="50" t="str">
        <x:v>LONG</x:v>
      </x:c>
      <x:c r="I1269" s="71" t="n">
        <x:v>62.875</x:v>
      </x:c>
      <x:c r="J1269" s="76" t="str">
        <x:v>SIP</x:v>
      </x:c>
    </x:row>
    <x:row r="1270">
      <x:c r="A1270" s="50" t="str">
        <x:v>019fdd30-6524-7a60-878f-e7c5da7fe3db</x:v>
      </x:c>
      <x:c r="B1270" s="50" t="str">
        <x:v>VZ</x:v>
      </x:c>
      <x:c r="C1270" s="70" t="n">
        <x:v>46241.712548564814</x:v>
      </x:c>
      <x:c r="D1270" s="50" t="str">
        <x:v>SWING_SETUP</x:v>
      </x:c>
      <x:c r="E1270" s="50" t="str">
        <x:v>VZ SWING SETUP</x:v>
      </x:c>
      <x:c r="F1270" s="50" t="str">
        <x:v>WATCH</x:v>
      </x:c>
      <x:c r="G1270" s="50"/>
      <x:c r="H1270" s="50" t="str">
        <x:v>LONG</x:v>
      </x:c>
      <x:c r="I1270" s="71" t="n">
        <x:v>46.975</x:v>
      </x:c>
      <x:c r="J1270" s="76" t="str">
        <x:v>SIP</x:v>
      </x:c>
    </x:row>
    <x:row r="1271">
      <x:c r="A1271" s="50" t="str">
        <x:v>019fdd30-6539-786b-9690-13769fca38ef</x:v>
      </x:c>
      <x:c r="B1271" s="50" t="str">
        <x:v>UNP</x:v>
      </x:c>
      <x:c r="C1271" s="70" t="n">
        <x:v>46241.71254880787</x:v>
      </x:c>
      <x:c r="D1271" s="50" t="str">
        <x:v>SWING_SETUP</x:v>
      </x:c>
      <x:c r="E1271" s="50" t="str">
        <x:v>UNP SWING SETUP</x:v>
      </x:c>
      <x:c r="F1271" s="50" t="str">
        <x:v>WATCH</x:v>
      </x:c>
      <x:c r="G1271" s="50"/>
      <x:c r="H1271" s="50" t="str">
        <x:v>LONG</x:v>
      </x:c>
      <x:c r="I1271" s="71" t="n">
        <x:v>296.44</x:v>
      </x:c>
      <x:c r="J1271" s="76" t="str">
        <x:v>SIP</x:v>
      </x:c>
    </x:row>
    <x:row r="1272">
      <x:c r="A1272" s="50" t="str">
        <x:v>019fdd30-6549-7501-9a46-24db442dc8cd</x:v>
      </x:c>
      <x:c r="B1272" s="50" t="str">
        <x:v>OXY</x:v>
      </x:c>
      <x:c r="C1272" s="70" t="n">
        <x:v>46241.712548993055</x:v>
      </x:c>
      <x:c r="D1272" s="50" t="str">
        <x:v>SWING_SETUP</x:v>
      </x:c>
      <x:c r="E1272" s="50" t="str">
        <x:v>OXY SWING SETUP</x:v>
      </x:c>
      <x:c r="F1272" s="50" t="str">
        <x:v>WATCH</x:v>
      </x:c>
      <x:c r="G1272" s="50"/>
      <x:c r="H1272" s="50" t="str">
        <x:v>LONG</x:v>
      </x:c>
      <x:c r="I1272" s="71" t="n">
        <x:v>56.41</x:v>
      </x:c>
      <x:c r="J1272" s="76" t="str">
        <x:v>SIP</x:v>
      </x:c>
    </x:row>
    <x:row r="1273">
      <x:c r="A1273" s="50" t="str">
        <x:v>019fdd30-656d-7da9-83a4-92150cd36c41</x:v>
      </x:c>
      <x:c r="B1273" s="50" t="str">
        <x:v>COP</x:v>
      </x:c>
      <x:c r="C1273" s="70" t="n">
        <x:v>46241.71254939815</x:v>
      </x:c>
      <x:c r="D1273" s="50" t="str">
        <x:v>SWING_SETUP</x:v>
      </x:c>
      <x:c r="E1273" s="50" t="str">
        <x:v>COP SWING SETUP</x:v>
      </x:c>
      <x:c r="F1273" s="50" t="str">
        <x:v>WATCH</x:v>
      </x:c>
      <x:c r="G1273" s="50"/>
      <x:c r="H1273" s="50" t="str">
        <x:v>LONG</x:v>
      </x:c>
      <x:c r="I1273" s="71" t="n">
        <x:v>118.22</x:v>
      </x:c>
      <x:c r="J1273" s="76" t="str">
        <x:v>SIP</x:v>
      </x:c>
    </x:row>
    <x:row r="1274">
      <x:c r="A1274" s="50" t="str">
        <x:v>019fdd30-6599-70d9-bb89-901e50c109d2</x:v>
      </x:c>
      <x:c r="B1274" s="50" t="str">
        <x:v>SBUX</x:v>
      </x:c>
      <x:c r="C1274" s="70" t="n">
        <x:v>46241.71254991898</x:v>
      </x:c>
      <x:c r="D1274" s="50" t="str">
        <x:v>SWING_SETUP</x:v>
      </x:c>
      <x:c r="E1274" s="50" t="str">
        <x:v>SBUX SWING SETUP</x:v>
      </x:c>
      <x:c r="F1274" s="50" t="str">
        <x:v>WATCH</x:v>
      </x:c>
      <x:c r="G1274" s="50"/>
      <x:c r="H1274" s="50" t="str">
        <x:v>LONG</x:v>
      </x:c>
      <x:c r="I1274" s="71" t="n">
        <x:v>106.565</x:v>
      </x:c>
      <x:c r="J1274" s="76" t="str">
        <x:v>SIP</x:v>
      </x:c>
    </x:row>
    <x:row r="1275">
      <x:c r="A1275" s="50" t="str">
        <x:v>019fdd30-69c9-7322-9c6f-380641aea43a</x:v>
      </x:c>
      <x:c r="B1275" s="50" t="str">
        <x:v>MNST</x:v>
      </x:c>
      <x:c r="C1275" s="70" t="n">
        <x:v>46241.712562326386</x:v>
      </x:c>
      <x:c r="D1275" s="50" t="str">
        <x:v>ENTRY_WATCH</x:v>
      </x:c>
      <x:c r="E1275" s="50" t="str">
        <x:v>MNST ENTRY IN_ZONE EARLY WATCH</x:v>
      </x:c>
      <x:c r="F1275" s="50" t="str">
        <x:v>WATCH</x:v>
      </x:c>
      <x:c r="G1275" s="50"/>
      <x:c r="H1275" s="50" t="str">
        <x:v>LONG</x:v>
      </x:c>
      <x:c r="I1275" s="71" t="n">
        <x:v>90.205</x:v>
      </x:c>
      <x:c r="J1275" s="76" t="str">
        <x:v>SIP</x:v>
      </x:c>
    </x:row>
    <x:row r="1276">
      <x:c r="A1276" s="50" t="str">
        <x:v>019fdd30-6c81-743f-86d3-542952ff534a</x:v>
      </x:c>
      <x:c r="B1276" s="50" t="str">
        <x:v>MRK</x:v>
      </x:c>
      <x:c r="C1276" s="70" t="n">
        <x:v>46241.71257038195</x:v>
      </x:c>
      <x:c r="D1276" s="50" t="str">
        <x:v>LONG_BUY_ZONE</x:v>
      </x:c>
      <x:c r="E1276" s="50" t="str">
        <x:v>MRK LONG BUY ZONE</x:v>
      </x:c>
      <x:c r="F1276" s="50" t="str">
        <x:v>WATCH</x:v>
      </x:c>
      <x:c r="G1276" s="50"/>
      <x:c r="H1276" s="50" t="str">
        <x:v>LONG</x:v>
      </x:c>
      <x:c r="I1276" s="71" t="n">
        <x:v>128.24</x:v>
      </x:c>
      <x:c r="J1276" s="76" t="str">
        <x:v>SIP</x:v>
      </x:c>
    </x:row>
    <x:row r="1277">
      <x:c r="A1277" s="50" t="str">
        <x:v>019fdd31-487c-7b3e-8f34-a3843df1e1d9</x:v>
      </x:c>
      <x:c r="B1277" s="50" t="str">
        <x:v>SBUX</x:v>
      </x:c>
      <x:c r="C1277" s="70" t="n">
        <x:v>46241.713222175924</x:v>
      </x:c>
      <x:c r="D1277" s="50" t="str">
        <x:v>LONG_BUY_ZONE</x:v>
      </x:c>
      <x:c r="E1277" s="50" t="str">
        <x:v>SBUX LONG BUY ZONE</x:v>
      </x:c>
      <x:c r="F1277" s="50" t="str">
        <x:v>WATCH</x:v>
      </x:c>
      <x:c r="G1277" s="50"/>
      <x:c r="H1277" s="50" t="str">
        <x:v>LONG</x:v>
      </x:c>
      <x:c r="I1277" s="71" t="n">
        <x:v>106.48</x:v>
      </x:c>
      <x:c r="J1277" s="76" t="str">
        <x:v>SIP</x:v>
      </x:c>
    </x:row>
    <x:row r="1278">
      <x:c r="A1278" s="50" t="str">
        <x:v>019fdd31-4f5f-752d-b0cb-ac766f7f4850</x:v>
      </x:c>
      <x:c r="B1278" s="50" t="str">
        <x:v>BMY</x:v>
      </x:c>
      <x:c r="C1278" s="70" t="n">
        <x:v>46241.71324258102</x:v>
      </x:c>
      <x:c r="D1278" s="50" t="str">
        <x:v>SWING_SETUP</x:v>
      </x:c>
      <x:c r="E1278" s="50" t="str">
        <x:v>BMY SWING SETUP</x:v>
      </x:c>
      <x:c r="F1278" s="50" t="str">
        <x:v>WATCH</x:v>
      </x:c>
      <x:c r="G1278" s="50"/>
      <x:c r="H1278" s="50" t="str">
        <x:v>LONG</x:v>
      </x:c>
      <x:c r="I1278" s="71" t="n">
        <x:v>64.225</x:v>
      </x:c>
      <x:c r="J1278" s="76" t="str">
        <x:v>SIP</x:v>
      </x:c>
    </x:row>
    <x:row r="1279">
      <x:c r="A1279" s="50" t="str">
        <x:v>019fdd31-5084-7aca-a2ba-39eb18b570ce</x:v>
      </x:c>
      <x:c r="B1279" s="50" t="str">
        <x:v>SCHW</x:v>
      </x:c>
      <x:c r="C1279" s="70" t="n">
        <x:v>46241.71324597222</x:v>
      </x:c>
      <x:c r="D1279" s="50" t="str">
        <x:v>SWING_SETUP</x:v>
      </x:c>
      <x:c r="E1279" s="50" t="str">
        <x:v>SCHW SWING SETUP</x:v>
      </x:c>
      <x:c r="F1279" s="50" t="str">
        <x:v>WATCH</x:v>
      </x:c>
      <x:c r="G1279" s="50"/>
      <x:c r="H1279" s="50" t="str">
        <x:v>LONG</x:v>
      </x:c>
      <x:c r="I1279" s="71" t="n">
        <x:v>106.78</x:v>
      </x:c>
      <x:c r="J1279" s="76" t="str">
        <x:v>SIP</x:v>
      </x:c>
    </x:row>
    <x:row r="1280">
      <x:c r="A1280" s="50" t="str">
        <x:v>019fdd31-509f-7405-bb7c-fbf170bfda83</x:v>
      </x:c>
      <x:c r="B1280" s="50" t="str">
        <x:v>PLTR</x:v>
      </x:c>
      <x:c r="C1280" s="70" t="n">
        <x:v>46241.71324628472</x:v>
      </x:c>
      <x:c r="D1280" s="50" t="str">
        <x:v>SWING_SETUP</x:v>
      </x:c>
      <x:c r="E1280" s="50" t="str">
        <x:v>PLTR SWING SETUP</x:v>
      </x:c>
      <x:c r="F1280" s="50" t="str">
        <x:v>WATCH</x:v>
      </x:c>
      <x:c r="G1280" s="50"/>
      <x:c r="H1280" s="50" t="str">
        <x:v>LONG</x:v>
      </x:c>
      <x:c r="I1280" s="71" t="n">
        <x:v>170.42</x:v>
      </x:c>
      <x:c r="J1280" s="76" t="str">
        <x:v>SIP</x:v>
      </x:c>
    </x:row>
    <x:row r="1281">
      <x:c r="A1281" s="50" t="str">
        <x:v>019fdd31-5559-79b0-aa6c-a395adbabb0d</x:v>
      </x:c>
      <x:c r="B1281" s="50" t="str">
        <x:v>ABBV</x:v>
      </x:c>
      <x:c r="C1281" s="70" t="n">
        <x:v>46241.713260289354</x:v>
      </x:c>
      <x:c r="D1281" s="50" t="str">
        <x:v>LONG_BUY_ZONE</x:v>
      </x:c>
      <x:c r="E1281" s="50" t="str">
        <x:v>ABBV LONG BUY ZONE</x:v>
      </x:c>
      <x:c r="F1281" s="50" t="str">
        <x:v>WATCH</x:v>
      </x:c>
      <x:c r="G1281" s="50"/>
      <x:c r="H1281" s="50" t="str">
        <x:v>LONG</x:v>
      </x:c>
      <x:c r="I1281" s="71" t="n">
        <x:v>244.93</x:v>
      </x:c>
      <x:c r="J1281" s="76" t="str">
        <x:v>SIP</x:v>
      </x:c>
    </x:row>
    <x:row r="1282">
      <x:c r="A1282" s="50" t="str">
        <x:v>019fdd32-35b6-7143-9975-c64d7233fdc8</x:v>
      </x:c>
      <x:c r="B1282" s="50" t="str">
        <x:v>ETHA</x:v>
      </x:c>
      <x:c r="C1282" s="70" t="n">
        <x:v>46241.713925069445</x:v>
      </x:c>
      <x:c r="D1282" s="50" t="str">
        <x:v>SWING_SETUP</x:v>
      </x:c>
      <x:c r="E1282" s="50" t="str">
        <x:v>ETHA SWING SETUP</x:v>
      </x:c>
      <x:c r="F1282" s="50" t="str">
        <x:v>WATCH</x:v>
      </x:c>
      <x:c r="G1282" s="50"/>
      <x:c r="H1282" s="50" t="str">
        <x:v>LONG</x:v>
      </x:c>
      <x:c r="I1282" s="71" t="n">
        <x:v>14.4</x:v>
      </x:c>
      <x:c r="J1282" s="76" t="str">
        <x:v>SIP</x:v>
      </x:c>
    </x:row>
    <x:row r="1283">
      <x:c r="A1283" s="50" t="str">
        <x:v>019fdd32-35ce-7edb-913c-4e7b6ba48d92</x:v>
      </x:c>
      <x:c r="B1283" s="50" t="str">
        <x:v>TMDX</x:v>
      </x:c>
      <x:c r="C1283" s="70" t="n">
        <x:v>46241.71392534722</x:v>
      </x:c>
      <x:c r="D1283" s="50" t="str">
        <x:v>SWING_SETUP</x:v>
      </x:c>
      <x:c r="E1283" s="50" t="str">
        <x:v>TMDX SWING SETUP</x:v>
      </x:c>
      <x:c r="F1283" s="50" t="str">
        <x:v>WATCH</x:v>
      </x:c>
      <x:c r="G1283" s="50"/>
      <x:c r="H1283" s="50" t="str">
        <x:v>LONG</x:v>
      </x:c>
      <x:c r="I1283" s="71" t="n">
        <x:v>80.285</x:v>
      </x:c>
      <x:c r="J1283" s="76" t="str">
        <x:v>SIP</x:v>
      </x:c>
    </x:row>
    <x:row r="1284">
      <x:c r="A1284" s="50" t="str">
        <x:v>019fdd32-3673-7fd7-941d-a31ec501d896</x:v>
      </x:c>
      <x:c r="B1284" s="50" t="str">
        <x:v>BKNG</x:v>
      </x:c>
      <x:c r="C1284" s="70" t="n">
        <x:v>46241.71392725695</x:v>
      </x:c>
      <x:c r="D1284" s="50" t="str">
        <x:v>SWING_SETUP</x:v>
      </x:c>
      <x:c r="E1284" s="50" t="str">
        <x:v>BKNG SWING SETUP</x:v>
      </x:c>
      <x:c r="F1284" s="50" t="str">
        <x:v>WATCH</x:v>
      </x:c>
      <x:c r="G1284" s="50"/>
      <x:c r="H1284" s="50" t="str">
        <x:v>LONG</x:v>
      </x:c>
      <x:c r="I1284" s="71" t="n">
        <x:v>213.07</x:v>
      </x:c>
      <x:c r="J1284" s="76" t="str">
        <x:v>SIP</x:v>
      </x:c>
    </x:row>
    <x:row r="1285">
      <x:c r="A1285" s="50" t="str">
        <x:v>019fdd32-3701-7271-9976-1bf32985d9c8</x:v>
      </x:c>
      <x:c r="B1285" s="50" t="str">
        <x:v>KO</x:v>
      </x:c>
      <x:c r="C1285" s="70" t="n">
        <x:v>46241.71392890046</x:v>
      </x:c>
      <x:c r="D1285" s="50" t="str">
        <x:v>SWING_SETUP</x:v>
      </x:c>
      <x:c r="E1285" s="50" t="str">
        <x:v>KO SWING SETUP</x:v>
      </x:c>
      <x:c r="F1285" s="50" t="str">
        <x:v>WATCH</x:v>
      </x:c>
      <x:c r="G1285" s="50"/>
      <x:c r="H1285" s="50" t="str">
        <x:v>LONG</x:v>
      </x:c>
      <x:c r="I1285" s="71" t="n">
        <x:v>86.975</x:v>
      </x:c>
      <x:c r="J1285" s="76" t="str">
        <x:v>SIP</x:v>
      </x:c>
    </x:row>
    <x:row r="1286">
      <x:c r="A1286" s="50" t="str">
        <x:v>019fdd32-374e-720d-8db5-c790ff10f3f9</x:v>
      </x:c>
      <x:c r="B1286" s="50" t="str">
        <x:v>CEG</x:v>
      </x:c>
      <x:c r="C1286" s="70" t="n">
        <x:v>46241.713929791666</x:v>
      </x:c>
      <x:c r="D1286" s="50" t="str">
        <x:v>SWING_SETUP</x:v>
      </x:c>
      <x:c r="E1286" s="50" t="str">
        <x:v>CEG SWING SETUP</x:v>
      </x:c>
      <x:c r="F1286" s="50" t="str">
        <x:v>WATCH</x:v>
      </x:c>
      <x:c r="G1286" s="50"/>
      <x:c r="H1286" s="50" t="str">
        <x:v>LONG</x:v>
      </x:c>
      <x:c r="I1286" s="71" t="n">
        <x:v>267.76</x:v>
      </x:c>
      <x:c r="J1286" s="76" t="str">
        <x:v>SIP</x:v>
      </x:c>
    </x:row>
    <x:row r="1287">
      <x:c r="A1287" s="50" t="str">
        <x:v>019fdd32-37f3-785b-a3f1-ea74d03ed930</x:v>
      </x:c>
      <x:c r="B1287" s="50" t="str">
        <x:v>SHW</x:v>
      </x:c>
      <x:c r="C1287" s="70" t="n">
        <x:v>46241.713931701386</x:v>
      </x:c>
      <x:c r="D1287" s="50" t="str">
        <x:v>SWING_SETUP</x:v>
      </x:c>
      <x:c r="E1287" s="50" t="str">
        <x:v>SHW SWING SETUP</x:v>
      </x:c>
      <x:c r="F1287" s="50" t="str">
        <x:v>WATCH</x:v>
      </x:c>
      <x:c r="G1287" s="50"/>
      <x:c r="H1287" s="50" t="str">
        <x:v>LONG</x:v>
      </x:c>
      <x:c r="I1287" s="71" t="n">
        <x:v>368.26</x:v>
      </x:c>
      <x:c r="J1287" s="76" t="str">
        <x:v>SIP</x:v>
      </x:c>
    </x:row>
    <x:row r="1288">
      <x:c r="A1288" s="50" t="str">
        <x:v>019fdd32-3b62-74f1-a0ea-7d59cdf8a1c7</x:v>
      </x:c>
      <x:c r="B1288" s="50" t="str">
        <x:v>BLK</x:v>
      </x:c>
      <x:c r="C1288" s="70" t="n">
        <x:v>46241.713941875</x:v>
      </x:c>
      <x:c r="D1288" s="50" t="str">
        <x:v>SWING_SETUP</x:v>
      </x:c>
      <x:c r="E1288" s="50" t="str">
        <x:v>BLK SWING SETUP</x:v>
      </x:c>
      <x:c r="F1288" s="50" t="str">
        <x:v>WATCH</x:v>
      </x:c>
      <x:c r="G1288" s="50"/>
      <x:c r="H1288" s="50" t="str">
        <x:v>LONG</x:v>
      </x:c>
      <x:c r="I1288" s="71" t="n">
        <x:v>1133.18</x:v>
      </x:c>
      <x:c r="J1288" s="76" t="str">
        <x:v>SIP</x:v>
      </x:c>
    </x:row>
    <x:row r="1289">
      <x:c r="A1289" s="50" t="str">
        <x:v>019fdd32-414d-7d30-ba84-63c08721555c</x:v>
      </x:c>
      <x:c r="B1289" s="50" t="str">
        <x:v>PM</x:v>
      </x:c>
      <x:c r="C1289" s="70" t="n">
        <x:v>46241.71395939815</x:v>
      </x:c>
      <x:c r="D1289" s="50" t="str">
        <x:v>LONG_BUY_ZONE</x:v>
      </x:c>
      <x:c r="E1289" s="50" t="str">
        <x:v>PM LONG BUY ZONE</x:v>
      </x:c>
      <x:c r="F1289" s="50" t="str">
        <x:v>WATCH</x:v>
      </x:c>
      <x:c r="G1289" s="50"/>
      <x:c r="H1289" s="50" t="str">
        <x:v>LONG</x:v>
      </x:c>
      <x:c r="I1289" s="71" t="n">
        <x:v>189.19</x:v>
      </x:c>
      <x:c r="J1289" s="76" t="str">
        <x:v>SIP</x:v>
      </x:c>
    </x:row>
    <x:row r="1290">
      <x:c r="A1290" s="50" t="str">
        <x:v>019fdd33-2453-7fae-9841-63a02f6e947d</x:v>
      </x:c>
      <x:c r="B1290" s="50" t="str">
        <x:v>JPM</x:v>
      </x:c>
      <x:c r="C1290" s="70" t="n">
        <x:v>46241.71463207176</x:v>
      </x:c>
      <x:c r="D1290" s="50" t="str">
        <x:v>SWING_SETUP</x:v>
      </x:c>
      <x:c r="E1290" s="50" t="str">
        <x:v>JPM SWING SETUP</x:v>
      </x:c>
      <x:c r="F1290" s="50" t="str">
        <x:v>WATCH</x:v>
      </x:c>
      <x:c r="G1290" s="50"/>
      <x:c r="H1290" s="50" t="str">
        <x:v>LONG</x:v>
      </x:c>
      <x:c r="I1290" s="71" t="n">
        <x:v>357.595</x:v>
      </x:c>
      <x:c r="J1290" s="76" t="str">
        <x:v>SIP</x:v>
      </x:c>
    </x:row>
    <x:row r="1291">
      <x:c r="A1291" s="50" t="str">
        <x:v>019fdd33-246b-7c0d-a725-4fc2836eced1</x:v>
      </x:c>
      <x:c r="B1291" s="50" t="str">
        <x:v>ECL</x:v>
      </x:c>
      <x:c r="C1291" s="70" t="n">
        <x:v>46241.71463234954</x:v>
      </x:c>
      <x:c r="D1291" s="50" t="str">
        <x:v>SWING_SETUP</x:v>
      </x:c>
      <x:c r="E1291" s="50" t="str">
        <x:v>ECL SWING SETUP</x:v>
      </x:c>
      <x:c r="F1291" s="50" t="str">
        <x:v>WATCH</x:v>
      </x:c>
      <x:c r="G1291" s="50"/>
      <x:c r="H1291" s="50" t="str">
        <x:v>LONG</x:v>
      </x:c>
      <x:c r="I1291" s="71" t="n">
        <x:v>284.89</x:v>
      </x:c>
      <x:c r="J1291" s="76" t="str">
        <x:v>SIP</x:v>
      </x:c>
    </x:row>
    <x:row r="1292">
      <x:c r="A1292" s="50" t="str">
        <x:v>019fdd33-2487-7f2a-8167-a929dfee0e69</x:v>
      </x:c>
      <x:c r="B1292" s="50" t="str">
        <x:v>PFE</x:v>
      </x:c>
      <x:c r="C1292" s="70" t="n">
        <x:v>46241.71463267361</x:v>
      </x:c>
      <x:c r="D1292" s="50" t="str">
        <x:v>SWING_SETUP</x:v>
      </x:c>
      <x:c r="E1292" s="50" t="str">
        <x:v>PFE SWING SETUP</x:v>
      </x:c>
      <x:c r="F1292" s="50" t="str">
        <x:v>WATCH</x:v>
      </x:c>
      <x:c r="G1292" s="50"/>
      <x:c r="H1292" s="50" t="str">
        <x:v>LONG</x:v>
      </x:c>
      <x:c r="I1292" s="71" t="n">
        <x:v>26.43</x:v>
      </x:c>
      <x:c r="J1292" s="76" t="str">
        <x:v>SIP</x:v>
      </x:c>
    </x:row>
    <x:row r="1293">
      <x:c r="A1293" s="50" t="str">
        <x:v>019fdd33-24b6-7b58-bfb8-413414959fc5</x:v>
      </x:c>
      <x:c r="B1293" s="50" t="str">
        <x:v>JD</x:v>
      </x:c>
      <x:c r="C1293" s="70" t="n">
        <x:v>46241.71463321759</x:v>
      </x:c>
      <x:c r="D1293" s="50" t="str">
        <x:v>SWING_SETUP</x:v>
      </x:c>
      <x:c r="E1293" s="50" t="str">
        <x:v>JD SWING SETUP</x:v>
      </x:c>
      <x:c r="F1293" s="50" t="str">
        <x:v>WATCH</x:v>
      </x:c>
      <x:c r="G1293" s="50"/>
      <x:c r="H1293" s="50" t="str">
        <x:v>LONG</x:v>
      </x:c>
      <x:c r="I1293" s="71" t="n">
        <x:v>32.945</x:v>
      </x:c>
      <x:c r="J1293" s="76" t="str">
        <x:v>SIP</x:v>
      </x:c>
    </x:row>
    <x:row r="1294">
      <x:c r="A1294" s="50" t="str">
        <x:v>019fdd33-24ef-7478-98ad-2fbfa71c857e</x:v>
      </x:c>
      <x:c r="B1294" s="50" t="str">
        <x:v>BAC</x:v>
      </x:c>
      <x:c r="C1294" s="70" t="n">
        <x:v>46241.71463387732</x:v>
      </x:c>
      <x:c r="D1294" s="50" t="str">
        <x:v>SWING_SETUP</x:v>
      </x:c>
      <x:c r="E1294" s="50" t="str">
        <x:v>BAC SWING SETUP</x:v>
      </x:c>
      <x:c r="F1294" s="50" t="str">
        <x:v>WATCH</x:v>
      </x:c>
      <x:c r="G1294" s="50"/>
      <x:c r="H1294" s="50" t="str">
        <x:v>LONG</x:v>
      </x:c>
      <x:c r="I1294" s="71" t="n">
        <x:v>62.995</x:v>
      </x:c>
      <x:c r="J1294" s="76" t="str">
        <x:v>SIP</x:v>
      </x:c>
    </x:row>
    <x:row r="1295">
      <x:c r="A1295" s="50" t="str">
        <x:v>019fdd33-2e31-7d2b-be64-a80b1091e753</x:v>
      </x:c>
      <x:c r="B1295" s="50" t="str">
        <x:v>RCL</x:v>
      </x:c>
      <x:c r="C1295" s="70" t="n">
        <x:v>46241.71466130787</x:v>
      </x:c>
      <x:c r="D1295" s="50" t="str">
        <x:v>LONG_BUY_ZONE</x:v>
      </x:c>
      <x:c r="E1295" s="50" t="str">
        <x:v>RCL LONG BUY ZONE</x:v>
      </x:c>
      <x:c r="F1295" s="50" t="str">
        <x:v>WATCH</x:v>
      </x:c>
      <x:c r="G1295" s="50"/>
      <x:c r="H1295" s="50" t="str">
        <x:v>LONG</x:v>
      </x:c>
      <x:c r="I1295" s="71" t="n">
        <x:v>319.87</x:v>
      </x:c>
      <x:c r="J1295" s="76" t="str">
        <x:v>SIP</x:v>
      </x:c>
    </x:row>
    <x:row r="1296">
      <x:c r="A1296" s="50" t="str">
        <x:v>019fdd33-2f00-7fbc-a96a-b16f2bd1ad87</x:v>
      </x:c>
      <x:c r="B1296" s="50" t="str">
        <x:v>HRL</x:v>
      </x:c>
      <x:c r="C1296" s="70" t="n">
        <x:v>46241.7146637037</x:v>
      </x:c>
      <x:c r="D1296" s="50" t="str">
        <x:v>LONG_BUY_ZONE</x:v>
      </x:c>
      <x:c r="E1296" s="50" t="str">
        <x:v>HRL LONG BUY ZONE</x:v>
      </x:c>
      <x:c r="F1296" s="50" t="str">
        <x:v>WATCH</x:v>
      </x:c>
      <x:c r="G1296" s="50"/>
      <x:c r="H1296" s="50" t="str">
        <x:v>LONG</x:v>
      </x:c>
      <x:c r="I1296" s="71" t="n">
        <x:v>25.18</x:v>
      </x:c>
      <x:c r="J1296" s="76" t="str">
        <x:v>SIP</x:v>
      </x:c>
    </x:row>
    <x:row r="1297">
      <x:c r="A1297" s="50" t="str">
        <x:v>019fdd33-310a-71b5-8c2b-61d8220fc9f4</x:v>
      </x:c>
      <x:c r="B1297" s="50" t="str">
        <x:v>ECL</x:v>
      </x:c>
      <x:c r="C1297" s="70" t="n">
        <x:v>46241.71466974537</x:v>
      </x:c>
      <x:c r="D1297" s="50" t="str">
        <x:v>LONG_BUY_ZONE</x:v>
      </x:c>
      <x:c r="E1297" s="50" t="str">
        <x:v>ECL LONG BUY ZONE</x:v>
      </x:c>
      <x:c r="F1297" s="50" t="str">
        <x:v>WATCH</x:v>
      </x:c>
      <x:c r="G1297" s="50"/>
      <x:c r="H1297" s="50" t="str">
        <x:v>LONG</x:v>
      </x:c>
      <x:c r="I1297" s="71" t="n">
        <x:v>284.88</x:v>
      </x:c>
      <x:c r="J1297" s="76" t="str">
        <x:v>SIP</x:v>
      </x:c>
    </x:row>
    <x:row r="1298">
      <x:c r="A1298" s="50" t="str">
        <x:v>019fdd34-0c4a-7800-9d12-f7e40549074b</x:v>
      </x:c>
      <x:c r="B1298" s="50" t="str">
        <x:v>PM</x:v>
      </x:c>
      <x:c r="C1298" s="70" t="n">
        <x:v>46241.715319375</x:v>
      </x:c>
      <x:c r="D1298" s="50" t="str">
        <x:v>SWING_SETUP</x:v>
      </x:c>
      <x:c r="E1298" s="50" t="str">
        <x:v>PM SWING SETUP</x:v>
      </x:c>
      <x:c r="F1298" s="50" t="str">
        <x:v>WATCH</x:v>
      </x:c>
      <x:c r="G1298" s="50"/>
      <x:c r="H1298" s="50" t="str">
        <x:v>LONG</x:v>
      </x:c>
      <x:c r="I1298" s="71" t="n">
        <x:v>189.15</x:v>
      </x:c>
      <x:c r="J1298" s="76" t="str">
        <x:v>SIP</x:v>
      </x:c>
    </x:row>
    <x:row r="1299">
      <x:c r="A1299" s="50" t="str">
        <x:v>019fdd34-0c5a-7a74-8e84-aaff245802cf</x:v>
      </x:c>
      <x:c r="B1299" s="50" t="str">
        <x:v>ABT</x:v>
      </x:c>
      <x:c r="C1299" s="70" t="n">
        <x:v>46241.715319560186</x:v>
      </x:c>
      <x:c r="D1299" s="50" t="str">
        <x:v>SWING_SETUP</x:v>
      </x:c>
      <x:c r="E1299" s="50" t="str">
        <x:v>ABT SWING SETUP</x:v>
      </x:c>
      <x:c r="F1299" s="50" t="str">
        <x:v>WATCH</x:v>
      </x:c>
      <x:c r="G1299" s="50"/>
      <x:c r="H1299" s="50" t="str">
        <x:v>LONG</x:v>
      </x:c>
      <x:c r="I1299" s="71" t="n">
        <x:v>107.405</x:v>
      </x:c>
      <x:c r="J1299" s="76" t="str">
        <x:v>SIP</x:v>
      </x:c>
    </x:row>
    <x:row r="1300">
      <x:c r="A1300" s="50" t="str">
        <x:v>019fdd34-0d0e-7f23-aa27-dd3f6cb7813e</x:v>
      </x:c>
      <x:c r="B1300" s="50" t="str">
        <x:v>MMM</x:v>
      </x:c>
      <x:c r="C1300" s="70" t="n">
        <x:v>46241.71532163194</x:v>
      </x:c>
      <x:c r="D1300" s="50" t="str">
        <x:v>SWING_SETUP</x:v>
      </x:c>
      <x:c r="E1300" s="50" t="str">
        <x:v>MMM SWING SETUP</x:v>
      </x:c>
      <x:c r="F1300" s="50" t="str">
        <x:v>WATCH</x:v>
      </x:c>
      <x:c r="G1300" s="50"/>
      <x:c r="H1300" s="50" t="str">
        <x:v>LONG</x:v>
      </x:c>
      <x:c r="I1300" s="71" t="n">
        <x:v>183</x:v>
      </x:c>
      <x:c r="J1300" s="76" t="str">
        <x:v>SIP</x:v>
      </x:c>
    </x:row>
    <x:row r="1301">
      <x:c r="A1301" s="50" t="str">
        <x:v>019fdd34-0ee2-733b-a126-d043ab56f8d7</x:v>
      </x:c>
      <x:c r="B1301" s="50" t="str">
        <x:v>RCL</x:v>
      </x:c>
      <x:c r="C1301" s="70" t="n">
        <x:v>46241.71532704861</x:v>
      </x:c>
      <x:c r="D1301" s="50" t="str">
        <x:v>SWING_SETUP</x:v>
      </x:c>
      <x:c r="E1301" s="50" t="str">
        <x:v>RCL SWING SETUP</x:v>
      </x:c>
      <x:c r="F1301" s="50" t="str">
        <x:v>WATCH</x:v>
      </x:c>
      <x:c r="G1301" s="50"/>
      <x:c r="H1301" s="50" t="str">
        <x:v>LONG</x:v>
      </x:c>
      <x:c r="I1301" s="71" t="n">
        <x:v>320.2625</x:v>
      </x:c>
      <x:c r="J1301" s="76" t="str">
        <x:v>SIP</x:v>
      </x:c>
    </x:row>
    <x:row r="1302">
      <x:c r="A1302" s="50" t="str">
        <x:v>019fdd34-15f4-7487-8681-931fb340031c</x:v>
      </x:c>
      <x:c r="B1302" s="50" t="str">
        <x:v>MNST</x:v>
      </x:c>
      <x:c r="C1302" s="70" t="n">
        <x:v>46241.71534800926</x:v>
      </x:c>
      <x:c r="D1302" s="50" t="str">
        <x:v>ENTRY_WATCH</x:v>
      </x:c>
      <x:c r="E1302" s="50" t="str">
        <x:v>MNST ENTRY BREAKAWAY WATCH</x:v>
      </x:c>
      <x:c r="F1302" s="50" t="str">
        <x:v>WATCH</x:v>
      </x:c>
      <x:c r="G1302" s="50"/>
      <x:c r="H1302" s="50" t="str">
        <x:v>LONG</x:v>
      </x:c>
      <x:c r="I1302" s="71" t="n">
        <x:v>90.375</x:v>
      </x:c>
      <x:c r="J1302" s="76" t="str">
        <x:v>SIP</x:v>
      </x:c>
    </x:row>
    <x:row r="1303">
      <x:c r="A1303" s="50" t="str">
        <x:v>019fdd34-f46a-7f04-9175-b17a884c4ccc</x:v>
      </x:c>
      <x:c r="B1303" s="50" t="str">
        <x:v>JNJ</x:v>
      </x:c>
      <x:c r="C1303" s="70" t="n">
        <x:v>46241.716007152776</x:v>
      </x:c>
      <x:c r="D1303" s="50" t="str">
        <x:v>LONG_BUY_ZONE</x:v>
      </x:c>
      <x:c r="E1303" s="50" t="str">
        <x:v>JNJ LONG BUY ZONE</x:v>
      </x:c>
      <x:c r="F1303" s="50" t="str">
        <x:v>WATCH</x:v>
      </x:c>
      <x:c r="G1303" s="50"/>
      <x:c r="H1303" s="50" t="str">
        <x:v>LONG</x:v>
      </x:c>
      <x:c r="I1303" s="71" t="n">
        <x:v>256.32</x:v>
      </x:c>
      <x:c r="J1303" s="76" t="str">
        <x:v>SIP</x:v>
      </x:c>
    </x:row>
    <x:row r="1304">
      <x:c r="A1304" s="50" t="str">
        <x:v>019fdd35-003e-78af-bbd2-726f7d5d5a62</x:v>
      </x:c>
      <x:c r="B1304" s="50" t="str">
        <x:v>GS</x:v>
      </x:c>
      <x:c r="C1304" s="70" t="n">
        <x:v>46241.71604219908</x:v>
      </x:c>
      <x:c r="D1304" s="50" t="str">
        <x:v>LONG_BUY_ZONE</x:v>
      </x:c>
      <x:c r="E1304" s="50" t="str">
        <x:v>GS LONG BUY ZONE</x:v>
      </x:c>
      <x:c r="F1304" s="50" t="str">
        <x:v>WATCH</x:v>
      </x:c>
      <x:c r="G1304" s="50"/>
      <x:c r="H1304" s="50" t="str">
        <x:v>LONG</x:v>
      </x:c>
      <x:c r="I1304" s="71" t="n">
        <x:v>1038.7435</x:v>
      </x:c>
      <x:c r="J1304" s="76" t="str">
        <x:v>SIP</x:v>
      </x:c>
    </x:row>
    <x:row r="1305">
      <x:c r="A1305" s="50" t="str">
        <x:v>019fdd37-bcdb-71af-bcd0-f5715321ab71</x:v>
      </x:c>
      <x:c r="B1305" s="50" t="str">
        <x:v>VZ</x:v>
      </x:c>
      <x:c r="C1305" s="70" t="n">
        <x:v>46241.7181180787</x:v>
      </x:c>
      <x:c r="D1305" s="50" t="str">
        <x:v>LONG_BUY_ZONE</x:v>
      </x:c>
      <x:c r="E1305" s="50" t="str">
        <x:v>VZ LONG BUY ZONE</x:v>
      </x:c>
      <x:c r="F1305" s="50" t="str">
        <x:v>WATCH</x:v>
      </x:c>
      <x:c r="G1305" s="50"/>
      <x:c r="H1305" s="50" t="str">
        <x:v>LONG</x:v>
      </x:c>
      <x:c r="I1305" s="71" t="n">
        <x:v>47.025</x:v>
      </x:c>
      <x:c r="J1305" s="76" t="str">
        <x:v>SIP</x:v>
      </x:c>
    </x:row>
    <x:row r="1306">
      <x:c r="A1306" s="50" t="str">
        <x:v>019fdd38-a46b-79cd-8305-21906d11e999</x:v>
      </x:c>
      <x:c r="B1306" s="50" t="str">
        <x:v>OXY</x:v>
      </x:c>
      <x:c r="C1306" s="70" t="n">
        <x:v>46241.71880420139</x:v>
      </x:c>
      <x:c r="D1306" s="50" t="str">
        <x:v>LONG_BUY_ZONE</x:v>
      </x:c>
      <x:c r="E1306" s="50" t="str">
        <x:v>OXY LONG BUY ZONE</x:v>
      </x:c>
      <x:c r="F1306" s="50" t="str">
        <x:v>WATCH</x:v>
      </x:c>
      <x:c r="G1306" s="50"/>
      <x:c r="H1306" s="50" t="str">
        <x:v>LONG</x:v>
      </x:c>
      <x:c r="I1306" s="71" t="n">
        <x:v>56.32</x:v>
      </x:c>
      <x:c r="J1306" s="76" t="str">
        <x:v>SIP</x:v>
      </x:c>
    </x:row>
    <x:row r="1307">
      <x:c r="A1307" s="50" t="str">
        <x:v>019fdd39-8649-7662-98ee-6aa3e4f9e747</x:v>
      </x:c>
      <x:c r="B1307" s="50" t="str">
        <x:v>HPE</x:v>
      </x:c>
      <x:c r="C1307" s="70" t="n">
        <x:v>46241.719473425925</x:v>
      </x:c>
      <x:c r="D1307" s="50" t="str">
        <x:v>SWING_SETUP</x:v>
      </x:c>
      <x:c r="E1307" s="50" t="str">
        <x:v>HPE SWING SETUP</x:v>
      </x:c>
      <x:c r="F1307" s="50" t="str">
        <x:v>WATCH</x:v>
      </x:c>
      <x:c r="G1307" s="50"/>
      <x:c r="H1307" s="50" t="str">
        <x:v>LONG</x:v>
      </x:c>
      <x:c r="I1307" s="71" t="n">
        <x:v>52.62</x:v>
      </x:c>
      <x:c r="J1307" s="76" t="str">
        <x:v>SIP</x:v>
      </x:c>
    </x:row>
    <x:row r="1308">
      <x:c r="A1308" s="50" t="str">
        <x:v>019fdd39-8675-7be6-9c36-87774bf8d4dc</x:v>
      </x:c>
      <x:c r="B1308" s="50" t="str">
        <x:v>GRAB</x:v>
      </x:c>
      <x:c r="C1308" s="70" t="n">
        <x:v>46241.71947394676</x:v>
      </x:c>
      <x:c r="D1308" s="50" t="str">
        <x:v>SWING_SETUP</x:v>
      </x:c>
      <x:c r="E1308" s="50" t="str">
        <x:v>GRAB SWING SETUP</x:v>
      </x:c>
      <x:c r="F1308" s="50" t="str">
        <x:v>WATCH</x:v>
      </x:c>
      <x:c r="G1308" s="50"/>
      <x:c r="H1308" s="50" t="str">
        <x:v>LONG</x:v>
      </x:c>
      <x:c r="I1308" s="71" t="n">
        <x:v>3.655</x:v>
      </x:c>
      <x:c r="J1308" s="76" t="str">
        <x:v>SIP</x:v>
      </x:c>
    </x:row>
    <x:row r="1309">
      <x:c r="A1309" s="50" t="str">
        <x:v>019fdd39-8762-7341-bfd9-aab762863471</x:v>
      </x:c>
      <x:c r="B1309" s="50" t="str">
        <x:v>WFC</x:v>
      </x:c>
      <x:c r="C1309" s="70" t="n">
        <x:v>46241.71947668982</x:v>
      </x:c>
      <x:c r="D1309" s="50" t="str">
        <x:v>SWING_SETUP</x:v>
      </x:c>
      <x:c r="E1309" s="50" t="str">
        <x:v>WFC SWING SETUP</x:v>
      </x:c>
      <x:c r="F1309" s="50" t="str">
        <x:v>WATCH</x:v>
      </x:c>
      <x:c r="G1309" s="50"/>
      <x:c r="H1309" s="50" t="str">
        <x:v>LONG</x:v>
      </x:c>
      <x:c r="I1309" s="71" t="n">
        <x:v>86.91</x:v>
      </x:c>
      <x:c r="J1309" s="76" t="str">
        <x:v>SIP</x:v>
      </x:c>
    </x:row>
    <x:row r="1310">
      <x:c r="A1310" s="50" t="str">
        <x:v>019fdd39-8ae0-7a28-a549-fef92da751d3</x:v>
      </x:c>
      <x:c r="B1310" s="50" t="str">
        <x:v>AMGN</x:v>
      </x:c>
      <x:c r="C1310" s="70" t="n">
        <x:v>46241.71948703704</x:v>
      </x:c>
      <x:c r="D1310" s="50" t="str">
        <x:v>SWING_SETUP</x:v>
      </x:c>
      <x:c r="E1310" s="50" t="str">
        <x:v>AMGN SWING SETUP</x:v>
      </x:c>
      <x:c r="F1310" s="50" t="str">
        <x:v>WATCH</x:v>
      </x:c>
      <x:c r="G1310" s="50"/>
      <x:c r="H1310" s="50" t="str">
        <x:v>LONG</x:v>
      </x:c>
      <x:c r="I1310" s="71" t="n">
        <x:v>406.91</x:v>
      </x:c>
      <x:c r="J1310" s="76" t="str">
        <x:v>SIP</x:v>
      </x:c>
    </x:row>
    <x:row r="1311">
      <x:c r="A1311" s="50" t="str">
        <x:v>019fdd39-8df4-7be6-97ef-aecf0c36397d</x:v>
      </x:c>
      <x:c r="B1311" s="50" t="str">
        <x:v>UEC</x:v>
      </x:c>
      <x:c r="C1311" s="70" t="n">
        <x:v>46241.719496157406</x:v>
      </x:c>
      <x:c r="D1311" s="50" t="str">
        <x:v>SWING_SETUP</x:v>
      </x:c>
      <x:c r="E1311" s="50" t="str">
        <x:v>UEC SWING SETUP</x:v>
      </x:c>
      <x:c r="F1311" s="50" t="str">
        <x:v>WATCH</x:v>
      </x:c>
      <x:c r="G1311" s="50"/>
      <x:c r="H1311" s="50" t="str">
        <x:v>LONG</x:v>
      </x:c>
      <x:c r="I1311" s="71" t="n">
        <x:v>11.275</x:v>
      </x:c>
      <x:c r="J1311" s="76" t="str">
        <x:v>SIP</x:v>
      </x:c>
    </x:row>
    <x:row r="1312">
      <x:c r="A1312" s="50" t="str">
        <x:v>019fdd39-8e7e-7249-b777-61f2f55cec4e</x:v>
      </x:c>
      <x:c r="B1312" s="50" t="str">
        <x:v>KDP</x:v>
      </x:c>
      <x:c r="C1312" s="70" t="n">
        <x:v>46241.71949775463</x:v>
      </x:c>
      <x:c r="D1312" s="50" t="str">
        <x:v>LONG_BUY_ZONE</x:v>
      </x:c>
      <x:c r="E1312" s="50" t="str">
        <x:v>KDP LONG BUY ZONE</x:v>
      </x:c>
      <x:c r="F1312" s="50" t="str">
        <x:v>WATCH</x:v>
      </x:c>
      <x:c r="G1312" s="50"/>
      <x:c r="H1312" s="50" t="str">
        <x:v>LONG</x:v>
      </x:c>
      <x:c r="I1312" s="71" t="n">
        <x:v>30.075</x:v>
      </x:c>
      <x:c r="J1312" s="76" t="str">
        <x:v>SIP</x:v>
      </x:c>
    </x:row>
    <x:row r="1313">
      <x:c r="A1313" s="50" t="str">
        <x:v>019fdd3a-7275-7342-9f6e-1d6421118fc4</x:v>
      </x:c>
      <x:c r="B1313" s="50" t="str">
        <x:v>AMZN</x:v>
      </x:c>
      <x:c r="C1313" s="70" t="n">
        <x:v>46241.72017320602</x:v>
      </x:c>
      <x:c r="D1313" s="50" t="str">
        <x:v>SWING_SETUP</x:v>
      </x:c>
      <x:c r="E1313" s="50" t="str">
        <x:v>AMZN SWING SETUP</x:v>
      </x:c>
      <x:c r="F1313" s="50" t="str">
        <x:v>WATCH</x:v>
      </x:c>
      <x:c r="G1313" s="50"/>
      <x:c r="H1313" s="50" t="str">
        <x:v>LONG</x:v>
      </x:c>
      <x:c r="I1313" s="71" t="n">
        <x:v>275.02</x:v>
      </x:c>
      <x:c r="J1313" s="76" t="str">
        <x:v>SIP</x:v>
      </x:c>
    </x:row>
    <x:row r="1314">
      <x:c r="A1314" s="50" t="str">
        <x:v>019fdd3a-7334-785e-abbc-4ca1fce226c3</x:v>
      </x:c>
      <x:c r="B1314" s="50" t="str">
        <x:v>ABNB</x:v>
      </x:c>
      <x:c r="C1314" s="70" t="n">
        <x:v>46241.72017541667</x:v>
      </x:c>
      <x:c r="D1314" s="50" t="str">
        <x:v>SWING_SETUP</x:v>
      </x:c>
      <x:c r="E1314" s="50" t="str">
        <x:v>ABNB SWING SETUP</x:v>
      </x:c>
      <x:c r="F1314" s="50" t="str">
        <x:v>WATCH</x:v>
      </x:c>
      <x:c r="G1314" s="50"/>
      <x:c r="H1314" s="50" t="str">
        <x:v>LONG</x:v>
      </x:c>
      <x:c r="I1314" s="71" t="n">
        <x:v>174.425</x:v>
      </x:c>
      <x:c r="J1314" s="76" t="str">
        <x:v>SIP</x:v>
      </x:c>
    </x:row>
    <x:row r="1315">
      <x:c r="A1315" s="50" t="str">
        <x:v>019fdd3a-7382-7d25-8684-5caa09aa2c93</x:v>
      </x:c>
      <x:c r="B1315" s="50" t="str">
        <x:v>MRK</x:v>
      </x:c>
      <x:c r="C1315" s="70" t="n">
        <x:v>46241.720176319446</x:v>
      </x:c>
      <x:c r="D1315" s="50" t="str">
        <x:v>SWING_SETUP</x:v>
      </x:c>
      <x:c r="E1315" s="50" t="str">
        <x:v>MRK SWING SETUP</x:v>
      </x:c>
      <x:c r="F1315" s="50" t="str">
        <x:v>WATCH</x:v>
      </x:c>
      <x:c r="G1315" s="50"/>
      <x:c r="H1315" s="50" t="str">
        <x:v>LONG</x:v>
      </x:c>
      <x:c r="I1315" s="71" t="n">
        <x:v>128.17</x:v>
      </x:c>
      <x:c r="J1315" s="76" t="str">
        <x:v>SIP</x:v>
      </x:c>
    </x:row>
    <x:row r="1316">
      <x:c r="A1316" s="50" t="str">
        <x:v>019fdd3a-746c-7a7c-b465-e98f1a349ff4</x:v>
      </x:c>
      <x:c r="B1316" s="50" t="str">
        <x:v>XOM</x:v>
      </x:c>
      <x:c r="C1316" s="70" t="n">
        <x:v>46241.720179027776</x:v>
      </x:c>
      <x:c r="D1316" s="50" t="str">
        <x:v>SWING_SETUP</x:v>
      </x:c>
      <x:c r="E1316" s="50" t="str">
        <x:v>XOM SWING SETUP</x:v>
      </x:c>
      <x:c r="F1316" s="50" t="str">
        <x:v>WATCH</x:v>
      </x:c>
      <x:c r="G1316" s="50"/>
      <x:c r="H1316" s="50" t="str">
        <x:v>LONG</x:v>
      </x:c>
      <x:c r="I1316" s="71" t="n">
        <x:v>153.29</x:v>
      </x:c>
      <x:c r="J1316" s="76" t="str">
        <x:v>SIP</x:v>
      </x:c>
    </x:row>
    <x:row r="1317">
      <x:c r="A1317" s="50" t="str">
        <x:v>019fdd3b-5aa5-7dd1-a7a4-37d4a78fbfda</x:v>
      </x:c>
      <x:c r="B1317" s="50" t="str">
        <x:v>SNOW</x:v>
      </x:c>
      <x:c r="C1317" s="70" t="n">
        <x:v>46241.72086116898</x:v>
      </x:c>
      <x:c r="D1317" s="50" t="str">
        <x:v>SWING_SETUP</x:v>
      </x:c>
      <x:c r="E1317" s="50" t="str">
        <x:v>SNOW SWING SETUP</x:v>
      </x:c>
      <x:c r="F1317" s="50" t="str">
        <x:v>WATCH</x:v>
      </x:c>
      <x:c r="G1317" s="50"/>
      <x:c r="H1317" s="50" t="str">
        <x:v>LONG</x:v>
      </x:c>
      <x:c r="I1317" s="71" t="n">
        <x:v>325.61</x:v>
      </x:c>
      <x:c r="J1317" s="76" t="str">
        <x:v>SIP</x:v>
      </x:c>
    </x:row>
    <x:row r="1318">
      <x:c r="A1318" s="50" t="str">
        <x:v>019fdd3b-5c38-7353-9970-56b0d0458eab</x:v>
      </x:c>
      <x:c r="B1318" s="50" t="str">
        <x:v>HRL</x:v>
      </x:c>
      <x:c r="C1318" s="70" t="n">
        <x:v>46241.72086583333</x:v>
      </x:c>
      <x:c r="D1318" s="50" t="str">
        <x:v>SWING_SETUP</x:v>
      </x:c>
      <x:c r="E1318" s="50" t="str">
        <x:v>HRL SWING SETUP</x:v>
      </x:c>
      <x:c r="F1318" s="50" t="str">
        <x:v>WATCH</x:v>
      </x:c>
      <x:c r="G1318" s="50"/>
      <x:c r="H1318" s="50" t="str">
        <x:v>LONG</x:v>
      </x:c>
      <x:c r="I1318" s="71" t="n">
        <x:v>25.195</x:v>
      </x:c>
      <x:c r="J1318" s="76" t="str">
        <x:v>SIP</x:v>
      </x:c>
    </x:row>
    <x:row r="1319">
      <x:c r="A1319" s="50" t="str">
        <x:v>019fdd3c-457f-7d10-9381-39b0617fc24e</x:v>
      </x:c>
      <x:c r="B1319" s="50" t="str">
        <x:v>RDW</x:v>
      </x:c>
      <x:c r="C1319" s="70" t="n">
        <x:v>46241.72155702546</x:v>
      </x:c>
      <x:c r="D1319" s="50" t="str">
        <x:v>SWING_SETUP</x:v>
      </x:c>
      <x:c r="E1319" s="50" t="str">
        <x:v>RDW SWING SETUP</x:v>
      </x:c>
      <x:c r="F1319" s="50" t="str">
        <x:v>WATCH</x:v>
      </x:c>
      <x:c r="G1319" s="50"/>
      <x:c r="H1319" s="50" t="str">
        <x:v>LONG</x:v>
      </x:c>
      <x:c r="I1319" s="71" t="n">
        <x:v>13.485</x:v>
      </x:c>
      <x:c r="J1319" s="76" t="str">
        <x:v>SIP</x:v>
      </x:c>
    </x:row>
    <x:row r="1320">
      <x:c r="A1320" s="50" t="str">
        <x:v>019fdd3c-4664-7107-b0ef-ad083d3d3aaa</x:v>
      </x:c>
      <x:c r="B1320" s="50" t="str">
        <x:v>NOC</x:v>
      </x:c>
      <x:c r="C1320" s="70" t="n">
        <x:v>46241.72155967593</x:v>
      </x:c>
      <x:c r="D1320" s="50" t="str">
        <x:v>SWING_SETUP</x:v>
      </x:c>
      <x:c r="E1320" s="50" t="str">
        <x:v>NOC SWING SETUP</x:v>
      </x:c>
      <x:c r="F1320" s="50" t="str">
        <x:v>WATCH</x:v>
      </x:c>
      <x:c r="G1320" s="50"/>
      <x:c r="H1320" s="50" t="str">
        <x:v>LONG</x:v>
      </x:c>
      <x:c r="I1320" s="71" t="n">
        <x:v>568.845</x:v>
      </x:c>
      <x:c r="J1320" s="76" t="str">
        <x:v>SIP</x:v>
      </x:c>
    </x:row>
    <x:row r="1321">
      <x:c r="A1321" s="50" t="str">
        <x:v>019fdd3c-470c-75d8-a443-b779413eebaf</x:v>
      </x:c>
      <x:c r="B1321" s="50" t="str">
        <x:v>PSX</x:v>
      </x:c>
      <x:c r="C1321" s="70" t="n">
        <x:v>46241.72156162037</x:v>
      </x:c>
      <x:c r="D1321" s="50" t="str">
        <x:v>SWING_SETUP</x:v>
      </x:c>
      <x:c r="E1321" s="50" t="str">
        <x:v>PSX SWING SETUP</x:v>
      </x:c>
      <x:c r="F1321" s="50" t="str">
        <x:v>WATCH</x:v>
      </x:c>
      <x:c r="G1321" s="50"/>
      <x:c r="H1321" s="50" t="str">
        <x:v>LONG</x:v>
      </x:c>
      <x:c r="I1321" s="71" t="n">
        <x:v>205.72</x:v>
      </x:c>
      <x:c r="J1321" s="76" t="str">
        <x:v>SIP</x:v>
      </x:c>
    </x:row>
    <x:row r="1322">
      <x:c r="A1322" s="50" t="str">
        <x:v>019fdd3d-3133-7620-9168-a6182b96ae43</x:v>
      </x:c>
      <x:c r="B1322" s="50" t="str">
        <x:v>APH</x:v>
      </x:c>
      <x:c r="C1322" s="70" t="n">
        <x:v>46241.72225540509</x:v>
      </x:c>
      <x:c r="D1322" s="50" t="str">
        <x:v>LONG_BUY_ZONE</x:v>
      </x:c>
      <x:c r="E1322" s="50" t="str">
        <x:v>APH LONG BUY ZONE</x:v>
      </x:c>
      <x:c r="F1322" s="50" t="str">
        <x:v>WATCH</x:v>
      </x:c>
      <x:c r="G1322" s="50"/>
      <x:c r="H1322" s="50" t="str">
        <x:v>LONG</x:v>
      </x:c>
      <x:c r="I1322" s="71" t="n">
        <x:v>167.875</x:v>
      </x:c>
      <x:c r="J1322" s="76" t="str">
        <x:v>SIP</x:v>
      </x:c>
    </x:row>
    <x:row r="1323">
      <x:c r="A1323" s="50" t="str">
        <x:v>019fdd3d-3268-7b42-b510-a6cf445d1697</x:v>
      </x:c>
      <x:c r="B1323" s="50" t="str">
        <x:v>SMR</x:v>
      </x:c>
      <x:c r="C1323" s="70" t="n">
        <x:v>46241.722258981485</x:v>
      </x:c>
      <x:c r="D1323" s="50" t="str">
        <x:v>SWING_SETUP</x:v>
      </x:c>
      <x:c r="E1323" s="50" t="str">
        <x:v>SMR SWING SETUP</x:v>
      </x:c>
      <x:c r="F1323" s="50" t="str">
        <x:v>WATCH</x:v>
      </x:c>
      <x:c r="G1323" s="50"/>
      <x:c r="H1323" s="50" t="str">
        <x:v>LONG</x:v>
      </x:c>
      <x:c r="I1323" s="71" t="n">
        <x:v>9.905</x:v>
      </x:c>
      <x:c r="J1323" s="76" t="str">
        <x:v>SIP</x:v>
      </x:c>
    </x:row>
    <x:row r="1324">
      <x:c r="A1324" s="50" t="str">
        <x:v>019fdd3e-1d54-7382-bf16-6863c3802191</x:v>
      </x:c>
      <x:c r="B1324" s="50" t="str">
        <x:v>MNST</x:v>
      </x:c>
      <x:c r="C1324" s="70" t="n">
        <x:v>46241.722955046294</x:v>
      </x:c>
      <x:c r="D1324" s="50" t="str">
        <x:v>ENTRY_WATCH</x:v>
      </x:c>
      <x:c r="E1324" s="50" t="str">
        <x:v>MNST ENTRY IN_ZONE EARLY WATCH</x:v>
      </x:c>
      <x:c r="F1324" s="50" t="str">
        <x:v>WATCH</x:v>
      </x:c>
      <x:c r="G1324" s="50"/>
      <x:c r="H1324" s="50" t="str">
        <x:v>LONG</x:v>
      </x:c>
      <x:c r="I1324" s="71" t="n">
        <x:v>90.34</x:v>
      </x:c>
      <x:c r="J1324" s="76" t="str">
        <x:v>SIP</x:v>
      </x:c>
    </x:row>
    <x:row r="1325">
      <x:c r="A1325" s="50" t="str">
        <x:v>019fdd3e-1e2f-7465-a62e-a138b43fd40a</x:v>
      </x:c>
      <x:c r="B1325" s="50" t="str">
        <x:v>INTU</x:v>
      </x:c>
      <x:c r="C1325" s="70" t="n">
        <x:v>46241.72295758102</x:v>
      </x:c>
      <x:c r="D1325" s="50" t="str">
        <x:v>SWING_SETUP</x:v>
      </x:c>
      <x:c r="E1325" s="50" t="str">
        <x:v>INTU SWING SETUP</x:v>
      </x:c>
      <x:c r="F1325" s="50" t="str">
        <x:v>WATCH</x:v>
      </x:c>
      <x:c r="G1325" s="50"/>
      <x:c r="H1325" s="50" t="str">
        <x:v>LONG</x:v>
      </x:c>
      <x:c r="I1325" s="71" t="n">
        <x:v>328.67</x:v>
      </x:c>
      <x:c r="J1325" s="76" t="str">
        <x:v>SIP</x:v>
      </x:c>
    </x:row>
    <x:row r="1326">
      <x:c r="A1326" s="50" t="str">
        <x:v>019fdd3f-0690-704a-b294-066432ef7aad</x:v>
      </x:c>
      <x:c r="B1326" s="50" t="str">
        <x:v>LMT</x:v>
      </x:c>
      <x:c r="C1326" s="70" t="n">
        <x:v>46241.72364611111</x:v>
      </x:c>
      <x:c r="D1326" s="50" t="str">
        <x:v>SWING_SETUP</x:v>
      </x:c>
      <x:c r="E1326" s="50" t="str">
        <x:v>LMT SWING SETUP</x:v>
      </x:c>
      <x:c r="F1326" s="50" t="str">
        <x:v>WATCH</x:v>
      </x:c>
      <x:c r="G1326" s="50"/>
      <x:c r="H1326" s="50" t="str">
        <x:v>LONG</x:v>
      </x:c>
      <x:c r="I1326" s="71" t="n">
        <x:v>584.14</x:v>
      </x:c>
      <x:c r="J1326" s="76" t="str">
        <x:v>SIP</x:v>
      </x:c>
    </x:row>
    <x:row r="1327">
      <x:c r="A1327" s="50" t="str">
        <x:v>019fdd3f-06cb-7f95-99ff-972def079f16</x:v>
      </x:c>
      <x:c r="B1327" s="50" t="str">
        <x:v>DASH</x:v>
      </x:c>
      <x:c r="C1327" s="70" t="n">
        <x:v>46241.72364679398</x:v>
      </x:c>
      <x:c r="D1327" s="50" t="str">
        <x:v>SWING_SETUP</x:v>
      </x:c>
      <x:c r="E1327" s="50" t="str">
        <x:v>DASH SWING SETUP</x:v>
      </x:c>
      <x:c r="F1327" s="50" t="str">
        <x:v>WATCH</x:v>
      </x:c>
      <x:c r="G1327" s="50"/>
      <x:c r="H1327" s="50" t="str">
        <x:v>LONG</x:v>
      </x:c>
      <x:c r="I1327" s="71" t="n">
        <x:v>221.405</x:v>
      </x:c>
      <x:c r="J1327" s="76" t="str">
        <x:v>SIP</x:v>
      </x:c>
    </x:row>
    <x:row r="1328">
      <x:c r="A1328" s="50" t="str">
        <x:v>019fdd3f-06f2-761d-b2b9-2b7ff726eb50</x:v>
      </x:c>
      <x:c r="B1328" s="50" t="str">
        <x:v>DLR</x:v>
      </x:c>
      <x:c r="C1328" s="70" t="n">
        <x:v>46241.72364724537</x:v>
      </x:c>
      <x:c r="D1328" s="50" t="str">
        <x:v>SWING_SETUP</x:v>
      </x:c>
      <x:c r="E1328" s="50" t="str">
        <x:v>DLR SWING SETUP</x:v>
      </x:c>
      <x:c r="F1328" s="50" t="str">
        <x:v>WATCH</x:v>
      </x:c>
      <x:c r="G1328" s="50"/>
      <x:c r="H1328" s="50" t="str">
        <x:v>LONG</x:v>
      </x:c>
      <x:c r="I1328" s="71" t="n">
        <x:v>194.15</x:v>
      </x:c>
      <x:c r="J1328" s="76" t="str">
        <x:v>SIP</x:v>
      </x:c>
    </x:row>
    <x:row r="1329">
      <x:c r="A1329" s="50" t="str">
        <x:v>019fdd3f-0736-70b0-9938-4a2b5b23b918</x:v>
      </x:c>
      <x:c r="B1329" s="50" t="str">
        <x:v>APA</x:v>
      </x:c>
      <x:c r="C1329" s="70" t="n">
        <x:v>46241.723648032406</x:v>
      </x:c>
      <x:c r="D1329" s="50" t="str">
        <x:v>SWING_SETUP</x:v>
      </x:c>
      <x:c r="E1329" s="50" t="str">
        <x:v>APA SWING SETUP</x:v>
      </x:c>
      <x:c r="F1329" s="50" t="str">
        <x:v>WATCH</x:v>
      </x:c>
      <x:c r="G1329" s="50"/>
      <x:c r="H1329" s="50" t="str">
        <x:v>LONG</x:v>
      </x:c>
      <x:c r="I1329" s="71" t="n">
        <x:v>37.775</x:v>
      </x:c>
      <x:c r="J1329" s="76" t="str">
        <x:v>SIP</x:v>
      </x:c>
    </x:row>
    <x:row r="1330">
      <x:c r="A1330" s="50" t="str">
        <x:v>019fdd3f-073e-7ea6-b9fb-8aa74a7297ce</x:v>
      </x:c>
      <x:c r="B1330" s="50" t="str">
        <x:v>WELL</x:v>
      </x:c>
      <x:c r="C1330" s="70" t="n">
        <x:v>46241.723648125</x:v>
      </x:c>
      <x:c r="D1330" s="50" t="str">
        <x:v>SWING_SETUP</x:v>
      </x:c>
      <x:c r="E1330" s="50" t="str">
        <x:v>WELL SWING SETUP</x:v>
      </x:c>
      <x:c r="F1330" s="50" t="str">
        <x:v>WATCH</x:v>
      </x:c>
      <x:c r="G1330" s="50"/>
      <x:c r="H1330" s="50" t="str">
        <x:v>LONG</x:v>
      </x:c>
      <x:c r="I1330" s="71" t="n">
        <x:v>236.0275</x:v>
      </x:c>
      <x:c r="J1330" s="76" t="str">
        <x:v>SIP</x:v>
      </x:c>
    </x:row>
    <x:row r="1331">
      <x:c r="A1331" s="50" t="str">
        <x:v>019fdd3f-081c-7a99-98fd-b5211b31f8d3</x:v>
      </x:c>
      <x:c r="B1331" s="50" t="str">
        <x:v>ANET</x:v>
      </x:c>
      <x:c r="C1331" s="70" t="n">
        <x:v>46241.72365068287</x:v>
      </x:c>
      <x:c r="D1331" s="50" t="str">
        <x:v>SWING_SETUP</x:v>
      </x:c>
      <x:c r="E1331" s="50" t="str">
        <x:v>ANET SWING SETUP</x:v>
      </x:c>
      <x:c r="F1331" s="50" t="str">
        <x:v>WATCH</x:v>
      </x:c>
      <x:c r="G1331" s="50"/>
      <x:c r="H1331" s="50" t="str">
        <x:v>LONG</x:v>
      </x:c>
      <x:c r="I1331" s="71" t="n">
        <x:v>191.69</x:v>
      </x:c>
      <x:c r="J1331" s="76" t="str">
        <x:v>SIP</x:v>
      </x:c>
    </x:row>
    <x:row r="1332">
      <x:c r="A1332" s="50" t="str">
        <x:v>019fdd3f-0861-7ffd-bcfb-9a280ff2a021</x:v>
      </x:c>
      <x:c r="B1332" s="50" t="str">
        <x:v>COP</x:v>
      </x:c>
      <x:c r="C1332" s="70" t="n">
        <x:v>46241.723651493056</x:v>
      </x:c>
      <x:c r="D1332" s="50" t="str">
        <x:v>SWING_SETUP</x:v>
      </x:c>
      <x:c r="E1332" s="50" t="str">
        <x:v>COP SWING SETUP</x:v>
      </x:c>
      <x:c r="F1332" s="50" t="str">
        <x:v>WATCH</x:v>
      </x:c>
      <x:c r="G1332" s="50"/>
      <x:c r="H1332" s="50" t="str">
        <x:v>LONG</x:v>
      </x:c>
      <x:c r="I1332" s="71" t="n">
        <x:v>118.02</x:v>
      </x:c>
      <x:c r="J1332" s="76" t="str">
        <x:v>SIP</x:v>
      </x:c>
    </x:row>
    <x:row r="1333">
      <x:c r="A1333" s="50" t="str">
        <x:v>019fdd3f-0880-71c3-aafc-85baaa2ac156</x:v>
      </x:c>
      <x:c r="B1333" s="50" t="str">
        <x:v>SBUX</x:v>
      </x:c>
      <x:c r="C1333" s="70" t="n">
        <x:v>46241.723651851855</x:v>
      </x:c>
      <x:c r="D1333" s="50" t="str">
        <x:v>SWING_SETUP</x:v>
      </x:c>
      <x:c r="E1333" s="50" t="str">
        <x:v>SBUX SWING SETUP</x:v>
      </x:c>
      <x:c r="F1333" s="50" t="str">
        <x:v>WATCH</x:v>
      </x:c>
      <x:c r="G1333" s="50"/>
      <x:c r="H1333" s="50" t="str">
        <x:v>LONG</x:v>
      </x:c>
      <x:c r="I1333" s="71" t="n">
        <x:v>106.6101</x:v>
      </x:c>
      <x:c r="J1333" s="76" t="str">
        <x:v>SIP</x:v>
      </x:c>
    </x:row>
    <x:row r="1334">
      <x:c r="A1334" s="50" t="str">
        <x:v>019fdd3f-088f-7f71-b9c5-13ef179ef79b</x:v>
      </x:c>
      <x:c r="B1334" s="50" t="str">
        <x:v>MDLZ</x:v>
      </x:c>
      <x:c r="C1334" s="70" t="n">
        <x:v>46241.72365202547</x:v>
      </x:c>
      <x:c r="D1334" s="50" t="str">
        <x:v>SWING_SETUP</x:v>
      </x:c>
      <x:c r="E1334" s="50" t="str">
        <x:v>MDLZ SWING SETUP</x:v>
      </x:c>
      <x:c r="F1334" s="50" t="str">
        <x:v>WATCH</x:v>
      </x:c>
      <x:c r="G1334" s="50"/>
      <x:c r="H1334" s="50" t="str">
        <x:v>LONG</x:v>
      </x:c>
      <x:c r="I1334" s="71" t="n">
        <x:v>63.055</x:v>
      </x:c>
      <x:c r="J1334" s="76" t="str">
        <x:v>SIP</x:v>
      </x:c>
    </x:row>
    <x:row r="1335">
      <x:c r="A1335" s="50" t="str">
        <x:v>019fdd3f-0898-7a00-bec8-3de6b6c5c512</x:v>
      </x:c>
      <x:c r="B1335" s="50" t="str">
        <x:v>VZ</x:v>
      </x:c>
      <x:c r="C1335" s="70" t="n">
        <x:v>46241.72365212963</x:v>
      </x:c>
      <x:c r="D1335" s="50" t="str">
        <x:v>SWING_SETUP</x:v>
      </x:c>
      <x:c r="E1335" s="50" t="str">
        <x:v>VZ SWING SETUP</x:v>
      </x:c>
      <x:c r="F1335" s="50" t="str">
        <x:v>WATCH</x:v>
      </x:c>
      <x:c r="G1335" s="50"/>
      <x:c r="H1335" s="50" t="str">
        <x:v>LONG</x:v>
      </x:c>
      <x:c r="I1335" s="71" t="n">
        <x:v>47.0219</x:v>
      </x:c>
      <x:c r="J1335" s="76" t="str">
        <x:v>SIP</x:v>
      </x:c>
    </x:row>
    <x:row r="1336">
      <x:c r="A1336" s="50" t="str">
        <x:v>019fdd3f-08a7-7348-a269-71151a2e5519</x:v>
      </x:c>
      <x:c r="B1336" s="50" t="str">
        <x:v>UNP</x:v>
      </x:c>
      <x:c r="C1336" s="70" t="n">
        <x:v>46241.72365230324</x:v>
      </x:c>
      <x:c r="D1336" s="50" t="str">
        <x:v>SWING_SETUP</x:v>
      </x:c>
      <x:c r="E1336" s="50" t="str">
        <x:v>UNP SWING SETUP</x:v>
      </x:c>
      <x:c r="F1336" s="50" t="str">
        <x:v>WATCH</x:v>
      </x:c>
      <x:c r="G1336" s="50"/>
      <x:c r="H1336" s="50" t="str">
        <x:v>LONG</x:v>
      </x:c>
      <x:c r="I1336" s="71" t="n">
        <x:v>296.82</x:v>
      </x:c>
      <x:c r="J1336" s="76" t="str">
        <x:v>SIP</x:v>
      </x:c>
    </x:row>
    <x:row r="1337">
      <x:c r="A1337" s="50" t="str">
        <x:v>019fdd3f-08af-756c-af0f-ad5794232e7a</x:v>
      </x:c>
      <x:c r="B1337" s="50" t="str">
        <x:v>OXY</x:v>
      </x:c>
      <x:c r="C1337" s="70" t="n">
        <x:v>46241.723652395835</x:v>
      </x:c>
      <x:c r="D1337" s="50" t="str">
        <x:v>SWING_SETUP</x:v>
      </x:c>
      <x:c r="E1337" s="50" t="str">
        <x:v>OXY SWING SETUP</x:v>
      </x:c>
      <x:c r="F1337" s="50" t="str">
        <x:v>WATCH</x:v>
      </x:c>
      <x:c r="G1337" s="50"/>
      <x:c r="H1337" s="50" t="str">
        <x:v>LONG</x:v>
      </x:c>
      <x:c r="I1337" s="71" t="n">
        <x:v>56.32</x:v>
      </x:c>
      <x:c r="J1337" s="76" t="str">
        <x:v>SIP</x:v>
      </x:c>
    </x:row>
    <x:row r="1338">
      <x:c r="A1338" s="50" t="str">
        <x:v>019fdd3f-08e6-722d-81da-8a83d6105395</x:v>
      </x:c>
      <x:c r="B1338" s="50" t="str">
        <x:v>SBUX</x:v>
      </x:c>
      <x:c r="C1338" s="70" t="n">
        <x:v>46241.72365303241</x:v>
      </x:c>
      <x:c r="D1338" s="50" t="str">
        <x:v>LONG_BUY_ZONE</x:v>
      </x:c>
      <x:c r="E1338" s="50" t="str">
        <x:v>SBUX LONG BUY ZONE</x:v>
      </x:c>
      <x:c r="F1338" s="50" t="str">
        <x:v>WATCH</x:v>
      </x:c>
      <x:c r="G1338" s="50"/>
      <x:c r="H1338" s="50" t="str">
        <x:v>LONG</x:v>
      </x:c>
      <x:c r="I1338" s="71" t="n">
        <x:v>106.44</x:v>
      </x:c>
      <x:c r="J1338" s="76" t="str">
        <x:v>SIP</x:v>
      </x:c>
    </x:row>
    <x:row r="1339">
      <x:c r="A1339" s="50" t="str">
        <x:v>019fdd3f-0b81-7cd8-a005-393164128c41</x:v>
      </x:c>
      <x:c r="B1339" s="50" t="str">
        <x:v>MRK</x:v>
      </x:c>
      <x:c r="C1339" s="70" t="n">
        <x:v>46241.723660752315</x:v>
      </x:c>
      <x:c r="D1339" s="50" t="str">
        <x:v>LONG_BUY_ZONE</x:v>
      </x:c>
      <x:c r="E1339" s="50" t="str">
        <x:v>MRK LONG BUY ZONE</x:v>
      </x:c>
      <x:c r="F1339" s="50" t="str">
        <x:v>WATCH</x:v>
      </x:c>
      <x:c r="G1339" s="50"/>
      <x:c r="H1339" s="50" t="str">
        <x:v>LONG</x:v>
      </x:c>
      <x:c r="I1339" s="71" t="n">
        <x:v>128.02</x:v>
      </x:c>
      <x:c r="J1339" s="76" t="str">
        <x:v>SIP</x:v>
      </x:c>
    </x:row>
    <x:row r="1340">
      <x:c r="A1340" s="50" t="str">
        <x:v>019fdd3f-ef76-7652-b6b2-793641604190</x:v>
      </x:c>
      <x:c r="B1340" s="50" t="str">
        <x:v>BMY</x:v>
      </x:c>
      <x:c r="C1340" s="70" t="n">
        <x:v>46241.72433618055</x:v>
      </x:c>
      <x:c r="D1340" s="50" t="str">
        <x:v>SWING_SETUP</x:v>
      </x:c>
      <x:c r="E1340" s="50" t="str">
        <x:v>BMY SWING SETUP</x:v>
      </x:c>
      <x:c r="F1340" s="50" t="str">
        <x:v>WATCH</x:v>
      </x:c>
      <x:c r="G1340" s="50"/>
      <x:c r="H1340" s="50" t="str">
        <x:v>LONG</x:v>
      </x:c>
      <x:c r="I1340" s="71" t="n">
        <x:v>64.225</x:v>
      </x:c>
      <x:c r="J1340" s="76" t="str">
        <x:v>SIP</x:v>
      </x:c>
    </x:row>
    <x:row r="1341">
      <x:c r="A1341" s="50" t="str">
        <x:v>019fdd3f-f00a-7790-a461-797775a985c9</x:v>
      </x:c>
      <x:c r="B1341" s="50" t="str">
        <x:v>ABBV</x:v>
      </x:c>
      <x:c r="C1341" s="70" t="n">
        <x:v>46241.72433788195</x:v>
      </x:c>
      <x:c r="D1341" s="50" t="str">
        <x:v>LONG_BUY_ZONE</x:v>
      </x:c>
      <x:c r="E1341" s="50" t="str">
        <x:v>ABBV LONG BUY ZONE</x:v>
      </x:c>
      <x:c r="F1341" s="50" t="str">
        <x:v>WATCH</x:v>
      </x:c>
      <x:c r="G1341" s="50"/>
      <x:c r="H1341" s="50" t="str">
        <x:v>LONG</x:v>
      </x:c>
      <x:c r="I1341" s="71" t="n">
        <x:v>245.03</x:v>
      </x:c>
      <x:c r="J1341" s="76" t="str">
        <x:v>SIP</x:v>
      </x:c>
    </x:row>
    <x:row r="1342">
      <x:c r="A1342" s="50" t="str">
        <x:v>019fdd3f-f060-73fc-a816-94970ce25f3d</x:v>
      </x:c>
      <x:c r="B1342" s="50" t="str">
        <x:v>PLTR</x:v>
      </x:c>
      <x:c r="C1342" s="70" t="n">
        <x:v>46241.72433888889</x:v>
      </x:c>
      <x:c r="D1342" s="50" t="str">
        <x:v>SWING_SETUP</x:v>
      </x:c>
      <x:c r="E1342" s="50" t="str">
        <x:v>PLTR SWING SETUP</x:v>
      </x:c>
      <x:c r="F1342" s="50" t="str">
        <x:v>WATCH</x:v>
      </x:c>
      <x:c r="G1342" s="50"/>
      <x:c r="H1342" s="50" t="str">
        <x:v>LONG</x:v>
      </x:c>
      <x:c r="I1342" s="71" t="n">
        <x:v>170.51</x:v>
      </x:c>
      <x:c r="J1342" s="76" t="str">
        <x:v>SIP</x:v>
      </x:c>
    </x:row>
    <x:row r="1343">
      <x:c r="A1343" s="50" t="str">
        <x:v>019fdd3f-f09d-73eb-b5c8-e57aa1e87564</x:v>
      </x:c>
      <x:c r="B1343" s="50" t="str">
        <x:v>SCHW</x:v>
      </x:c>
      <x:c r="C1343" s="70" t="n">
        <x:v>46241.724339594904</x:v>
      </x:c>
      <x:c r="D1343" s="50" t="str">
        <x:v>SWING_SETUP</x:v>
      </x:c>
      <x:c r="E1343" s="50" t="str">
        <x:v>SCHW SWING SETUP</x:v>
      </x:c>
      <x:c r="F1343" s="50" t="str">
        <x:v>WATCH</x:v>
      </x:c>
      <x:c r="G1343" s="50"/>
      <x:c r="H1343" s="50" t="str">
        <x:v>LONG</x:v>
      </x:c>
      <x:c r="I1343" s="71" t="n">
        <x:v>106.9</x:v>
      </x:c>
      <x:c r="J1343" s="76" t="str">
        <x:v>SIP</x:v>
      </x:c>
    </x:row>
    <x:row r="1344">
      <x:c r="A1344" s="50" t="str">
        <x:v>019fdd40-da51-7d41-8bdd-c9bcbcae6c35</x:v>
      </x:c>
      <x:c r="B1344" s="50" t="str">
        <x:v>BLK</x:v>
      </x:c>
      <x:c r="C1344" s="70" t="n">
        <x:v>46241.72503204861</x:v>
      </x:c>
      <x:c r="D1344" s="50" t="str">
        <x:v>SWING_SETUP</x:v>
      </x:c>
      <x:c r="E1344" s="50" t="str">
        <x:v>BLK SWING SETUP</x:v>
      </x:c>
      <x:c r="F1344" s="50" t="str">
        <x:v>WATCH</x:v>
      </x:c>
      <x:c r="G1344" s="50"/>
      <x:c r="H1344" s="50" t="str">
        <x:v>LONG</x:v>
      </x:c>
      <x:c r="I1344" s="71" t="n">
        <x:v>1137.37</x:v>
      </x:c>
      <x:c r="J1344" s="76" t="str">
        <x:v>SIP</x:v>
      </x:c>
    </x:row>
    <x:row r="1345">
      <x:c r="A1345" s="50" t="str">
        <x:v>019fdd40-dca7-7e29-aeb0-f1db3697a0fe</x:v>
      </x:c>
      <x:c r="B1345" s="50" t="str">
        <x:v>ETHA</x:v>
      </x:c>
      <x:c r="C1345" s="70" t="n">
        <x:v>46241.725038969904</x:v>
      </x:c>
      <x:c r="D1345" s="50" t="str">
        <x:v>SWING_SETUP</x:v>
      </x:c>
      <x:c r="E1345" s="50" t="str">
        <x:v>ETHA SWING SETUP</x:v>
      </x:c>
      <x:c r="F1345" s="50" t="str">
        <x:v>WATCH</x:v>
      </x:c>
      <x:c r="G1345" s="50"/>
      <x:c r="H1345" s="50" t="str">
        <x:v>LONG</x:v>
      </x:c>
      <x:c r="I1345" s="71" t="n">
        <x:v>14.3897</x:v>
      </x:c>
      <x:c r="J1345" s="76" t="str">
        <x:v>SIP</x:v>
      </x:c>
    </x:row>
    <x:row r="1346">
      <x:c r="A1346" s="50" t="str">
        <x:v>019fdd40-dcb8-7d96-92ff-bd922a8fff58</x:v>
      </x:c>
      <x:c r="B1346" s="50" t="str">
        <x:v>TMDX</x:v>
      </x:c>
      <x:c r="C1346" s="70" t="n">
        <x:v>46241.72503916667</x:v>
      </x:c>
      <x:c r="D1346" s="50" t="str">
        <x:v>SWING_SETUP</x:v>
      </x:c>
      <x:c r="E1346" s="50" t="str">
        <x:v>TMDX SWING SETUP</x:v>
      </x:c>
      <x:c r="F1346" s="50" t="str">
        <x:v>WATCH</x:v>
      </x:c>
      <x:c r="G1346" s="50"/>
      <x:c r="H1346" s="50" t="str">
        <x:v>LONG</x:v>
      </x:c>
      <x:c r="I1346" s="71" t="n">
        <x:v>80.4525</x:v>
      </x:c>
      <x:c r="J1346" s="76" t="str">
        <x:v>SIP</x:v>
      </x:c>
    </x:row>
    <x:row r="1347">
      <x:c r="A1347" s="50" t="str">
        <x:v>019fdd40-dd29-7a2c-8c4c-22660a8d638a</x:v>
      </x:c>
      <x:c r="B1347" s="50" t="str">
        <x:v>BKNG</x:v>
      </x:c>
      <x:c r="C1347" s="70" t="n">
        <x:v>46241.725040474535</x:v>
      </x:c>
      <x:c r="D1347" s="50" t="str">
        <x:v>SWING_SETUP</x:v>
      </x:c>
      <x:c r="E1347" s="50" t="str">
        <x:v>BKNG SWING SETUP</x:v>
      </x:c>
      <x:c r="F1347" s="50" t="str">
        <x:v>WATCH</x:v>
      </x:c>
      <x:c r="G1347" s="50"/>
      <x:c r="H1347" s="50" t="str">
        <x:v>LONG</x:v>
      </x:c>
      <x:c r="I1347" s="71" t="n">
        <x:v>212.815</x:v>
      </x:c>
      <x:c r="J1347" s="76" t="str">
        <x:v>SIP</x:v>
      </x:c>
    </x:row>
    <x:row r="1348">
      <x:c r="A1348" s="50" t="str">
        <x:v>019fdd40-dd62-70e4-9276-987fce9103c2</x:v>
      </x:c>
      <x:c r="B1348" s="50" t="str">
        <x:v>KO</x:v>
      </x:c>
      <x:c r="C1348" s="70" t="n">
        <x:v>46241.72504113426</x:v>
      </x:c>
      <x:c r="D1348" s="50" t="str">
        <x:v>SWING_SETUP</x:v>
      </x:c>
      <x:c r="E1348" s="50" t="str">
        <x:v>KO SWING SETUP</x:v>
      </x:c>
      <x:c r="F1348" s="50" t="str">
        <x:v>WATCH</x:v>
      </x:c>
      <x:c r="G1348" s="50"/>
      <x:c r="H1348" s="50" t="str">
        <x:v>LONG</x:v>
      </x:c>
      <x:c r="I1348" s="71" t="n">
        <x:v>87.1</x:v>
      </x:c>
      <x:c r="J1348" s="76" t="str">
        <x:v>SIP</x:v>
      </x:c>
    </x:row>
    <x:row r="1349">
      <x:c r="A1349" s="50" t="str">
        <x:v>019fdd40-dd94-7160-a3c1-f15d62789e97</x:v>
      </x:c>
      <x:c r="B1349" s="50" t="str">
        <x:v>CEG</x:v>
      </x:c>
      <x:c r="C1349" s="70" t="n">
        <x:v>46241.72504171296</x:v>
      </x:c>
      <x:c r="D1349" s="50" t="str">
        <x:v>SWING_SETUP</x:v>
      </x:c>
      <x:c r="E1349" s="50" t="str">
        <x:v>CEG SWING SETUP</x:v>
      </x:c>
      <x:c r="F1349" s="50" t="str">
        <x:v>WATCH</x:v>
      </x:c>
      <x:c r="G1349" s="50"/>
      <x:c r="H1349" s="50" t="str">
        <x:v>LONG</x:v>
      </x:c>
      <x:c r="I1349" s="71" t="n">
        <x:v>268.475</x:v>
      </x:c>
      <x:c r="J1349" s="76" t="str">
        <x:v>SIP</x:v>
      </x:c>
    </x:row>
    <x:row r="1350">
      <x:c r="A1350" s="50" t="str">
        <x:v>019fdd40-ddaa-7378-a6fc-a4a8add642d9</x:v>
      </x:c>
      <x:c r="B1350" s="50" t="str">
        <x:v>SHW</x:v>
      </x:c>
      <x:c r="C1350" s="70" t="n">
        <x:v>46241.72504196759</x:v>
      </x:c>
      <x:c r="D1350" s="50" t="str">
        <x:v>SWING_SETUP</x:v>
      </x:c>
      <x:c r="E1350" s="50" t="str">
        <x:v>SHW SWING SETUP</x:v>
      </x:c>
      <x:c r="F1350" s="50" t="str">
        <x:v>WATCH</x:v>
      </x:c>
      <x:c r="G1350" s="50"/>
      <x:c r="H1350" s="50" t="str">
        <x:v>LONG</x:v>
      </x:c>
      <x:c r="I1350" s="71" t="n">
        <x:v>369.1</x:v>
      </x:c>
      <x:c r="J1350" s="76" t="str">
        <x:v>SIP</x:v>
      </x:c>
    </x:row>
    <x:row r="1351">
      <x:c r="A1351" s="50" t="str">
        <x:v>019fdd40-e25c-77ff-8c7d-8835b409b022</x:v>
      </x:c>
      <x:c r="B1351" s="50" t="str">
        <x:v>PM</x:v>
      </x:c>
      <x:c r="C1351" s="70" t="n">
        <x:v>46241.72505586805</x:v>
      </x:c>
      <x:c r="D1351" s="50" t="str">
        <x:v>LONG_BUY_ZONE</x:v>
      </x:c>
      <x:c r="E1351" s="50" t="str">
        <x:v>PM LONG BUY ZONE</x:v>
      </x:c>
      <x:c r="F1351" s="50" t="str">
        <x:v>WATCH</x:v>
      </x:c>
      <x:c r="G1351" s="50"/>
      <x:c r="H1351" s="50" t="str">
        <x:v>LONG</x:v>
      </x:c>
      <x:c r="I1351" s="71" t="n">
        <x:v>189.085</x:v>
      </x:c>
      <x:c r="J1351" s="76" t="str">
        <x:v>SIP</x:v>
      </x:c>
    </x:row>
    <x:row r="1352">
      <x:c r="A1352" s="50" t="str">
        <x:v>019fdd41-c6c6-79d9-acdb-31374ac5bf53</x:v>
      </x:c>
      <x:c r="B1352" s="50" t="str">
        <x:v>ECL</x:v>
      </x:c>
      <x:c r="C1352" s="70" t="n">
        <x:v>46241.72573266204</x:v>
      </x:c>
      <x:c r="D1352" s="50" t="str">
        <x:v>SWING_SETUP</x:v>
      </x:c>
      <x:c r="E1352" s="50" t="str">
        <x:v>ECL SWING SETUP</x:v>
      </x:c>
      <x:c r="F1352" s="50" t="str">
        <x:v>WATCH</x:v>
      </x:c>
      <x:c r="G1352" s="50"/>
      <x:c r="H1352" s="50" t="str">
        <x:v>LONG</x:v>
      </x:c>
      <x:c r="I1352" s="71" t="n">
        <x:v>285</x:v>
      </x:c>
      <x:c r="J1352" s="76" t="str">
        <x:v>SIP</x:v>
      </x:c>
    </x:row>
    <x:row r="1353">
      <x:c r="A1353" s="50" t="str">
        <x:v>019fdd41-c6d9-70cd-a528-c28e115a11bd</x:v>
      </x:c>
      <x:c r="B1353" s="50" t="str">
        <x:v>PFE</x:v>
      </x:c>
      <x:c r="C1353" s="70" t="n">
        <x:v>46241.72573288195</x:v>
      </x:c>
      <x:c r="D1353" s="50" t="str">
        <x:v>SWING_SETUP</x:v>
      </x:c>
      <x:c r="E1353" s="50" t="str">
        <x:v>PFE SWING SETUP</x:v>
      </x:c>
      <x:c r="F1353" s="50" t="str">
        <x:v>WATCH</x:v>
      </x:c>
      <x:c r="G1353" s="50"/>
      <x:c r="H1353" s="50" t="str">
        <x:v>LONG</x:v>
      </x:c>
      <x:c r="I1353" s="71" t="n">
        <x:v>26.475</x:v>
      </x:c>
      <x:c r="J1353" s="76" t="str">
        <x:v>SIP</x:v>
      </x:c>
    </x:row>
    <x:row r="1354">
      <x:c r="A1354" s="50" t="str">
        <x:v>019fdd41-c6fd-7632-aec6-4f85be17c906</x:v>
      </x:c>
      <x:c r="B1354" s="50" t="str">
        <x:v>JD</x:v>
      </x:c>
      <x:c r="C1354" s="70" t="n">
        <x:v>46241.72573329861</x:v>
      </x:c>
      <x:c r="D1354" s="50" t="str">
        <x:v>SWING_SETUP</x:v>
      </x:c>
      <x:c r="E1354" s="50" t="str">
        <x:v>JD SWING SETUP</x:v>
      </x:c>
      <x:c r="F1354" s="50" t="str">
        <x:v>WATCH</x:v>
      </x:c>
      <x:c r="G1354" s="50"/>
      <x:c r="H1354" s="50" t="str">
        <x:v>LONG</x:v>
      </x:c>
      <x:c r="I1354" s="71" t="n">
        <x:v>32.9095</x:v>
      </x:c>
      <x:c r="J1354" s="76" t="str">
        <x:v>SIP</x:v>
      </x:c>
    </x:row>
    <x:row r="1355">
      <x:c r="A1355" s="50" t="str">
        <x:v>019fdd41-c72d-7bba-af41-538f893ea2fb</x:v>
      </x:c>
      <x:c r="B1355" s="50" t="str">
        <x:v>BAC</x:v>
      </x:c>
      <x:c r="C1355" s="70" t="n">
        <x:v>46241.72573384259</x:v>
      </x:c>
      <x:c r="D1355" s="50" t="str">
        <x:v>SWING_SETUP</x:v>
      </x:c>
      <x:c r="E1355" s="50" t="str">
        <x:v>BAC SWING SETUP</x:v>
      </x:c>
      <x:c r="F1355" s="50" t="str">
        <x:v>WATCH</x:v>
      </x:c>
      <x:c r="G1355" s="50"/>
      <x:c r="H1355" s="50" t="str">
        <x:v>LONG</x:v>
      </x:c>
      <x:c r="I1355" s="71" t="n">
        <x:v>63.0302</x:v>
      </x:c>
      <x:c r="J1355" s="76" t="str">
        <x:v>SIP</x:v>
      </x:c>
    </x:row>
    <x:row r="1356">
      <x:c r="A1356" s="50" t="str">
        <x:v>019fdd41-c73b-73ad-a865-0c846b0d511b</x:v>
      </x:c>
      <x:c r="B1356" s="50" t="str">
        <x:v>JPM</x:v>
      </x:c>
      <x:c r="C1356" s="70" t="n">
        <x:v>46241.7257340162</x:v>
      </x:c>
      <x:c r="D1356" s="50" t="str">
        <x:v>SWING_SETUP</x:v>
      </x:c>
      <x:c r="E1356" s="50" t="str">
        <x:v>JPM SWING SETUP</x:v>
      </x:c>
      <x:c r="F1356" s="50" t="str">
        <x:v>WATCH</x:v>
      </x:c>
      <x:c r="G1356" s="50"/>
      <x:c r="H1356" s="50" t="str">
        <x:v>LONG</x:v>
      </x:c>
      <x:c r="I1356" s="71" t="n">
        <x:v>357.72</x:v>
      </x:c>
      <x:c r="J1356" s="76" t="str">
        <x:v>SIP</x:v>
      </x:c>
    </x:row>
    <x:row r="1357">
      <x:c r="A1357" s="50" t="str">
        <x:v>019fdd41-c91a-7139-a02d-50578b0de883</x:v>
      </x:c>
      <x:c r="B1357" s="50" t="str">
        <x:v>ECL</x:v>
      </x:c>
      <x:c r="C1357" s="70" t="n">
        <x:v>46241.725739560185</x:v>
      </x:c>
      <x:c r="D1357" s="50" t="str">
        <x:v>LONG_BUY_ZONE</x:v>
      </x:c>
      <x:c r="E1357" s="50" t="str">
        <x:v>ECL LONG BUY ZONE</x:v>
      </x:c>
      <x:c r="F1357" s="50" t="str">
        <x:v>WATCH</x:v>
      </x:c>
      <x:c r="G1357" s="50"/>
      <x:c r="H1357" s="50" t="str">
        <x:v>LONG</x:v>
      </x:c>
      <x:c r="I1357" s="71" t="n">
        <x:v>284.96</x:v>
      </x:c>
      <x:c r="J1357" s="76" t="str">
        <x:v>SIP</x:v>
      </x:c>
    </x:row>
    <x:row r="1358">
      <x:c r="A1358" s="50" t="str">
        <x:v>019fdd41-c9e5-7eb2-8a8f-f2aa26449577</x:v>
      </x:c>
      <x:c r="B1358" s="50" t="str">
        <x:v>PM</x:v>
      </x:c>
      <x:c r="C1358" s="70" t="n">
        <x:v>46241.72574190972</x:v>
      </x:c>
      <x:c r="D1358" s="50" t="str">
        <x:v>SWING_SETUP</x:v>
      </x:c>
      <x:c r="E1358" s="50" t="str">
        <x:v>PM SWING SETUP</x:v>
      </x:c>
      <x:c r="F1358" s="50" t="str">
        <x:v>WATCH</x:v>
      </x:c>
      <x:c r="G1358" s="50"/>
      <x:c r="H1358" s="50" t="str">
        <x:v>LONG</x:v>
      </x:c>
      <x:c r="I1358" s="71" t="n">
        <x:v>189.24</x:v>
      </x:c>
      <x:c r="J1358" s="76" t="str">
        <x:v>SIP</x:v>
      </x:c>
    </x:row>
    <x:row r="1359">
      <x:c r="A1359" s="50" t="str">
        <x:v>019fdd41-ceb3-7687-88d6-e1bcfdd693c8</x:v>
      </x:c>
      <x:c r="B1359" s="50" t="str">
        <x:v>HRL</x:v>
      </x:c>
      <x:c r="C1359" s="70" t="n">
        <x:v>46241.72575614583</x:v>
      </x:c>
      <x:c r="D1359" s="50" t="str">
        <x:v>LONG_BUY_ZONE</x:v>
      </x:c>
      <x:c r="E1359" s="50" t="str">
        <x:v>HRL LONG BUY ZONE</x:v>
      </x:c>
      <x:c r="F1359" s="50" t="str">
        <x:v>WATCH</x:v>
      </x:c>
      <x:c r="G1359" s="50"/>
      <x:c r="H1359" s="50" t="str">
        <x:v>LONG</x:v>
      </x:c>
      <x:c r="I1359" s="71" t="n">
        <x:v>25.195</x:v>
      </x:c>
      <x:c r="J1359" s="76" t="str">
        <x:v>SIP</x:v>
      </x:c>
    </x:row>
    <x:row r="1360">
      <x:c r="A1360" s="50" t="str">
        <x:v>019fdd41-cff6-7cd5-84ae-3044d254641a</x:v>
      </x:c>
      <x:c r="B1360" s="50" t="str">
        <x:v>RCL</x:v>
      </x:c>
      <x:c r="C1360" s="70" t="n">
        <x:v>46241.72575988426</x:v>
      </x:c>
      <x:c r="D1360" s="50" t="str">
        <x:v>LONG_BUY_ZONE</x:v>
      </x:c>
      <x:c r="E1360" s="50" t="str">
        <x:v>RCL LONG BUY ZONE</x:v>
      </x:c>
      <x:c r="F1360" s="50" t="str">
        <x:v>WATCH</x:v>
      </x:c>
      <x:c r="G1360" s="50"/>
      <x:c r="H1360" s="50" t="str">
        <x:v>LONG</x:v>
      </x:c>
      <x:c r="I1360" s="71" t="n">
        <x:v>319.96</x:v>
      </x:c>
      <x:c r="J1360" s="76" t="str">
        <x:v>SIP</x:v>
      </x:c>
    </x:row>
    <x:row r="1361">
      <x:c r="A1361" s="50" t="str">
        <x:v>019fdd42-af4f-77b7-a3d1-a61d228ef0bd</x:v>
      </x:c>
      <x:c r="B1361" s="50" t="str">
        <x:v>MMM</x:v>
      </x:c>
      <x:c r="C1361" s="70" t="n">
        <x:v>46241.72642165509</x:v>
      </x:c>
      <x:c r="D1361" s="50" t="str">
        <x:v>SWING_SETUP</x:v>
      </x:c>
      <x:c r="E1361" s="50" t="str">
        <x:v>MMM SWING SETUP</x:v>
      </x:c>
      <x:c r="F1361" s="50" t="str">
        <x:v>WATCH</x:v>
      </x:c>
      <x:c r="G1361" s="50"/>
      <x:c r="H1361" s="50" t="str">
        <x:v>LONG</x:v>
      </x:c>
      <x:c r="I1361" s="71" t="n">
        <x:v>182.925</x:v>
      </x:c>
      <x:c r="J1361" s="76" t="str">
        <x:v>SIP</x:v>
      </x:c>
    </x:row>
    <x:row r="1362">
      <x:c r="A1362" s="50" t="str">
        <x:v>019fdd42-af58-7c42-8d2c-aed2772f9fd7</x:v>
      </x:c>
      <x:c r="B1362" s="50" t="str">
        <x:v>ABT</x:v>
      </x:c>
      <x:c r="C1362" s="70" t="n">
        <x:v>46241.72642175926</x:v>
      </x:c>
      <x:c r="D1362" s="50" t="str">
        <x:v>SWING_SETUP</x:v>
      </x:c>
      <x:c r="E1362" s="50" t="str">
        <x:v>ABT SWING SETUP</x:v>
      </x:c>
      <x:c r="F1362" s="50" t="str">
        <x:v>WATCH</x:v>
      </x:c>
      <x:c r="G1362" s="50"/>
      <x:c r="H1362" s="50" t="str">
        <x:v>LONG</x:v>
      </x:c>
      <x:c r="I1362" s="71" t="n">
        <x:v>107.52</x:v>
      </x:c>
      <x:c r="J1362" s="76" t="str">
        <x:v>SIP</x:v>
      </x:c>
    </x:row>
    <x:row r="1363">
      <x:c r="A1363" s="50" t="str">
        <x:v>019fdd42-b084-7462-87d0-700063def0c9</x:v>
      </x:c>
      <x:c r="B1363" s="50" t="str">
        <x:v>RCL</x:v>
      </x:c>
      <x:c r="C1363" s="70" t="n">
        <x:v>46241.72642523148</x:v>
      </x:c>
      <x:c r="D1363" s="50" t="str">
        <x:v>SWING_SETUP</x:v>
      </x:c>
      <x:c r="E1363" s="50" t="str">
        <x:v>RCL SWING SETUP</x:v>
      </x:c>
      <x:c r="F1363" s="50" t="str">
        <x:v>WATCH</x:v>
      </x:c>
      <x:c r="G1363" s="50"/>
      <x:c r="H1363" s="50" t="str">
        <x:v>LONG</x:v>
      </x:c>
      <x:c r="I1363" s="71" t="n">
        <x:v>320.15</x:v>
      </x:c>
      <x:c r="J1363" s="76" t="str">
        <x:v>SIP</x:v>
      </x:c>
    </x:row>
    <x:row r="1364">
      <x:c r="A1364" s="50" t="str">
        <x:v>019fdd42-b0aa-722d-9482-27778c2b73f6</x:v>
      </x:c>
      <x:c r="B1364" s="50" t="str">
        <x:v>JNJ</x:v>
      </x:c>
      <x:c r="C1364" s="70" t="n">
        <x:v>46241.726425671295</x:v>
      </x:c>
      <x:c r="D1364" s="50" t="str">
        <x:v>LONG_BUY_ZONE</x:v>
      </x:c>
      <x:c r="E1364" s="50" t="str">
        <x:v>JNJ LONG BUY ZONE</x:v>
      </x:c>
      <x:c r="F1364" s="50" t="str">
        <x:v>WATCH</x:v>
      </x:c>
      <x:c r="G1364" s="50"/>
      <x:c r="H1364" s="50" t="str">
        <x:v>LONG</x:v>
      </x:c>
      <x:c r="I1364" s="71" t="n">
        <x:v>256.5</x:v>
      </x:c>
      <x:c r="J1364" s="76" t="str">
        <x:v>SIP</x:v>
      </x:c>
    </x:row>
    <x:row r="1365">
      <x:c r="A1365" s="50" t="str">
        <x:v>019fdd43-9f08-7dcd-81cf-8ded7737fd84</x:v>
      </x:c>
      <x:c r="B1365" s="50" t="str">
        <x:v>GS</x:v>
      </x:c>
      <x:c r="C1365" s="70" t="n">
        <x:v>46241.72713194445</x:v>
      </x:c>
      <x:c r="D1365" s="50" t="str">
        <x:v>LONG_BUY_ZONE</x:v>
      </x:c>
      <x:c r="E1365" s="50" t="str">
        <x:v>GS LONG BUY ZONE</x:v>
      </x:c>
      <x:c r="F1365" s="50" t="str">
        <x:v>WATCH</x:v>
      </x:c>
      <x:c r="G1365" s="50"/>
      <x:c r="H1365" s="50" t="str">
        <x:v>LONG</x:v>
      </x:c>
      <x:c r="I1365" s="71" t="n">
        <x:v>1040.28</x:v>
      </x:c>
      <x:c r="J1365" s="76" t="str">
        <x:v>SIP</x:v>
      </x:c>
    </x:row>
    <x:row r="1366">
      <x:c r="A1366" s="50" t="str">
        <x:v>019fdd46-56be-774e-8a61-d22c0a4cb830</x:v>
      </x:c>
      <x:c r="B1366" s="50" t="str">
        <x:v>VZ</x:v>
      </x:c>
      <x:c r="C1366" s="70" t="n">
        <x:v>46241.72919331019</x:v>
      </x:c>
      <x:c r="D1366" s="50" t="str">
        <x:v>LONG_BUY_ZONE</x:v>
      </x:c>
      <x:c r="E1366" s="50" t="str">
        <x:v>VZ LONG BUY ZONE</x:v>
      </x:c>
      <x:c r="F1366" s="50" t="str">
        <x:v>WATCH</x:v>
      </x:c>
      <x:c r="G1366" s="50"/>
      <x:c r="H1366" s="50" t="str">
        <x:v>LONG</x:v>
      </x:c>
      <x:c r="I1366" s="71" t="n">
        <x:v>46.94</x:v>
      </x:c>
      <x:c r="J1366" s="76" t="str">
        <x:v>SIP</x:v>
      </x:c>
    </x:row>
    <x:row r="1367">
      <x:c r="A1367" s="50" t="str">
        <x:v>019fdd47-4332-72dc-b42e-df300876d5e5</x:v>
      </x:c>
      <x:c r="B1367" s="50" t="str">
        <x:v>WFC</x:v>
      </x:c>
      <x:c r="C1367" s="70" t="n">
        <x:v>46241.72989391204</x:v>
      </x:c>
      <x:c r="D1367" s="50" t="str">
        <x:v>SWING_SETUP</x:v>
      </x:c>
      <x:c r="E1367" s="50" t="str">
        <x:v>WFC SWING SETUP</x:v>
      </x:c>
      <x:c r="F1367" s="50" t="str">
        <x:v>WATCH</x:v>
      </x:c>
      <x:c r="G1367" s="50"/>
      <x:c r="H1367" s="50" t="str">
        <x:v>LONG</x:v>
      </x:c>
      <x:c r="I1367" s="71" t="n">
        <x:v>86.91</x:v>
      </x:c>
      <x:c r="J1367" s="76" t="str">
        <x:v>SIP</x:v>
      </x:c>
    </x:row>
    <x:row r="1368">
      <x:c r="A1368" s="50" t="str">
        <x:v>019fdd47-460f-7f56-b4d3-4eb92a993410</x:v>
      </x:c>
      <x:c r="B1368" s="50" t="str">
        <x:v>GRAB</x:v>
      </x:c>
      <x:c r="C1368" s="70" t="n">
        <x:v>46241.72990239583</x:v>
      </x:c>
      <x:c r="D1368" s="50" t="str">
        <x:v>SWING_SETUP</x:v>
      </x:c>
      <x:c r="E1368" s="50" t="str">
        <x:v>GRAB SWING SETUP</x:v>
      </x:c>
      <x:c r="F1368" s="50" t="str">
        <x:v>WATCH</x:v>
      </x:c>
      <x:c r="G1368" s="50"/>
      <x:c r="H1368" s="50" t="str">
        <x:v>LONG</x:v>
      </x:c>
      <x:c r="I1368" s="71" t="n">
        <x:v>3.655</x:v>
      </x:c>
      <x:c r="J1368" s="76" t="str">
        <x:v>SIP</x:v>
      </x:c>
    </x:row>
    <x:row r="1369">
      <x:c r="A1369" s="50" t="str">
        <x:v>019fdd47-463a-7502-a966-5c1da034f31c</x:v>
      </x:c>
      <x:c r="B1369" s="50" t="str">
        <x:v>OXY</x:v>
      </x:c>
      <x:c r="C1369" s="70" t="n">
        <x:v>46241.729902893516</x:v>
      </x:c>
      <x:c r="D1369" s="50" t="str">
        <x:v>LONG_BUY_ZONE</x:v>
      </x:c>
      <x:c r="E1369" s="50" t="str">
        <x:v>OXY LONG BUY ZONE</x:v>
      </x:c>
      <x:c r="F1369" s="50" t="str">
        <x:v>WATCH</x:v>
      </x:c>
      <x:c r="G1369" s="50"/>
      <x:c r="H1369" s="50" t="str">
        <x:v>LONG</x:v>
      </x:c>
      <x:c r="I1369" s="71" t="n">
        <x:v>56.42</x:v>
      </x:c>
      <x:c r="J1369" s="76" t="str">
        <x:v>SIP</x:v>
      </x:c>
    </x:row>
    <x:row r="1370">
      <x:c r="A1370" s="50" t="str">
        <x:v>019fdd47-4993-7d78-9117-bec24d735723</x:v>
      </x:c>
      <x:c r="B1370" s="50" t="str">
        <x:v>RTX</x:v>
      </x:c>
      <x:c r="C1370" s="70" t="n">
        <x:v>46241.7299128125</x:v>
      </x:c>
      <x:c r="D1370" s="50" t="str">
        <x:v>SWING_SETUP</x:v>
      </x:c>
      <x:c r="E1370" s="50" t="str">
        <x:v>RTX SWING SETUP</x:v>
      </x:c>
      <x:c r="F1370" s="50" t="str">
        <x:v>WATCH</x:v>
      </x:c>
      <x:c r="G1370" s="50"/>
      <x:c r="H1370" s="50" t="str">
        <x:v>LONG</x:v>
      </x:c>
      <x:c r="I1370" s="71" t="n">
        <x:v>222.38</x:v>
      </x:c>
      <x:c r="J1370" s="76" t="str">
        <x:v>SIP</x:v>
      </x:c>
    </x:row>
    <x:row r="1371">
      <x:c r="A1371" s="50" t="str">
        <x:v>019fdd47-49cf-79b2-8302-281d4d162276</x:v>
      </x:c>
      <x:c r="B1371" s="50" t="str">
        <x:v>AMGN</x:v>
      </x:c>
      <x:c r="C1371" s="70" t="n">
        <x:v>46241.72991350695</x:v>
      </x:c>
      <x:c r="D1371" s="50" t="str">
        <x:v>SWING_SETUP</x:v>
      </x:c>
      <x:c r="E1371" s="50" t="str">
        <x:v>AMGN SWING SETUP</x:v>
      </x:c>
      <x:c r="F1371" s="50" t="str">
        <x:v>WATCH</x:v>
      </x:c>
      <x:c r="G1371" s="50"/>
      <x:c r="H1371" s="50" t="str">
        <x:v>LONG</x:v>
      </x:c>
      <x:c r="I1371" s="71" t="n">
        <x:v>407.12</x:v>
      </x:c>
      <x:c r="J1371" s="76" t="str">
        <x:v>SIP</x:v>
      </x:c>
    </x:row>
    <x:row r="1372">
      <x:c r="A1372" s="50" t="str">
        <x:v>019fdd47-4a12-7858-b83d-cd966a4837cf</x:v>
      </x:c>
      <x:c r="B1372" s="50" t="str">
        <x:v>UEC</x:v>
      </x:c>
      <x:c r="C1372" s="70" t="n">
        <x:v>46241.729914282405</x:v>
      </x:c>
      <x:c r="D1372" s="50" t="str">
        <x:v>SWING_SETUP</x:v>
      </x:c>
      <x:c r="E1372" s="50" t="str">
        <x:v>UEC SWING SETUP</x:v>
      </x:c>
      <x:c r="F1372" s="50" t="str">
        <x:v>WATCH</x:v>
      </x:c>
      <x:c r="G1372" s="50"/>
      <x:c r="H1372" s="50" t="str">
        <x:v>LONG</x:v>
      </x:c>
      <x:c r="I1372" s="71" t="n">
        <x:v>11.2669</x:v>
      </x:c>
      <x:c r="J1372" s="76" t="str">
        <x:v>SIP</x:v>
      </x:c>
    </x:row>
    <x:row r="1373">
      <x:c r="A1373" s="50" t="str">
        <x:v>019fdd48-2b21-70db-b6f6-c92ad7345ee5</x:v>
      </x:c>
      <x:c r="B1373" s="50" t="str">
        <x:v>NOVT</x:v>
      </x:c>
      <x:c r="C1373" s="70" t="n">
        <x:v>46241.73058112268</x:v>
      </x:c>
      <x:c r="D1373" s="50" t="str">
        <x:v>SWING_SETUP</x:v>
      </x:c>
      <x:c r="E1373" s="50" t="str">
        <x:v>NOVT SWING SETUP</x:v>
      </x:c>
      <x:c r="F1373" s="50" t="str">
        <x:v>WATCH</x:v>
      </x:c>
      <x:c r="G1373" s="50"/>
      <x:c r="H1373" s="50" t="str">
        <x:v>LONG</x:v>
      </x:c>
      <x:c r="I1373" s="71" t="n">
        <x:v>169.49</x:v>
      </x:c>
      <x:c r="J1373" s="76" t="str">
        <x:v>SIP</x:v>
      </x:c>
    </x:row>
    <x:row r="1374">
      <x:c r="A1374" s="50" t="str">
        <x:v>019fdd48-3557-73bc-931a-75bc63685f46</x:v>
      </x:c>
      <x:c r="B1374" s="50" t="str">
        <x:v>KDP</x:v>
      </x:c>
      <x:c r="C1374" s="70" t="n">
        <x:v>46241.73061136574</x:v>
      </x:c>
      <x:c r="D1374" s="50" t="str">
        <x:v>LONG_BUY_ZONE</x:v>
      </x:c>
      <x:c r="E1374" s="50" t="str">
        <x:v>KDP LONG BUY ZONE</x:v>
      </x:c>
      <x:c r="F1374" s="50" t="str">
        <x:v>WATCH</x:v>
      </x:c>
      <x:c r="G1374" s="50"/>
      <x:c r="H1374" s="50" t="str">
        <x:v>LONG</x:v>
      </x:c>
      <x:c r="I1374" s="71" t="n">
        <x:v>30.05</x:v>
      </x:c>
      <x:c r="J1374" s="76" t="str">
        <x:v>SIP</x:v>
      </x:c>
    </x:row>
    <x:row r="1375">
      <x:c r="A1375" s="50" t="str">
        <x:v>019fdd49-1834-71c3-9154-d4c18c8072cb</x:v>
      </x:c>
      <x:c r="B1375" s="50" t="str">
        <x:v>AMZN</x:v>
      </x:c>
      <x:c r="C1375" s="70" t="n">
        <x:v>46241.73128356481</x:v>
      </x:c>
      <x:c r="D1375" s="50" t="str">
        <x:v>SWING_SETUP</x:v>
      </x:c>
      <x:c r="E1375" s="50" t="str">
        <x:v>AMZN SWING SETUP</x:v>
      </x:c>
      <x:c r="F1375" s="50" t="str">
        <x:v>WATCH</x:v>
      </x:c>
      <x:c r="G1375" s="50"/>
      <x:c r="H1375" s="50" t="str">
        <x:v>LONG</x:v>
      </x:c>
      <x:c r="I1375" s="71" t="n">
        <x:v>274.345</x:v>
      </x:c>
      <x:c r="J1375" s="76" t="str">
        <x:v>SIP</x:v>
      </x:c>
    </x:row>
    <x:row r="1376">
      <x:c r="A1376" s="50" t="str">
        <x:v>019fdd49-1925-7beb-b2b0-fa274620bef8</x:v>
      </x:c>
      <x:c r="B1376" s="50" t="str">
        <x:v>MRK</x:v>
      </x:c>
      <x:c r="C1376" s="70" t="n">
        <x:v>46241.73128635417</x:v>
      </x:c>
      <x:c r="D1376" s="50" t="str">
        <x:v>SWING_SETUP</x:v>
      </x:c>
      <x:c r="E1376" s="50" t="str">
        <x:v>MRK SWING SETUP</x:v>
      </x:c>
      <x:c r="F1376" s="50" t="str">
        <x:v>WATCH</x:v>
      </x:c>
      <x:c r="G1376" s="50"/>
      <x:c r="H1376" s="50" t="str">
        <x:v>LONG</x:v>
      </x:c>
      <x:c r="I1376" s="71" t="n">
        <x:v>128.065</x:v>
      </x:c>
      <x:c r="J1376" s="76" t="str">
        <x:v>SIP</x:v>
      </x:c>
    </x:row>
    <x:row r="1377">
      <x:c r="A1377" s="50" t="str">
        <x:v>019fdd49-1a31-7fd3-b96d-f651a32d5428</x:v>
      </x:c>
      <x:c r="B1377" s="50" t="str">
        <x:v>XOM</x:v>
      </x:c>
      <x:c r="C1377" s="70" t="n">
        <x:v>46241.73128944445</x:v>
      </x:c>
      <x:c r="D1377" s="50" t="str">
        <x:v>SWING_SETUP</x:v>
      </x:c>
      <x:c r="E1377" s="50" t="str">
        <x:v>XOM SWING SETUP</x:v>
      </x:c>
      <x:c r="F1377" s="50" t="str">
        <x:v>WATCH</x:v>
      </x:c>
      <x:c r="G1377" s="50"/>
      <x:c r="H1377" s="50" t="str">
        <x:v>LONG</x:v>
      </x:c>
      <x:c r="I1377" s="71" t="n">
        <x:v>153.3</x:v>
      </x:c>
      <x:c r="J1377" s="76" t="str">
        <x:v>SIP</x:v>
      </x:c>
    </x:row>
    <x:row r="1378">
      <x:c r="A1378" s="50" t="str">
        <x:v>019fdd4a-0543-7f28-b309-d950c0cdfec6</x:v>
      </x:c>
      <x:c r="B1378" s="50" t="str">
        <x:v>SNOW</x:v>
      </x:c>
      <x:c r="C1378" s="70" t="n">
        <x:v>46241.73198596065</x:v>
      </x:c>
      <x:c r="D1378" s="50" t="str">
        <x:v>SWING_SETUP</x:v>
      </x:c>
      <x:c r="E1378" s="50" t="str">
        <x:v>SNOW SWING SETUP</x:v>
      </x:c>
      <x:c r="F1378" s="50" t="str">
        <x:v>WATCH</x:v>
      </x:c>
      <x:c r="G1378" s="50"/>
      <x:c r="H1378" s="50" t="str">
        <x:v>LONG</x:v>
      </x:c>
      <x:c r="I1378" s="71" t="n">
        <x:v>325.67</x:v>
      </x:c>
      <x:c r="J1378" s="76" t="str">
        <x:v>SIP</x:v>
      </x:c>
    </x:row>
    <x:row r="1379">
      <x:c r="A1379" s="50" t="str">
        <x:v>019fdd4a-0678-7f68-8918-f61094037303</x:v>
      </x:c>
      <x:c r="B1379" s="50" t="str">
        <x:v>RDW</x:v>
      </x:c>
      <x:c r="C1379" s="70" t="n">
        <x:v>46241.73198953704</x:v>
      </x:c>
      <x:c r="D1379" s="50" t="str">
        <x:v>SWING_SETUP</x:v>
      </x:c>
      <x:c r="E1379" s="50" t="str">
        <x:v>RDW SWING SETUP</x:v>
      </x:c>
      <x:c r="F1379" s="50" t="str">
        <x:v>WATCH</x:v>
      </x:c>
      <x:c r="G1379" s="50"/>
      <x:c r="H1379" s="50" t="str">
        <x:v>LONG</x:v>
      </x:c>
      <x:c r="I1379" s="71" t="n">
        <x:v>13.445</x:v>
      </x:c>
      <x:c r="J1379" s="76" t="str">
        <x:v>SIP</x:v>
      </x:c>
    </x:row>
    <x:row r="1380">
      <x:c r="A1380" s="50" t="str">
        <x:v>019fdd4a-7e10-7f3b-92d0-7fd954e72f60</x:v>
      </x:c>
      <x:c r="B1380" s="50" t="str">
        <x:v>ABNB</x:v>
      </x:c>
      <x:c r="C1380" s="70" t="n">
        <x:v>46241.73234388889</x:v>
      </x:c>
      <x:c r="D1380" s="50" t="str">
        <x:v>SWING_SETUP</x:v>
      </x:c>
      <x:c r="E1380" s="50" t="str">
        <x:v>ABNB SWING SETUP</x:v>
      </x:c>
      <x:c r="F1380" s="50" t="str">
        <x:v>WATCH</x:v>
      </x:c>
      <x:c r="G1380" s="50"/>
      <x:c r="H1380" s="50" t="str">
        <x:v>LONG</x:v>
      </x:c>
      <x:c r="I1380" s="71" t="n">
        <x:v>173.77</x:v>
      </x:c>
      <x:c r="J1380" s="76" t="str">
        <x:v>SIP</x:v>
      </x:c>
    </x:row>
    <x:row r="1381">
      <x:c r="A1381" s="50" t="str">
        <x:v>019fdd4a-f062-7e43-aa68-8180a879c46f</x:v>
      </x:c>
      <x:c r="B1381" s="50" t="str">
        <x:v>NOC</x:v>
      </x:c>
      <x:c r="C1381" s="70" t="n">
        <x:v>46241.73268260417</x:v>
      </x:c>
      <x:c r="D1381" s="50" t="str">
        <x:v>SWING_SETUP</x:v>
      </x:c>
      <x:c r="E1381" s="50" t="str">
        <x:v>NOC SWING SETUP</x:v>
      </x:c>
      <x:c r="F1381" s="50" t="str">
        <x:v>WATCH</x:v>
      </x:c>
      <x:c r="G1381" s="50"/>
      <x:c r="H1381" s="50" t="str">
        <x:v>LONG</x:v>
      </x:c>
      <x:c r="I1381" s="71" t="n">
        <x:v>569.155</x:v>
      </x:c>
      <x:c r="J1381" s="76" t="str">
        <x:v>SIP</x:v>
      </x:c>
    </x:row>
    <x:row r="1382">
      <x:c r="A1382" s="50" t="str">
        <x:v>019fdd4a-f12b-793f-a37c-87bd3c438b8b</x:v>
      </x:c>
      <x:c r="B1382" s="50" t="str">
        <x:v>PSX</x:v>
      </x:c>
      <x:c r="C1382" s="70" t="n">
        <x:v>46241.73268494213</x:v>
      </x:c>
      <x:c r="D1382" s="50" t="str">
        <x:v>SWING_SETUP</x:v>
      </x:c>
      <x:c r="E1382" s="50" t="str">
        <x:v>PSX SWING SETUP</x:v>
      </x:c>
      <x:c r="F1382" s="50" t="str">
        <x:v>WATCH</x:v>
      </x:c>
      <x:c r="G1382" s="50"/>
      <x:c r="H1382" s="50" t="str">
        <x:v>LONG</x:v>
      </x:c>
      <x:c r="I1382" s="71" t="n">
        <x:v>205.62</x:v>
      </x:c>
      <x:c r="J1382" s="76" t="str">
        <x:v>SIP</x:v>
      </x:c>
    </x:row>
    <x:row r="1383">
      <x:c r="A1383" s="50" t="str">
        <x:v>019fdd4a-f8b9-78fb-914a-c15cd887cad2</x:v>
      </x:c>
      <x:c r="B1383" s="50" t="str">
        <x:v>APH</x:v>
      </x:c>
      <x:c r="C1383" s="70" t="n">
        <x:v>46241.73270732639</x:v>
      </x:c>
      <x:c r="D1383" s="50" t="str">
        <x:v>LONG_BUY_ZONE</x:v>
      </x:c>
      <x:c r="E1383" s="50" t="str">
        <x:v>APH LONG BUY ZONE</x:v>
      </x:c>
      <x:c r="F1383" s="50" t="str">
        <x:v>WATCH</x:v>
      </x:c>
      <x:c r="G1383" s="50"/>
      <x:c r="H1383" s="50" t="str">
        <x:v>LONG</x:v>
      </x:c>
      <x:c r="I1383" s="71" t="n">
        <x:v>167.74</x:v>
      </x:c>
      <x:c r="J1383" s="76" t="str">
        <x:v>SIP</x:v>
      </x:c>
    </x:row>
    <x:row r="1384">
      <x:c r="A1384" s="50" t="str">
        <x:v>019fdd4c-c1d5-7e6e-8dea-1285c3eac21c</x:v>
      </x:c>
      <x:c r="B1384" s="50" t="str">
        <x:v>INTU</x:v>
      </x:c>
      <x:c r="C1384" s="70" t="n">
        <x:v>46241.734061724535</x:v>
      </x:c>
      <x:c r="D1384" s="50" t="str">
        <x:v>SWING_SETUP</x:v>
      </x:c>
      <x:c r="E1384" s="50" t="str">
        <x:v>INTU SWING SETUP</x:v>
      </x:c>
      <x:c r="F1384" s="50" t="str">
        <x:v>WATCH</x:v>
      </x:c>
      <x:c r="G1384" s="50"/>
      <x:c r="H1384" s="50" t="str">
        <x:v>LONG</x:v>
      </x:c>
      <x:c r="I1384" s="71" t="n">
        <x:v>328.26</x:v>
      </x:c>
      <x:c r="J1384" s="76" t="str">
        <x:v>SIP</x:v>
      </x:c>
    </x:row>
    <x:row r="1385">
      <x:c r="A1385" s="50" t="str">
        <x:v>019fdd4c-c4cf-706b-aca3-f266feb6b856</x:v>
      </x:c>
      <x:c r="B1385" s="50" t="str">
        <x:v>SBUX</x:v>
      </x:c>
      <x:c r="C1385" s="70" t="n">
        <x:v>46241.73407054398</x:v>
      </x:c>
      <x:c r="D1385" s="50" t="str">
        <x:v>LONG_BUY_ZONE</x:v>
      </x:c>
      <x:c r="E1385" s="50" t="str">
        <x:v>SBUX LONG BUY ZONE</x:v>
      </x:c>
      <x:c r="F1385" s="50" t="str">
        <x:v>WATCH</x:v>
      </x:c>
      <x:c r="G1385" s="50"/>
      <x:c r="H1385" s="50" t="str">
        <x:v>LONG</x:v>
      </x:c>
      <x:c r="I1385" s="71" t="n">
        <x:v>106.39</x:v>
      </x:c>
      <x:c r="J1385" s="76" t="str">
        <x:v>SIP</x:v>
      </x:c>
    </x:row>
    <x:row r="1386">
      <x:c r="A1386" s="50" t="str">
        <x:v>019fdd4c-caf8-7014-b4bc-7deac61f5767</x:v>
      </x:c>
      <x:c r="B1386" s="50" t="str">
        <x:v>MRK</x:v>
      </x:c>
      <x:c r="C1386" s="70" t="n">
        <x:v>46241.73408879629</x:v>
      </x:c>
      <x:c r="D1386" s="50" t="str">
        <x:v>LONG_BUY_ZONE</x:v>
      </x:c>
      <x:c r="E1386" s="50" t="str">
        <x:v>MRK LONG BUY ZONE</x:v>
      </x:c>
      <x:c r="F1386" s="50" t="str">
        <x:v>WATCH</x:v>
      </x:c>
      <x:c r="G1386" s="50"/>
      <x:c r="H1386" s="50" t="str">
        <x:v>LONG</x:v>
      </x:c>
      <x:c r="I1386" s="71" t="n">
        <x:v>128.0482</x:v>
      </x:c>
      <x:c r="J1386" s="76" t="str">
        <x:v>SIP</x:v>
      </x:c>
    </x:row>
    <x:row r="1387">
      <x:c r="A1387" s="50" t="str">
        <x:v>019fdd4d-a9b8-7e0e-ba1f-5e4fd60b8286</x:v>
      </x:c>
      <x:c r="B1387" s="50" t="str">
        <x:v>MDLZ</x:v>
      </x:c>
      <x:c r="C1387" s="70" t="n">
        <x:v>46241.7347487963</x:v>
      </x:c>
      <x:c r="D1387" s="50" t="str">
        <x:v>SWING_SETUP</x:v>
      </x:c>
      <x:c r="E1387" s="50" t="str">
        <x:v>MDLZ SWING SETUP</x:v>
      </x:c>
      <x:c r="F1387" s="50" t="str">
        <x:v>WATCH</x:v>
      </x:c>
      <x:c r="G1387" s="50"/>
      <x:c r="H1387" s="50" t="str">
        <x:v>LONG</x:v>
      </x:c>
      <x:c r="I1387" s="71" t="n">
        <x:v>62.92</x:v>
      </x:c>
      <x:c r="J1387" s="76" t="str">
        <x:v>SIP</x:v>
      </x:c>
    </x:row>
    <x:row r="1388">
      <x:c r="A1388" s="50" t="str">
        <x:v>019fdd4d-a9c2-7f39-94de-f6ec54ced94d</x:v>
      </x:c>
      <x:c r="B1388" s="50" t="str">
        <x:v>VZ</x:v>
      </x:c>
      <x:c r="C1388" s="70" t="n">
        <x:v>46241.73474891204</x:v>
      </x:c>
      <x:c r="D1388" s="50" t="str">
        <x:v>SWING_SETUP</x:v>
      </x:c>
      <x:c r="E1388" s="50" t="str">
        <x:v>VZ SWING SETUP</x:v>
      </x:c>
      <x:c r="F1388" s="50" t="str">
        <x:v>WATCH</x:v>
      </x:c>
      <x:c r="G1388" s="50"/>
      <x:c r="H1388" s="50" t="str">
        <x:v>LONG</x:v>
      </x:c>
      <x:c r="I1388" s="71" t="n">
        <x:v>46.94</x:v>
      </x:c>
      <x:c r="J1388" s="76" t="str">
        <x:v>SIP</x:v>
      </x:c>
    </x:row>
    <x:row r="1389">
      <x:c r="A1389" s="50" t="str">
        <x:v>019fdd4d-a9d6-7e49-9d15-0aaca8b7c909</x:v>
      </x:c>
      <x:c r="B1389" s="50" t="str">
        <x:v>UNP</x:v>
      </x:c>
      <x:c r="C1389" s="70" t="n">
        <x:v>46241.73474914352</x:v>
      </x:c>
      <x:c r="D1389" s="50" t="str">
        <x:v>SWING_SETUP</x:v>
      </x:c>
      <x:c r="E1389" s="50" t="str">
        <x:v>UNP SWING SETUP</x:v>
      </x:c>
      <x:c r="F1389" s="50" t="str">
        <x:v>WATCH</x:v>
      </x:c>
      <x:c r="G1389" s="50"/>
      <x:c r="H1389" s="50" t="str">
        <x:v>LONG</x:v>
      </x:c>
      <x:c r="I1389" s="71" t="n">
        <x:v>296.67</x:v>
      </x:c>
      <x:c r="J1389" s="76" t="str">
        <x:v>SIP</x:v>
      </x:c>
    </x:row>
    <x:row r="1390">
      <x:c r="A1390" s="50" t="str">
        <x:v>019fdd4d-a9e2-7244-ac35-a20596e6cafe</x:v>
      </x:c>
      <x:c r="B1390" s="50" t="str">
        <x:v>OXY</x:v>
      </x:c>
      <x:c r="C1390" s="70" t="n">
        <x:v>46241.734749282405</x:v>
      </x:c>
      <x:c r="D1390" s="50" t="str">
        <x:v>SWING_SETUP</x:v>
      </x:c>
      <x:c r="E1390" s="50" t="str">
        <x:v>OXY SWING SETUP</x:v>
      </x:c>
      <x:c r="F1390" s="50" t="str">
        <x:v>WATCH</x:v>
      </x:c>
      <x:c r="G1390" s="50"/>
      <x:c r="H1390" s="50" t="str">
        <x:v>LONG</x:v>
      </x:c>
      <x:c r="I1390" s="71" t="n">
        <x:v>56.405</x:v>
      </x:c>
      <x:c r="J1390" s="76" t="str">
        <x:v>SIP</x:v>
      </x:c>
    </x:row>
    <x:row r="1391">
      <x:c r="A1391" s="50" t="str">
        <x:v>019fdd4d-a9ff-72fb-beed-cb3ea7864d6a</x:v>
      </x:c>
      <x:c r="B1391" s="50" t="str">
        <x:v>COP</x:v>
      </x:c>
      <x:c r="C1391" s="70" t="n">
        <x:v>46241.73474961806</x:v>
      </x:c>
      <x:c r="D1391" s="50" t="str">
        <x:v>SWING_SETUP</x:v>
      </x:c>
      <x:c r="E1391" s="50" t="str">
        <x:v>COP SWING SETUP</x:v>
      </x:c>
      <x:c r="F1391" s="50" t="str">
        <x:v>WATCH</x:v>
      </x:c>
      <x:c r="G1391" s="50"/>
      <x:c r="H1391" s="50" t="str">
        <x:v>LONG</x:v>
      </x:c>
      <x:c r="I1391" s="71" t="n">
        <x:v>118.21</x:v>
      </x:c>
      <x:c r="J1391" s="76" t="str">
        <x:v>SIP</x:v>
      </x:c>
    </x:row>
    <x:row r="1392">
      <x:c r="A1392" s="50" t="str">
        <x:v>019fdd4d-aa28-7f2b-8a6c-8126ce78b8dd</x:v>
      </x:c>
      <x:c r="B1392" s="50" t="str">
        <x:v>SBUX</x:v>
      </x:c>
      <x:c r="C1392" s="70" t="n">
        <x:v>46241.73475009259</x:v>
      </x:c>
      <x:c r="D1392" s="50" t="str">
        <x:v>SWING_SETUP</x:v>
      </x:c>
      <x:c r="E1392" s="50" t="str">
        <x:v>SBUX SWING SETUP</x:v>
      </x:c>
      <x:c r="F1392" s="50" t="str">
        <x:v>WATCH</x:v>
      </x:c>
      <x:c r="G1392" s="50"/>
      <x:c r="H1392" s="50" t="str">
        <x:v>LONG</x:v>
      </x:c>
      <x:c r="I1392" s="71" t="n">
        <x:v>106.28</x:v>
      </x:c>
      <x:c r="J1392" s="76" t="str">
        <x:v>SIP</x:v>
      </x:c>
    </x:row>
    <x:row r="1393">
      <x:c r="A1393" s="50" t="str">
        <x:v>019fdd4d-abe5-7b52-872c-830152cdab48</x:v>
      </x:c>
      <x:c r="B1393" s="50" t="str">
        <x:v>BMY</x:v>
      </x:c>
      <x:c r="C1393" s="70" t="n">
        <x:v>46241.73475524306</x:v>
      </x:c>
      <x:c r="D1393" s="50" t="str">
        <x:v>SWING_SETUP</x:v>
      </x:c>
      <x:c r="E1393" s="50" t="str">
        <x:v>BMY SWING SETUP</x:v>
      </x:c>
      <x:c r="F1393" s="50" t="str">
        <x:v>WATCH</x:v>
      </x:c>
      <x:c r="G1393" s="50"/>
      <x:c r="H1393" s="50" t="str">
        <x:v>LONG</x:v>
      </x:c>
      <x:c r="I1393" s="71" t="n">
        <x:v>64.185</x:v>
      </x:c>
      <x:c r="J1393" s="76" t="str">
        <x:v>SIP</x:v>
      </x:c>
    </x:row>
    <x:row r="1394">
      <x:c r="A1394" s="50" t="str">
        <x:v>019fdd4d-aca1-76b9-81f0-2b0bc823e11a</x:v>
      </x:c>
      <x:c r="B1394" s="50" t="str">
        <x:v>SCHW</x:v>
      </x:c>
      <x:c r="C1394" s="70" t="n">
        <x:v>46241.734757418984</x:v>
      </x:c>
      <x:c r="D1394" s="50" t="str">
        <x:v>SWING_SETUP</x:v>
      </x:c>
      <x:c r="E1394" s="50" t="str">
        <x:v>SCHW SWING SETUP</x:v>
      </x:c>
      <x:c r="F1394" s="50" t="str">
        <x:v>WATCH</x:v>
      </x:c>
      <x:c r="G1394" s="50"/>
      <x:c r="H1394" s="50" t="str">
        <x:v>LONG</x:v>
      </x:c>
      <x:c r="I1394" s="71" t="n">
        <x:v>107.04</x:v>
      </x:c>
      <x:c r="J1394" s="76" t="str">
        <x:v>SIP</x:v>
      </x:c>
    </x:row>
    <x:row r="1395">
      <x:c r="A1395" s="50" t="str">
        <x:v>019fdd4d-acb0-7996-98be-eb221b154d54</x:v>
      </x:c>
      <x:c r="B1395" s="50" t="str">
        <x:v>PLTR</x:v>
      </x:c>
      <x:c r="C1395" s="70" t="n">
        <x:v>46241.734757592596</x:v>
      </x:c>
      <x:c r="D1395" s="50" t="str">
        <x:v>SWING_SETUP</x:v>
      </x:c>
      <x:c r="E1395" s="50" t="str">
        <x:v>PLTR SWING SETUP</x:v>
      </x:c>
      <x:c r="F1395" s="50" t="str">
        <x:v>WATCH</x:v>
      </x:c>
      <x:c r="G1395" s="50"/>
      <x:c r="H1395" s="50" t="str">
        <x:v>LONG</x:v>
      </x:c>
      <x:c r="I1395" s="71" t="n">
        <x:v>171.15</x:v>
      </x:c>
      <x:c r="J1395" s="76" t="str">
        <x:v>SIP</x:v>
      </x:c>
    </x:row>
    <x:row r="1396">
      <x:c r="A1396" s="50" t="str">
        <x:v>019fdd4d-adf7-7ddc-b464-37387da9cab9</x:v>
      </x:c>
      <x:c r="B1396" s="50" t="str">
        <x:v>LMT</x:v>
      </x:c>
      <x:c r="C1396" s="70" t="n">
        <x:v>46241.73476136574</x:v>
      </x:c>
      <x:c r="D1396" s="50" t="str">
        <x:v>SWING_SETUP</x:v>
      </x:c>
      <x:c r="E1396" s="50" t="str">
        <x:v>LMT SWING SETUP</x:v>
      </x:c>
      <x:c r="F1396" s="50" t="str">
        <x:v>WATCH</x:v>
      </x:c>
      <x:c r="G1396" s="50"/>
      <x:c r="H1396" s="50" t="str">
        <x:v>LONG</x:v>
      </x:c>
      <x:c r="I1396" s="71" t="n">
        <x:v>584.3301</x:v>
      </x:c>
      <x:c r="J1396" s="76" t="str">
        <x:v>SIP</x:v>
      </x:c>
    </x:row>
    <x:row r="1397">
      <x:c r="A1397" s="50" t="str">
        <x:v>019fdd4d-ae31-767e-91e5-9f8a4b60a3fb</x:v>
      </x:c>
      <x:c r="B1397" s="50" t="str">
        <x:v>APA</x:v>
      </x:c>
      <x:c r="C1397" s="70" t="n">
        <x:v>46241.73476204861</x:v>
      </x:c>
      <x:c r="D1397" s="50" t="str">
        <x:v>SWING_SETUP</x:v>
      </x:c>
      <x:c r="E1397" s="50" t="str">
        <x:v>APA SWING SETUP</x:v>
      </x:c>
      <x:c r="F1397" s="50" t="str">
        <x:v>WATCH</x:v>
      </x:c>
      <x:c r="G1397" s="50"/>
      <x:c r="H1397" s="50" t="str">
        <x:v>LONG</x:v>
      </x:c>
      <x:c r="I1397" s="71" t="n">
        <x:v>37.88</x:v>
      </x:c>
      <x:c r="J1397" s="76" t="str">
        <x:v>SIP</x:v>
      </x:c>
    </x:row>
    <x:row r="1398">
      <x:c r="A1398" s="50" t="str">
        <x:v>019fdd4d-ae39-7ca8-a0a9-40112c55bc14</x:v>
      </x:c>
      <x:c r="B1398" s="50" t="str">
        <x:v>WELL</x:v>
      </x:c>
      <x:c r="C1398" s="70" t="n">
        <x:v>46241.734762141205</x:v>
      </x:c>
      <x:c r="D1398" s="50" t="str">
        <x:v>SWING_SETUP</x:v>
      </x:c>
      <x:c r="E1398" s="50" t="str">
        <x:v>WELL SWING SETUP</x:v>
      </x:c>
      <x:c r="F1398" s="50" t="str">
        <x:v>WATCH</x:v>
      </x:c>
      <x:c r="G1398" s="50"/>
      <x:c r="H1398" s="50" t="str">
        <x:v>LONG</x:v>
      </x:c>
      <x:c r="I1398" s="71" t="n">
        <x:v>236.03</x:v>
      </x:c>
      <x:c r="J1398" s="76" t="str">
        <x:v>SIP</x:v>
      </x:c>
    </x:row>
    <x:row r="1399">
      <x:c r="A1399" s="50" t="str">
        <x:v>019fdd4d-ae42-745f-a0c0-096a97898033</x:v>
      </x:c>
      <x:c r="B1399" s="50" t="str">
        <x:v>DASH</x:v>
      </x:c>
      <x:c r="C1399" s="70" t="n">
        <x:v>46241.73476224537</x:v>
      </x:c>
      <x:c r="D1399" s="50" t="str">
        <x:v>SWING_SETUP</x:v>
      </x:c>
      <x:c r="E1399" s="50" t="str">
        <x:v>DASH SWING SETUP</x:v>
      </x:c>
      <x:c r="F1399" s="50" t="str">
        <x:v>WATCH</x:v>
      </x:c>
      <x:c r="G1399" s="50"/>
      <x:c r="H1399" s="50" t="str">
        <x:v>LONG</x:v>
      </x:c>
      <x:c r="I1399" s="71" t="n">
        <x:v>220.32</x:v>
      </x:c>
      <x:c r="J1399" s="76" t="str">
        <x:v>SIP</x:v>
      </x:c>
    </x:row>
    <x:row r="1400">
      <x:c r="A1400" s="50" t="str">
        <x:v>019fdd4d-ae68-7673-8e87-85fb356058ce</x:v>
      </x:c>
      <x:c r="B1400" s="50" t="str">
        <x:v>DLR</x:v>
      </x:c>
      <x:c r="C1400" s="70" t="n">
        <x:v>46241.734762685184</x:v>
      </x:c>
      <x:c r="D1400" s="50" t="str">
        <x:v>SWING_SETUP</x:v>
      </x:c>
      <x:c r="E1400" s="50" t="str">
        <x:v>DLR SWING SETUP</x:v>
      </x:c>
      <x:c r="F1400" s="50" t="str">
        <x:v>WATCH</x:v>
      </x:c>
      <x:c r="G1400" s="50"/>
      <x:c r="H1400" s="50" t="str">
        <x:v>LONG</x:v>
      </x:c>
      <x:c r="I1400" s="71" t="n">
        <x:v>194.335</x:v>
      </x:c>
      <x:c r="J1400" s="76" t="str">
        <x:v>SIP</x:v>
      </x:c>
    </x:row>
    <x:row r="1401">
      <x:c r="A1401" s="50" t="str">
        <x:v>019fdd4d-af1e-7f1c-a3b8-0105ab66e590</x:v>
      </x:c>
      <x:c r="B1401" s="50" t="str">
        <x:v>ANET</x:v>
      </x:c>
      <x:c r="C1401" s="70" t="n">
        <x:v>46241.73476479167</x:v>
      </x:c>
      <x:c r="D1401" s="50" t="str">
        <x:v>SWING_SETUP</x:v>
      </x:c>
      <x:c r="E1401" s="50" t="str">
        <x:v>ANET SWING SETUP</x:v>
      </x:c>
      <x:c r="F1401" s="50" t="str">
        <x:v>WATCH</x:v>
      </x:c>
      <x:c r="G1401" s="50"/>
      <x:c r="H1401" s="50" t="str">
        <x:v>LONG</x:v>
      </x:c>
      <x:c r="I1401" s="71" t="n">
        <x:v>191.915</x:v>
      </x:c>
      <x:c r="J1401" s="76" t="str">
        <x:v>SIP</x:v>
      </x:c>
    </x:row>
    <x:row r="1402">
      <x:c r="A1402" s="50" t="str">
        <x:v>019fdd4e-9367-7ce8-b4bd-8506a1441497</x:v>
      </x:c>
      <x:c r="B1402" s="50" t="str">
        <x:v>ABBV</x:v>
      </x:c>
      <x:c r="C1402" s="70" t="n">
        <x:v>46241.735441192126</x:v>
      </x:c>
      <x:c r="D1402" s="50" t="str">
        <x:v>LONG_BUY_ZONE</x:v>
      </x:c>
      <x:c r="E1402" s="50" t="str">
        <x:v>ABBV LONG BUY ZONE</x:v>
      </x:c>
      <x:c r="F1402" s="50" t="str">
        <x:v>WATCH</x:v>
      </x:c>
      <x:c r="G1402" s="50"/>
      <x:c r="H1402" s="50" t="str">
        <x:v>LONG</x:v>
      </x:c>
      <x:c r="I1402" s="71" t="n">
        <x:v>245.0201</x:v>
      </x:c>
      <x:c r="J1402" s="76" t="str">
        <x:v>SIP</x:v>
      </x:c>
    </x:row>
    <x:row r="1403">
      <x:c r="A1403" s="50" t="str">
        <x:v>019fdd4e-9871-7d5f-9567-2ffd6b0e581f</x:v>
      </x:c>
      <x:c r="B1403" s="50" t="str">
        <x:v>BLK</x:v>
      </x:c>
      <x:c r="C1403" s="70" t="n">
        <x:v>46241.73545611111</x:v>
      </x:c>
      <x:c r="D1403" s="50" t="str">
        <x:v>SWING_SETUP</x:v>
      </x:c>
      <x:c r="E1403" s="50" t="str">
        <x:v>BLK SWING SETUP</x:v>
      </x:c>
      <x:c r="F1403" s="50" t="str">
        <x:v>WATCH</x:v>
      </x:c>
      <x:c r="G1403" s="50"/>
      <x:c r="H1403" s="50" t="str">
        <x:v>LONG</x:v>
      </x:c>
      <x:c r="I1403" s="71" t="n">
        <x:v>1137.37</x:v>
      </x:c>
      <x:c r="J1403" s="76" t="str">
        <x:v>SIP</x:v>
      </x:c>
    </x:row>
    <x:row r="1404">
      <x:c r="A1404" s="50" t="str">
        <x:v>019fdd4f-7e80-7727-83bb-8daa31428780</x:v>
      </x:c>
      <x:c r="B1404" s="50" t="str">
        <x:v>PM</x:v>
      </x:c>
      <x:c r="C1404" s="70" t="n">
        <x:v>46241.73613777778</x:v>
      </x:c>
      <x:c r="D1404" s="50" t="str">
        <x:v>LONG_BUY_ZONE</x:v>
      </x:c>
      <x:c r="E1404" s="50" t="str">
        <x:v>PM LONG BUY ZONE</x:v>
      </x:c>
      <x:c r="F1404" s="50" t="str">
        <x:v>WATCH</x:v>
      </x:c>
      <x:c r="G1404" s="50"/>
      <x:c r="H1404" s="50" t="str">
        <x:v>LONG</x:v>
      </x:c>
      <x:c r="I1404" s="71" t="n">
        <x:v>189.02</x:v>
      </x:c>
      <x:c r="J1404" s="76" t="str">
        <x:v>SIP</x:v>
      </x:c>
    </x:row>
    <x:row r="1405">
      <x:c r="A1405" s="50" t="str">
        <x:v>019fdd4f-81ff-7e70-bd54-e740fca6cd96</x:v>
      </x:c>
      <x:c r="B1405" s="50" t="str">
        <x:v>ETHA</x:v>
      </x:c>
      <x:c r="C1405" s="70" t="n">
        <x:v>46241.73614813657</x:v>
      </x:c>
      <x:c r="D1405" s="50" t="str">
        <x:v>SWING_SETUP</x:v>
      </x:c>
      <x:c r="E1405" s="50" t="str">
        <x:v>ETHA SWING SETUP</x:v>
      </x:c>
      <x:c r="F1405" s="50" t="str">
        <x:v>WATCH</x:v>
      </x:c>
      <x:c r="G1405" s="50"/>
      <x:c r="H1405" s="50" t="str">
        <x:v>LONG</x:v>
      </x:c>
      <x:c r="I1405" s="71" t="n">
        <x:v>14.3899</x:v>
      </x:c>
      <x:c r="J1405" s="76" t="str">
        <x:v>SIP</x:v>
      </x:c>
    </x:row>
    <x:row r="1406">
      <x:c r="A1406" s="50" t="str">
        <x:v>019fdd4f-8210-7704-b2da-66f876ed0f69</x:v>
      </x:c>
      <x:c r="B1406" s="50" t="str">
        <x:v>TMDX</x:v>
      </x:c>
      <x:c r="C1406" s="70" t="n">
        <x:v>46241.73614833333</x:v>
      </x:c>
      <x:c r="D1406" s="50" t="str">
        <x:v>SWING_SETUP</x:v>
      </x:c>
      <x:c r="E1406" s="50" t="str">
        <x:v>TMDX SWING SETUP</x:v>
      </x:c>
      <x:c r="F1406" s="50" t="str">
        <x:v>WATCH</x:v>
      </x:c>
      <x:c r="G1406" s="50"/>
      <x:c r="H1406" s="50" t="str">
        <x:v>LONG</x:v>
      </x:c>
      <x:c r="I1406" s="71" t="n">
        <x:v>80.835</x:v>
      </x:c>
      <x:c r="J1406" s="76" t="str">
        <x:v>SIP</x:v>
      </x:c>
    </x:row>
    <x:row r="1407">
      <x:c r="A1407" s="50" t="str">
        <x:v>019fdd4f-8291-7174-a4f4-9d6c1d137d49</x:v>
      </x:c>
      <x:c r="B1407" s="50" t="str">
        <x:v>KO</x:v>
      </x:c>
      <x:c r="C1407" s="70" t="n">
        <x:v>46241.736149826385</x:v>
      </x:c>
      <x:c r="D1407" s="50" t="str">
        <x:v>SWING_SETUP</x:v>
      </x:c>
      <x:c r="E1407" s="50" t="str">
        <x:v>KO SWING SETUP</x:v>
      </x:c>
      <x:c r="F1407" s="50" t="str">
        <x:v>WATCH</x:v>
      </x:c>
      <x:c r="G1407" s="50"/>
      <x:c r="H1407" s="50" t="str">
        <x:v>LONG</x:v>
      </x:c>
      <x:c r="I1407" s="71" t="n">
        <x:v>86.9993</x:v>
      </x:c>
      <x:c r="J1407" s="76" t="str">
        <x:v>SIP</x:v>
      </x:c>
    </x:row>
    <x:row r="1408">
      <x:c r="A1408" s="50" t="str">
        <x:v>019fdd4f-82ff-7924-94d8-9938066b9710</x:v>
      </x:c>
      <x:c r="B1408" s="50" t="str">
        <x:v>CEG</x:v>
      </x:c>
      <x:c r="C1408" s="70" t="n">
        <x:v>46241.73615109954</x:v>
      </x:c>
      <x:c r="D1408" s="50" t="str">
        <x:v>SWING_SETUP</x:v>
      </x:c>
      <x:c r="E1408" s="50" t="str">
        <x:v>CEG SWING SETUP</x:v>
      </x:c>
      <x:c r="F1408" s="50" t="str">
        <x:v>WATCH</x:v>
      </x:c>
      <x:c r="G1408" s="50"/>
      <x:c r="H1408" s="50" t="str">
        <x:v>LONG</x:v>
      </x:c>
      <x:c r="I1408" s="71" t="n">
        <x:v>268.34</x:v>
      </x:c>
      <x:c r="J1408" s="76" t="str">
        <x:v>SIP</x:v>
      </x:c>
    </x:row>
    <x:row r="1409">
      <x:c r="A1409" s="50" t="str">
        <x:v>019fdd4f-8316-7d69-9c60-0b5a67bfb1fb</x:v>
      </x:c>
      <x:c r="B1409" s="50" t="str">
        <x:v>SHW</x:v>
      </x:c>
      <x:c r="C1409" s="70" t="n">
        <x:v>46241.73615136574</x:v>
      </x:c>
      <x:c r="D1409" s="50" t="str">
        <x:v>SWING_SETUP</x:v>
      </x:c>
      <x:c r="E1409" s="50" t="str">
        <x:v>SHW SWING SETUP</x:v>
      </x:c>
      <x:c r="F1409" s="50" t="str">
        <x:v>WATCH</x:v>
      </x:c>
      <x:c r="G1409" s="50"/>
      <x:c r="H1409" s="50" t="str">
        <x:v>LONG</x:v>
      </x:c>
      <x:c r="I1409" s="71" t="n">
        <x:v>369.01</x:v>
      </x:c>
      <x:c r="J1409" s="76" t="str">
        <x:v>SIP</x:v>
      </x:c>
    </x:row>
    <x:row r="1410">
      <x:c r="A1410" s="50" t="str">
        <x:v>019fdd50-68ef-7c8e-9620-2a0d1fb53e38</x:v>
      </x:c>
      <x:c r="B1410" s="50" t="str">
        <x:v>ECL</x:v>
      </x:c>
      <x:c r="C1410" s="70" t="n">
        <x:v>46241.736832395836</x:v>
      </x:c>
      <x:c r="D1410" s="50" t="str">
        <x:v>LONG_BUY_ZONE</x:v>
      </x:c>
      <x:c r="E1410" s="50" t="str">
        <x:v>ECL LONG BUY ZONE</x:v>
      </x:c>
      <x:c r="F1410" s="50" t="str">
        <x:v>WATCH</x:v>
      </x:c>
      <x:c r="G1410" s="50"/>
      <x:c r="H1410" s="50" t="str">
        <x:v>LONG</x:v>
      </x:c>
      <x:c r="I1410" s="71" t="n">
        <x:v>284.97</x:v>
      </x:c>
      <x:c r="J1410" s="76" t="str">
        <x:v>SIP</x:v>
      </x:c>
    </x:row>
    <x:row r="1411">
      <x:c r="A1411" s="50" t="str">
        <x:v>019fdd50-6a36-748c-8081-d246eac6886a</x:v>
      </x:c>
      <x:c r="B1411" s="50" t="str">
        <x:v>RIOT</x:v>
      </x:c>
      <x:c r="C1411" s="70" t="n">
        <x:v>46241.73683618056</x:v>
      </x:c>
      <x:c r="D1411" s="50" t="str">
        <x:v>ENTRY_WATCH</x:v>
      </x:c>
      <x:c r="E1411" s="50" t="str">
        <x:v>RIOT ENTRY IN_ZONE EARLY WATCH</x:v>
      </x:c>
      <x:c r="F1411" s="50" t="str">
        <x:v>WATCH</x:v>
      </x:c>
      <x:c r="G1411" s="50"/>
      <x:c r="H1411" s="50" t="str">
        <x:v>LONG</x:v>
      </x:c>
      <x:c r="I1411" s="71" t="n">
        <x:v>20.61</x:v>
      </x:c>
      <x:c r="J1411" s="76" t="str">
        <x:v>SIP</x:v>
      </x:c>
    </x:row>
    <x:row r="1412">
      <x:c r="A1412" s="50" t="str">
        <x:v>019fdd50-6b7e-7a95-ac1e-263fa8a72f41</x:v>
      </x:c>
      <x:c r="B1412" s="50" t="str">
        <x:v>HRL</x:v>
      </x:c>
      <x:c r="C1412" s="70" t="n">
        <x:v>46241.73683997685</x:v>
      </x:c>
      <x:c r="D1412" s="50" t="str">
        <x:v>LONG_BUY_ZONE</x:v>
      </x:c>
      <x:c r="E1412" s="50" t="str">
        <x:v>HRL LONG BUY ZONE</x:v>
      </x:c>
      <x:c r="F1412" s="50" t="str">
        <x:v>WATCH</x:v>
      </x:c>
      <x:c r="G1412" s="50"/>
      <x:c r="H1412" s="50" t="str">
        <x:v>LONG</x:v>
      </x:c>
      <x:c r="I1412" s="71" t="n">
        <x:v>25.18</x:v>
      </x:c>
      <x:c r="J1412" s="76" t="str">
        <x:v>SIP</x:v>
      </x:c>
    </x:row>
    <x:row r="1413">
      <x:c r="A1413" s="50" t="str">
        <x:v>019fdd50-6b96-77a6-8aed-6ec1670e7506</x:v>
      </x:c>
      <x:c r="B1413" s="50" t="str">
        <x:v>PM</x:v>
      </x:c>
      <x:c r="C1413" s="70" t="n">
        <x:v>46241.73684025463</x:v>
      </x:c>
      <x:c r="D1413" s="50" t="str">
        <x:v>SWING_SETUP</x:v>
      </x:c>
      <x:c r="E1413" s="50" t="str">
        <x:v>PM SWING SETUP</x:v>
      </x:c>
      <x:c r="F1413" s="50" t="str">
        <x:v>WATCH</x:v>
      </x:c>
      <x:c r="G1413" s="50"/>
      <x:c r="H1413" s="50" t="str">
        <x:v>LONG</x:v>
      </x:c>
      <x:c r="I1413" s="71" t="n">
        <x:v>189.08</x:v>
      </x:c>
      <x:c r="J1413" s="76" t="str">
        <x:v>SIP</x:v>
      </x:c>
    </x:row>
    <x:row r="1414">
      <x:c r="A1414" s="50" t="str">
        <x:v>019fdd50-6be9-7dff-8b0d-c97edeeb761e</x:v>
      </x:c>
      <x:c r="B1414" s="50" t="str">
        <x:v>MMM</x:v>
      </x:c>
      <x:c r="C1414" s="70" t="n">
        <x:v>46241.73684121528</x:v>
      </x:c>
      <x:c r="D1414" s="50" t="str">
        <x:v>SWING_SETUP</x:v>
      </x:c>
      <x:c r="E1414" s="50" t="str">
        <x:v>MMM SWING SETUP</x:v>
      </x:c>
      <x:c r="F1414" s="50" t="str">
        <x:v>WATCH</x:v>
      </x:c>
      <x:c r="G1414" s="50"/>
      <x:c r="H1414" s="50" t="str">
        <x:v>LONG</x:v>
      </x:c>
      <x:c r="I1414" s="71" t="n">
        <x:v>182.92</x:v>
      </x:c>
      <x:c r="J1414" s="76" t="str">
        <x:v>SIP</x:v>
      </x:c>
    </x:row>
    <x:row r="1415">
      <x:c r="A1415" s="50" t="str">
        <x:v>019fdd50-6bf1-7251-9947-65d935a0b407</x:v>
      </x:c>
      <x:c r="B1415" s="50" t="str">
        <x:v>ABT</x:v>
      </x:c>
      <x:c r="C1415" s="70" t="n">
        <x:v>46241.73684130787</x:v>
      </x:c>
      <x:c r="D1415" s="50" t="str">
        <x:v>SWING_SETUP</x:v>
      </x:c>
      <x:c r="E1415" s="50" t="str">
        <x:v>ABT SWING SETUP</x:v>
      </x:c>
      <x:c r="F1415" s="50" t="str">
        <x:v>WATCH</x:v>
      </x:c>
      <x:c r="G1415" s="50"/>
      <x:c r="H1415" s="50" t="str">
        <x:v>LONG</x:v>
      </x:c>
      <x:c r="I1415" s="71" t="n">
        <x:v>107.48</x:v>
      </x:c>
      <x:c r="J1415" s="76" t="str">
        <x:v>SIP</x:v>
      </x:c>
    </x:row>
    <x:row r="1416">
      <x:c r="A1416" s="50" t="str">
        <x:v>019fdd50-6d69-7dc0-a06b-9fc76b023a05</x:v>
      </x:c>
      <x:c r="B1416" s="50" t="str">
        <x:v>RCL</x:v>
      </x:c>
      <x:c r="C1416" s="70" t="n">
        <x:v>46241.736845659725</x:v>
      </x:c>
      <x:c r="D1416" s="50" t="str">
        <x:v>SWING_SETUP</x:v>
      </x:c>
      <x:c r="E1416" s="50" t="str">
        <x:v>RCL SWING SETUP</x:v>
      </x:c>
      <x:c r="F1416" s="50" t="str">
        <x:v>WATCH</x:v>
      </x:c>
      <x:c r="G1416" s="50"/>
      <x:c r="H1416" s="50" t="str">
        <x:v>LONG</x:v>
      </x:c>
      <x:c r="I1416" s="71" t="n">
        <x:v>320.16</x:v>
      </x:c>
      <x:c r="J1416" s="76" t="str">
        <x:v>SIP</x:v>
      </x:c>
    </x:row>
    <x:row r="1417">
      <x:c r="A1417" s="50" t="str">
        <x:v>019fdd50-6ea5-785b-803d-4a5ce6e90009</x:v>
      </x:c>
      <x:c r="B1417" s="50" t="str">
        <x:v>BAC</x:v>
      </x:c>
      <x:c r="C1417" s="70" t="n">
        <x:v>46241.73684931713</x:v>
      </x:c>
      <x:c r="D1417" s="50" t="str">
        <x:v>SWING_SETUP</x:v>
      </x:c>
      <x:c r="E1417" s="50" t="str">
        <x:v>BAC SWING SETUP</x:v>
      </x:c>
      <x:c r="F1417" s="50" t="str">
        <x:v>WATCH</x:v>
      </x:c>
      <x:c r="G1417" s="50"/>
      <x:c r="H1417" s="50" t="str">
        <x:v>LONG</x:v>
      </x:c>
      <x:c r="I1417" s="71" t="n">
        <x:v>63.09</x:v>
      </x:c>
      <x:c r="J1417" s="76" t="str">
        <x:v>SIP</x:v>
      </x:c>
    </x:row>
    <x:row r="1418">
      <x:c r="A1418" s="50" t="str">
        <x:v>019fdd50-6eb4-73cb-a879-52125f5379b1</x:v>
      </x:c>
      <x:c r="B1418" s="50" t="str">
        <x:v>JPM</x:v>
      </x:c>
      <x:c r="C1418" s="70" t="n">
        <x:v>46241.73684949074</x:v>
      </x:c>
      <x:c r="D1418" s="50" t="str">
        <x:v>SWING_SETUP</x:v>
      </x:c>
      <x:c r="E1418" s="50" t="str">
        <x:v>JPM SWING SETUP</x:v>
      </x:c>
      <x:c r="F1418" s="50" t="str">
        <x:v>WATCH</x:v>
      </x:c>
      <x:c r="G1418" s="50"/>
      <x:c r="H1418" s="50" t="str">
        <x:v>LONG</x:v>
      </x:c>
      <x:c r="I1418" s="71" t="n">
        <x:v>357.77</x:v>
      </x:c>
      <x:c r="J1418" s="76" t="str">
        <x:v>SIP</x:v>
      </x:c>
    </x:row>
    <x:row r="1419">
      <x:c r="A1419" s="50" t="str">
        <x:v>019fdd50-6ec4-73b3-9ed9-6ca8759e3d2e</x:v>
      </x:c>
      <x:c r="B1419" s="50" t="str">
        <x:v>ECL</x:v>
      </x:c>
      <x:c r="C1419" s="70" t="n">
        <x:v>46241.73684967592</x:v>
      </x:c>
      <x:c r="D1419" s="50" t="str">
        <x:v>SWING_SETUP</x:v>
      </x:c>
      <x:c r="E1419" s="50" t="str">
        <x:v>ECL SWING SETUP</x:v>
      </x:c>
      <x:c r="F1419" s="50" t="str">
        <x:v>WATCH</x:v>
      </x:c>
      <x:c r="G1419" s="50"/>
      <x:c r="H1419" s="50" t="str">
        <x:v>LONG</x:v>
      </x:c>
      <x:c r="I1419" s="71" t="n">
        <x:v>284.84</x:v>
      </x:c>
      <x:c r="J1419" s="76" t="str">
        <x:v>SIP</x:v>
      </x:c>
    </x:row>
    <x:row r="1420">
      <x:c r="A1420" s="50" t="str">
        <x:v>019fdd50-6ed2-720d-accf-9de18cf8ff48</x:v>
      </x:c>
      <x:c r="B1420" s="50" t="str">
        <x:v>PFE</x:v>
      </x:c>
      <x:c r="C1420" s="70" t="n">
        <x:v>46241.736849837966</x:v>
      </x:c>
      <x:c r="D1420" s="50" t="str">
        <x:v>SWING_SETUP</x:v>
      </x:c>
      <x:c r="E1420" s="50" t="str">
        <x:v>PFE SWING SETUP</x:v>
      </x:c>
      <x:c r="F1420" s="50" t="str">
        <x:v>WATCH</x:v>
      </x:c>
      <x:c r="G1420" s="50"/>
      <x:c r="H1420" s="50" t="str">
        <x:v>LONG</x:v>
      </x:c>
      <x:c r="I1420" s="71" t="n">
        <x:v>26.48</x:v>
      </x:c>
      <x:c r="J1420" s="76" t="str">
        <x:v>SIP</x:v>
      </x:c>
    </x:row>
    <x:row r="1421">
      <x:c r="A1421" s="50" t="str">
        <x:v>019fdd50-6ef3-748e-bb19-6eaf74622781</x:v>
      </x:c>
      <x:c r="B1421" s="50" t="str">
        <x:v>JD</x:v>
      </x:c>
      <x:c r="C1421" s="70" t="n">
        <x:v>46241.73685021991</x:v>
      </x:c>
      <x:c r="D1421" s="50" t="str">
        <x:v>SWING_SETUP</x:v>
      </x:c>
      <x:c r="E1421" s="50" t="str">
        <x:v>JD SWING SETUP</x:v>
      </x:c>
      <x:c r="F1421" s="50" t="str">
        <x:v>WATCH</x:v>
      </x:c>
      <x:c r="G1421" s="50"/>
      <x:c r="H1421" s="50" t="str">
        <x:v>LONG</x:v>
      </x:c>
      <x:c r="I1421" s="71" t="n">
        <x:v>32.905</x:v>
      </x:c>
      <x:c r="J1421" s="76" t="str">
        <x:v>SIP</x:v>
      </x:c>
    </x:row>
    <x:row r="1422">
      <x:c r="A1422" s="50" t="str">
        <x:v>019fdd50-70c3-7c8f-8047-5673b60a52aa</x:v>
      </x:c>
      <x:c r="B1422" s="50" t="str">
        <x:v>JNJ</x:v>
      </x:c>
      <x:c r="C1422" s="70" t="n">
        <x:v>46241.73685559028</x:v>
      </x:c>
      <x:c r="D1422" s="50" t="str">
        <x:v>LONG_BUY_ZONE</x:v>
      </x:c>
      <x:c r="E1422" s="50" t="str">
        <x:v>JNJ LONG BUY ZONE</x:v>
      </x:c>
      <x:c r="F1422" s="50" t="str">
        <x:v>WATCH</x:v>
      </x:c>
      <x:c r="G1422" s="50"/>
      <x:c r="H1422" s="50" t="str">
        <x:v>LONG</x:v>
      </x:c>
      <x:c r="I1422" s="71" t="n">
        <x:v>256.38</x:v>
      </x:c>
      <x:c r="J1422" s="76" t="str">
        <x:v>SIP</x:v>
      </x:c>
    </x:row>
    <x:row r="1423">
      <x:c r="A1423" s="50" t="str">
        <x:v>019fdd50-74b9-742e-9e04-c4536bca10ad</x:v>
      </x:c>
      <x:c r="B1423" s="50" t="str">
        <x:v>RCL</x:v>
      </x:c>
      <x:c r="C1423" s="70" t="n">
        <x:v>46241.73686732639</x:v>
      </x:c>
      <x:c r="D1423" s="50" t="str">
        <x:v>LONG_BUY_ZONE</x:v>
      </x:c>
      <x:c r="E1423" s="50" t="str">
        <x:v>RCL LONG BUY ZONE</x:v>
      </x:c>
      <x:c r="F1423" s="50" t="str">
        <x:v>WATCH</x:v>
      </x:c>
      <x:c r="G1423" s="50"/>
      <x:c r="H1423" s="50" t="str">
        <x:v>LONG</x:v>
      </x:c>
      <x:c r="I1423" s="71" t="n">
        <x:v>320.27</x:v>
      </x:c>
      <x:c r="J1423" s="76" t="str">
        <x:v>SIP</x:v>
      </x:c>
    </x:row>
    <x:row r="1424">
      <x:c r="A1424" s="50" t="str">
        <x:v>019fdd51-54f2-71b3-b727-582d68d3cf5f</x:v>
      </x:c>
      <x:c r="B1424" s="50" t="str">
        <x:v>RIOT</x:v>
      </x:c>
      <x:c r="C1424" s="70" t="n">
        <x:v>46241.73753168982</x:v>
      </x:c>
      <x:c r="D1424" s="50" t="str">
        <x:v>ENTRY_WATCH</x:v>
      </x:c>
      <x:c r="E1424" s="50" t="str">
        <x:v>RIOT ENTRY BREAKAWAY WATCH</x:v>
      </x:c>
      <x:c r="F1424" s="50" t="str">
        <x:v>WATCH</x:v>
      </x:c>
      <x:c r="G1424" s="50"/>
      <x:c r="H1424" s="50" t="str">
        <x:v>LONG</x:v>
      </x:c>
      <x:c r="I1424" s="71" t="n">
        <x:v>20.635</x:v>
      </x:c>
      <x:c r="J1424" s="76" t="str">
        <x:v>SIP</x:v>
      </x:c>
    </x:row>
    <x:row r="1425">
      <x:c r="A1425" s="50" t="str">
        <x:v>019fdd51-5b5a-7a29-9d64-9b2c4ccaaded</x:v>
      </x:c>
      <x:c r="B1425" s="50" t="str">
        <x:v>GS</x:v>
      </x:c>
      <x:c r="C1425" s="70" t="n">
        <x:v>46241.7375506713</x:v>
      </x:c>
      <x:c r="D1425" s="50" t="str">
        <x:v>LONG_BUY_ZONE</x:v>
      </x:c>
      <x:c r="E1425" s="50" t="str">
        <x:v>GS LONG BUY ZONE</x:v>
      </x:c>
      <x:c r="F1425" s="50" t="str">
        <x:v>WATCH</x:v>
      </x:c>
      <x:c r="G1425" s="50"/>
      <x:c r="H1425" s="50" t="str">
        <x:v>LONG</x:v>
      </x:c>
      <x:c r="I1425" s="71" t="n">
        <x:v>1039.94</x:v>
      </x:c>
      <x:c r="J1425" s="76" t="str">
        <x:v>SIP</x:v>
      </x:c>
    </x:row>
    <x:row r="1426">
      <x:c r="A1426" s="50" t="str">
        <x:v>019fdd53-2d3c-77b0-b185-b8012cb824b3</x:v>
      </x:c>
      <x:c r="B1426" s="50" t="str">
        <x:v>RIOT</x:v>
      </x:c>
      <x:c r="C1426" s="70" t="n">
        <x:v>46241.73893105324</x:v>
      </x:c>
      <x:c r="D1426" s="50" t="str">
        <x:v>ENTRY_WATCH</x:v>
      </x:c>
      <x:c r="E1426" s="50" t="str">
        <x:v>RIOT ENTRY IN_ZONE EARLY WATCH</x:v>
      </x:c>
      <x:c r="F1426" s="50" t="str">
        <x:v>WATCH</x:v>
      </x:c>
      <x:c r="G1426" s="50"/>
      <x:c r="H1426" s="50" t="str">
        <x:v>LONG</x:v>
      </x:c>
      <x:c r="I1426" s="71" t="n">
        <x:v>20.62</x:v>
      </x:c>
      <x:c r="J1426" s="76" t="str">
        <x:v>SIP</x:v>
      </x:c>
    </x:row>
    <x:row r="1427">
      <x:c r="A1427" s="50" t="str">
        <x:v>019fdd54-1cdd-7f14-9bb2-5df1d02074ee</x:v>
      </x:c>
      <x:c r="B1427" s="50" t="str">
        <x:v>VZ</x:v>
      </x:c>
      <x:c r="C1427" s="70" t="n">
        <x:v>46241.73964107639</x:v>
      </x:c>
      <x:c r="D1427" s="50" t="str">
        <x:v>LONG_BUY_ZONE</x:v>
      </x:c>
      <x:c r="E1427" s="50" t="str">
        <x:v>VZ LONG BUY ZONE</x:v>
      </x:c>
      <x:c r="F1427" s="50" t="str">
        <x:v>WATCH</x:v>
      </x:c>
      <x:c r="G1427" s="50"/>
      <x:c r="H1427" s="50" t="str">
        <x:v>LONG</x:v>
      </x:c>
      <x:c r="I1427" s="71" t="n">
        <x:v>46.995</x:v>
      </x:c>
      <x:c r="J1427" s="76" t="str">
        <x:v>SIP</x:v>
      </x:c>
    </x:row>
    <x:row r="1428">
      <x:c r="A1428" s="50" t="str">
        <x:v>019fdd54-fd25-7381-af70-cb178dfcdc60</x:v>
      </x:c>
      <x:c r="B1428" s="50" t="str">
        <x:v>BKNG</x:v>
      </x:c>
      <x:c r="C1428" s="70" t="n">
        <x:v>46241.74030561343</x:v>
      </x:c>
      <x:c r="D1428" s="50" t="str">
        <x:v>SWING_SETUP</x:v>
      </x:c>
      <x:c r="E1428" s="50" t="str">
        <x:v>BKNG SWING SETUP</x:v>
      </x:c>
      <x:c r="F1428" s="50" t="str">
        <x:v>WATCH</x:v>
      </x:c>
      <x:c r="G1428" s="50"/>
      <x:c r="H1428" s="50" t="str">
        <x:v>LONG</x:v>
      </x:c>
      <x:c r="I1428" s="71" t="n">
        <x:v>212.525</x:v>
      </x:c>
      <x:c r="J1428" s="76" t="str">
        <x:v>SIP</x:v>
      </x:c>
    </x:row>
    <x:row r="1429">
      <x:c r="A1429" s="50" t="str">
        <x:v>019fdd54-febd-763d-9069-dcb4615d5144</x:v>
      </x:c>
      <x:c r="B1429" s="50" t="str">
        <x:v>TGT</x:v>
      </x:c>
      <x:c r="C1429" s="70" t="n">
        <x:v>46241.74031033565</x:v>
      </x:c>
      <x:c r="D1429" s="50" t="str">
        <x:v>SWING_SETUP</x:v>
      </x:c>
      <x:c r="E1429" s="50" t="str">
        <x:v>TGT SWING SETUP</x:v>
      </x:c>
      <x:c r="F1429" s="50" t="str">
        <x:v>WATCH</x:v>
      </x:c>
      <x:c r="G1429" s="50"/>
      <x:c r="H1429" s="50" t="str">
        <x:v>LONG</x:v>
      </x:c>
      <x:c r="I1429" s="71" t="n">
        <x:v>148.68</x:v>
      </x:c>
      <x:c r="J1429" s="76" t="str">
        <x:v>SIP</x:v>
      </x:c>
    </x:row>
    <x:row r="1430">
      <x:c r="A1430" s="50" t="str">
        <x:v>019fdd55-010e-743d-a596-d8a2f69f2f1c</x:v>
      </x:c>
      <x:c r="B1430" s="50" t="str">
        <x:v>WFC</x:v>
      </x:c>
      <x:c r="C1430" s="70" t="n">
        <x:v>46241.7403171875</x:v>
      </x:c>
      <x:c r="D1430" s="50" t="str">
        <x:v>SWING_SETUP</x:v>
      </x:c>
      <x:c r="E1430" s="50" t="str">
        <x:v>WFC SWING SETUP</x:v>
      </x:c>
      <x:c r="F1430" s="50" t="str">
        <x:v>WATCH</x:v>
      </x:c>
      <x:c r="G1430" s="50"/>
      <x:c r="H1430" s="50" t="str">
        <x:v>LONG</x:v>
      </x:c>
      <x:c r="I1430" s="71" t="n">
        <x:v>86.885</x:v>
      </x:c>
      <x:c r="J1430" s="76" t="str">
        <x:v>SIP</x:v>
      </x:c>
    </x:row>
    <x:row r="1431">
      <x:c r="A1431" s="50" t="str">
        <x:v>019fdd55-030d-75c9-945a-af3490d3a969</x:v>
      </x:c>
      <x:c r="B1431" s="50" t="str">
        <x:v>BABA</x:v>
      </x:c>
      <x:c r="C1431" s="70" t="n">
        <x:v>46241.740323101854</x:v>
      </x:c>
      <x:c r="D1431" s="50" t="str">
        <x:v>SWING_SETUP</x:v>
      </x:c>
      <x:c r="E1431" s="50" t="str">
        <x:v>BABA SWING SETUP</x:v>
      </x:c>
      <x:c r="F1431" s="50" t="str">
        <x:v>WATCH</x:v>
      </x:c>
      <x:c r="G1431" s="50"/>
      <x:c r="H1431" s="50" t="str">
        <x:v>LONG</x:v>
      </x:c>
      <x:c r="I1431" s="71" t="n">
        <x:v>128.35</x:v>
      </x:c>
      <x:c r="J1431" s="76" t="str">
        <x:v>SIP</x:v>
      </x:c>
    </x:row>
    <x:row r="1432">
      <x:c r="A1432" s="50" t="str">
        <x:v>019fdd55-0338-7d2e-80d9-55b566625c44</x:v>
      </x:c>
      <x:c r="B1432" s="50" t="str">
        <x:v>SE</x:v>
      </x:c>
      <x:c r="C1432" s="70" t="n">
        <x:v>46241.74032361111</x:v>
      </x:c>
      <x:c r="D1432" s="50" t="str">
        <x:v>SWING_SETUP</x:v>
      </x:c>
      <x:c r="E1432" s="50" t="str">
        <x:v>SE SWING SETUP</x:v>
      </x:c>
      <x:c r="F1432" s="50" t="str">
        <x:v>WATCH</x:v>
      </x:c>
      <x:c r="G1432" s="50"/>
      <x:c r="H1432" s="50" t="str">
        <x:v>LONG</x:v>
      </x:c>
      <x:c r="I1432" s="71" t="n">
        <x:v>113.3799</x:v>
      </x:c>
      <x:c r="J1432" s="76" t="str">
        <x:v>SIP</x:v>
      </x:c>
    </x:row>
    <x:row r="1433">
      <x:c r="A1433" s="50" t="str">
        <x:v>019fdd55-0361-7576-a967-c37e0ff8bbff</x:v>
      </x:c>
      <x:c r="B1433" s="50" t="str">
        <x:v>CRM</x:v>
      </x:c>
      <x:c r="C1433" s="70" t="n">
        <x:v>46241.74032408565</x:v>
      </x:c>
      <x:c r="D1433" s="50" t="str">
        <x:v>SWING_SETUP</x:v>
      </x:c>
      <x:c r="E1433" s="50" t="str">
        <x:v>CRM SWING SETUP</x:v>
      </x:c>
      <x:c r="F1433" s="50" t="str">
        <x:v>WATCH</x:v>
      </x:c>
      <x:c r="G1433" s="50"/>
      <x:c r="H1433" s="50" t="str">
        <x:v>LONG</x:v>
      </x:c>
      <x:c r="I1433" s="71" t="n">
        <x:v>191.77</x:v>
      </x:c>
      <x:c r="J1433" s="76" t="str">
        <x:v>SIP</x:v>
      </x:c>
    </x:row>
    <x:row r="1434">
      <x:c r="A1434" s="50" t="str">
        <x:v>019fdd55-0581-74d1-bd2f-060ec3e82339</x:v>
      </x:c>
      <x:c r="B1434" s="50" t="str">
        <x:v>AMGN</x:v>
      </x:c>
      <x:c r="C1434" s="70" t="n">
        <x:v>46241.740330381945</x:v>
      </x:c>
      <x:c r="D1434" s="50" t="str">
        <x:v>SWING_SETUP</x:v>
      </x:c>
      <x:c r="E1434" s="50" t="str">
        <x:v>AMGN SWING SETUP</x:v>
      </x:c>
      <x:c r="F1434" s="50" t="str">
        <x:v>WATCH</x:v>
      </x:c>
      <x:c r="G1434" s="50"/>
      <x:c r="H1434" s="50" t="str">
        <x:v>LONG</x:v>
      </x:c>
      <x:c r="I1434" s="71" t="n">
        <x:v>407.35</x:v>
      </x:c>
      <x:c r="J1434" s="76" t="str">
        <x:v>SIP</x:v>
      </x:c>
    </x:row>
    <x:row r="1435">
      <x:c r="A1435" s="50" t="str">
        <x:v>019fdd55-05b6-70ec-a104-ffc3d1fc4de4</x:v>
      </x:c>
      <x:c r="B1435" s="50" t="str">
        <x:v>UEC</x:v>
      </x:c>
      <x:c r="C1435" s="70" t="n">
        <x:v>46241.74033099537</x:v>
      </x:c>
      <x:c r="D1435" s="50" t="str">
        <x:v>SWING_SETUP</x:v>
      </x:c>
      <x:c r="E1435" s="50" t="str">
        <x:v>UEC SWING SETUP</x:v>
      </x:c>
      <x:c r="F1435" s="50" t="str">
        <x:v>WATCH</x:v>
      </x:c>
      <x:c r="G1435" s="50"/>
      <x:c r="H1435" s="50" t="str">
        <x:v>LONG</x:v>
      </x:c>
      <x:c r="I1435" s="71" t="n">
        <x:v>11.305</x:v>
      </x:c>
      <x:c r="J1435" s="76" t="str">
        <x:v>SIP</x:v>
      </x:c>
    </x:row>
    <x:row r="1436">
      <x:c r="A1436" s="50" t="str">
        <x:v>019fdd55-0674-7557-81cf-00adb12b36e1</x:v>
      </x:c>
      <x:c r="B1436" s="50" t="str">
        <x:v>RIOT</x:v>
      </x:c>
      <x:c r="C1436" s="70" t="n">
        <x:v>46241.740333194444</x:v>
      </x:c>
      <x:c r="D1436" s="50" t="str">
        <x:v>ENTRY_WATCH</x:v>
      </x:c>
      <x:c r="E1436" s="50" t="str">
        <x:v>RIOT ENTRY BREAKAWAY WATCH</x:v>
      </x:c>
      <x:c r="F1436" s="50" t="str">
        <x:v>WATCH</x:v>
      </x:c>
      <x:c r="G1436" s="50"/>
      <x:c r="H1436" s="50" t="str">
        <x:v>LONG</x:v>
      </x:c>
      <x:c r="I1436" s="71" t="n">
        <x:v>20.66</x:v>
      </x:c>
      <x:c r="J1436" s="76" t="str">
        <x:v>SIP</x:v>
      </x:c>
    </x:row>
    <x:row r="1437">
      <x:c r="A1437" s="50" t="str">
        <x:v>019fdd55-06c5-74c8-943d-82a6dde89453</x:v>
      </x:c>
      <x:c r="B1437" s="50" t="str">
        <x:v>OXY</x:v>
      </x:c>
      <x:c r="C1437" s="70" t="n">
        <x:v>46241.740334131944</x:v>
      </x:c>
      <x:c r="D1437" s="50" t="str">
        <x:v>LONG_BUY_ZONE</x:v>
      </x:c>
      <x:c r="E1437" s="50" t="str">
        <x:v>OXY LONG BUY ZONE</x:v>
      </x:c>
      <x:c r="F1437" s="50" t="str">
        <x:v>WATCH</x:v>
      </x:c>
      <x:c r="G1437" s="50"/>
      <x:c r="H1437" s="50" t="str">
        <x:v>LONG</x:v>
      </x:c>
      <x:c r="I1437" s="71" t="n">
        <x:v>56.37</x:v>
      </x:c>
      <x:c r="J1437" s="76" t="str">
        <x:v>SIP</x:v>
      </x:c>
    </x:row>
    <x:row r="1438">
      <x:c r="A1438" s="50" t="str">
        <x:v>019fdd55-eaa2-783d-b0da-43d932509c08</x:v>
      </x:c>
      <x:c r="B1438" s="50" t="str">
        <x:v>NOVT</x:v>
      </x:c>
      <x:c r="C1438" s="70" t="n">
        <x:v>46241.74100928241</x:v>
      </x:c>
      <x:c r="D1438" s="50" t="str">
        <x:v>SWING_SETUP</x:v>
      </x:c>
      <x:c r="E1438" s="50" t="str">
        <x:v>NOVT SWING SETUP</x:v>
      </x:c>
      <x:c r="F1438" s="50" t="str">
        <x:v>WATCH</x:v>
      </x:c>
      <x:c r="G1438" s="50"/>
      <x:c r="H1438" s="50" t="str">
        <x:v>LONG</x:v>
      </x:c>
      <x:c r="I1438" s="71" t="n">
        <x:v>169.49</x:v>
      </x:c>
      <x:c r="J1438" s="76" t="str">
        <x:v>SIP</x:v>
      </x:c>
    </x:row>
    <x:row r="1439">
      <x:c r="A1439" s="50" t="str">
        <x:v>019fdd55-f3cc-7db7-b1b6-cb3aee80bc32</x:v>
      </x:c>
      <x:c r="B1439" s="50" t="str">
        <x:v>KDP</x:v>
      </x:c>
      <x:c r="C1439" s="70" t="n">
        <x:v>46241.74103643518</x:v>
      </x:c>
      <x:c r="D1439" s="50" t="str">
        <x:v>LONG_BUY_ZONE</x:v>
      </x:c>
      <x:c r="E1439" s="50" t="str">
        <x:v>KDP LONG BUY ZONE</x:v>
      </x:c>
      <x:c r="F1439" s="50" t="str">
        <x:v>WATCH</x:v>
      </x:c>
      <x:c r="G1439" s="50"/>
      <x:c r="H1439" s="50" t="str">
        <x:v>LONG</x:v>
      </x:c>
      <x:c r="I1439" s="71" t="n">
        <x:v>30.045</x:v>
      </x:c>
      <x:c r="J1439" s="76" t="str">
        <x:v>SIP</x:v>
      </x:c>
    </x:row>
    <x:row r="1440">
      <x:c r="A1440" s="50" t="str">
        <x:v>019fdd57-bb5f-7c94-a8a0-3beb69ade8e6</x:v>
      </x:c>
      <x:c r="B1440" s="50" t="str">
        <x:v>ACHV</x:v>
      </x:c>
      <x:c r="C1440" s="70" t="n">
        <x:v>46241.74238628472</x:v>
      </x:c>
      <x:c r="D1440" s="50" t="str">
        <x:v>SWING_SETUP</x:v>
      </x:c>
      <x:c r="E1440" s="50" t="str">
        <x:v>ACHV SWING SETUP</x:v>
      </x:c>
      <x:c r="F1440" s="50" t="str">
        <x:v>WATCH</x:v>
      </x:c>
      <x:c r="G1440" s="50"/>
      <x:c r="H1440" s="50" t="str">
        <x:v>LONG</x:v>
      </x:c>
      <x:c r="I1440" s="71" t="n">
        <x:v>6.55</x:v>
      </x:c>
      <x:c r="J1440" s="76" t="str">
        <x:v>SIP</x:v>
      </x:c>
    </x:row>
    <x:row r="1441">
      <x:c r="A1441" s="50" t="str">
        <x:v>019fdd57-bdb8-77c2-b32f-f7d0ef289353</x:v>
      </x:c>
      <x:c r="B1441" s="50" t="str">
        <x:v>AMZN</x:v>
      </x:c>
      <x:c r="C1441" s="70" t="n">
        <x:v>46241.74239324074</x:v>
      </x:c>
      <x:c r="D1441" s="50" t="str">
        <x:v>SWING_SETUP</x:v>
      </x:c>
      <x:c r="E1441" s="50" t="str">
        <x:v>AMZN SWING SETUP</x:v>
      </x:c>
      <x:c r="F1441" s="50" t="str">
        <x:v>WATCH</x:v>
      </x:c>
      <x:c r="G1441" s="50"/>
      <x:c r="H1441" s="50" t="str">
        <x:v>LONG</x:v>
      </x:c>
      <x:c r="I1441" s="71" t="n">
        <x:v>274.36</x:v>
      </x:c>
      <x:c r="J1441" s="76" t="str">
        <x:v>SIP</x:v>
      </x:c>
    </x:row>
    <x:row r="1442">
      <x:c r="A1442" s="50" t="str">
        <x:v>019fdd57-bead-7c14-848e-76416f1bf57c</x:v>
      </x:c>
      <x:c r="B1442" s="50" t="str">
        <x:v>MRK</x:v>
      </x:c>
      <x:c r="C1442" s="70" t="n">
        <x:v>46241.74239607639</x:v>
      </x:c>
      <x:c r="D1442" s="50" t="str">
        <x:v>SWING_SETUP</x:v>
      </x:c>
      <x:c r="E1442" s="50" t="str">
        <x:v>MRK SWING SETUP</x:v>
      </x:c>
      <x:c r="F1442" s="50" t="str">
        <x:v>WATCH</x:v>
      </x:c>
      <x:c r="G1442" s="50"/>
      <x:c r="H1442" s="50" t="str">
        <x:v>LONG</x:v>
      </x:c>
      <x:c r="I1442" s="71" t="n">
        <x:v>128.0101</x:v>
      </x:c>
      <x:c r="J1442" s="76" t="str">
        <x:v>SIP</x:v>
      </x:c>
    </x:row>
    <x:row r="1443">
      <x:c r="A1443" s="50" t="str">
        <x:v>019fdd57-bf9f-793a-91b6-2c954b7f7290</x:v>
      </x:c>
      <x:c r="B1443" s="50" t="str">
        <x:v>XOM</x:v>
      </x:c>
      <x:c r="C1443" s="70" t="n">
        <x:v>46241.742398877315</x:v>
      </x:c>
      <x:c r="D1443" s="50" t="str">
        <x:v>SWING_SETUP</x:v>
      </x:c>
      <x:c r="E1443" s="50" t="str">
        <x:v>XOM SWING SETUP</x:v>
      </x:c>
      <x:c r="F1443" s="50" t="str">
        <x:v>WATCH</x:v>
      </x:c>
      <x:c r="G1443" s="50"/>
      <x:c r="H1443" s="50" t="str">
        <x:v>LONG</x:v>
      </x:c>
      <x:c r="I1443" s="71" t="n">
        <x:v>153.225</x:v>
      </x:c>
      <x:c r="J1443" s="76" t="str">
        <x:v>SIP</x:v>
      </x:c>
    </x:row>
    <x:row r="1444">
      <x:c r="A1444" s="50" t="str">
        <x:v>019fdd57-c1a1-76ca-b529-b7c6fedc228a</x:v>
      </x:c>
      <x:c r="B1444" s="50" t="str">
        <x:v>SNOW</x:v>
      </x:c>
      <x:c r="C1444" s="70" t="n">
        <x:v>46241.742404826386</x:v>
      </x:c>
      <x:c r="D1444" s="50" t="str">
        <x:v>SWING_SETUP</x:v>
      </x:c>
      <x:c r="E1444" s="50" t="str">
        <x:v>SNOW SWING SETUP</x:v>
      </x:c>
      <x:c r="F1444" s="50" t="str">
        <x:v>WATCH</x:v>
      </x:c>
      <x:c r="G1444" s="50"/>
      <x:c r="H1444" s="50" t="str">
        <x:v>LONG</x:v>
      </x:c>
      <x:c r="I1444" s="71" t="n">
        <x:v>325.76</x:v>
      </x:c>
      <x:c r="J1444" s="76" t="str">
        <x:v>SIP</x:v>
      </x:c>
    </x:row>
    <x:row r="1445">
      <x:c r="A1445" s="50" t="str">
        <x:v>019fdd58-a7db-7e76-9cbe-9c717f6ba9b6</x:v>
      </x:c>
      <x:c r="B1445" s="50" t="str">
        <x:v>RDW</x:v>
      </x:c>
      <x:c r="C1445" s="70" t="n">
        <x:v>46241.743086979164</x:v>
      </x:c>
      <x:c r="D1445" s="50" t="str">
        <x:v>SWING_SETUP</x:v>
      </x:c>
      <x:c r="E1445" s="50" t="str">
        <x:v>RDW SWING SETUP</x:v>
      </x:c>
      <x:c r="F1445" s="50" t="str">
        <x:v>WATCH</x:v>
      </x:c>
      <x:c r="G1445" s="50"/>
      <x:c r="H1445" s="50" t="str">
        <x:v>LONG</x:v>
      </x:c>
      <x:c r="I1445" s="71" t="n">
        <x:v>13.415</x:v>
      </x:c>
      <x:c r="J1445" s="76" t="str">
        <x:v>SIP</x:v>
      </x:c>
    </x:row>
    <x:row r="1446">
      <x:c r="A1446" s="50" t="str">
        <x:v>019fdd58-a922-786d-a292-acfa51ca2943</x:v>
      </x:c>
      <x:c r="B1446" s="50" t="str">
        <x:v>ABNB</x:v>
      </x:c>
      <x:c r="C1446" s="70" t="n">
        <x:v>46241.74309076389</x:v>
      </x:c>
      <x:c r="D1446" s="50" t="str">
        <x:v>SWING_SETUP</x:v>
      </x:c>
      <x:c r="E1446" s="50" t="str">
        <x:v>ABNB SWING SETUP</x:v>
      </x:c>
      <x:c r="F1446" s="50" t="str">
        <x:v>WATCH</x:v>
      </x:c>
      <x:c r="G1446" s="50"/>
      <x:c r="H1446" s="50" t="str">
        <x:v>LONG</x:v>
      </x:c>
      <x:c r="I1446" s="71" t="n">
        <x:v>174.05</x:v>
      </x:c>
      <x:c r="J1446" s="76" t="str">
        <x:v>SIP</x:v>
      </x:c>
    </x:row>
    <x:row r="1447">
      <x:c r="A1447" s="50" t="str">
        <x:v>019fdd59-90ce-7f81-892b-2a925e3b72a3</x:v>
      </x:c>
      <x:c r="B1447" s="50" t="str">
        <x:v>NOC</x:v>
      </x:c>
      <x:c r="C1447" s="70" t="n">
        <x:v>46241.74377719907</x:v>
      </x:c>
      <x:c r="D1447" s="50" t="str">
        <x:v>SWING_SETUP</x:v>
      </x:c>
      <x:c r="E1447" s="50" t="str">
        <x:v>NOC SWING SETUP</x:v>
      </x:c>
      <x:c r="F1447" s="50" t="str">
        <x:v>WATCH</x:v>
      </x:c>
      <x:c r="G1447" s="50"/>
      <x:c r="H1447" s="50" t="str">
        <x:v>LONG</x:v>
      </x:c>
      <x:c r="I1447" s="71" t="n">
        <x:v>568.72</x:v>
      </x:c>
      <x:c r="J1447" s="76" t="str">
        <x:v>SIP</x:v>
      </x:c>
    </x:row>
    <x:row r="1448">
      <x:c r="A1448" s="50" t="str">
        <x:v>019fdd59-9197-7513-88ab-ecf36fa216f0</x:v>
      </x:c>
      <x:c r="B1448" s="50" t="str">
        <x:v>PSX</x:v>
      </x:c>
      <x:c r="C1448" s="70" t="n">
        <x:v>46241.74377952547</x:v>
      </x:c>
      <x:c r="D1448" s="50" t="str">
        <x:v>SWING_SETUP</x:v>
      </x:c>
      <x:c r="E1448" s="50" t="str">
        <x:v>PSX SWING SETUP</x:v>
      </x:c>
      <x:c r="F1448" s="50" t="str">
        <x:v>WATCH</x:v>
      </x:c>
      <x:c r="G1448" s="50"/>
      <x:c r="H1448" s="50" t="str">
        <x:v>LONG</x:v>
      </x:c>
      <x:c r="I1448" s="71" t="n">
        <x:v>205.62</x:v>
      </x:c>
      <x:c r="J1448" s="76" t="str">
        <x:v>SIP</x:v>
      </x:c>
    </x:row>
    <x:row r="1449">
      <x:c r="A1449" s="50" t="str">
        <x:v>019fdd59-9cfd-7262-a50d-53c540a768b1</x:v>
      </x:c>
      <x:c r="B1449" s="50" t="str">
        <x:v>APH</x:v>
      </x:c>
      <x:c r="C1449" s="70" t="n">
        <x:v>46241.74381329861</x:v>
      </x:c>
      <x:c r="D1449" s="50" t="str">
        <x:v>LONG_BUY_ZONE</x:v>
      </x:c>
      <x:c r="E1449" s="50" t="str">
        <x:v>APH LONG BUY ZONE</x:v>
      </x:c>
      <x:c r="F1449" s="50" t="str">
        <x:v>WATCH</x:v>
      </x:c>
      <x:c r="G1449" s="50"/>
      <x:c r="H1449" s="50" t="str">
        <x:v>LONG</x:v>
      </x:c>
      <x:c r="I1449" s="71" t="n">
        <x:v>167.705</x:v>
      </x:c>
      <x:c r="J1449" s="76" t="str">
        <x:v>SIP</x:v>
      </x:c>
    </x:row>
    <x:row r="1450">
      <x:c r="A1450" s="50" t="str">
        <x:v>019fdd5a-7f1d-78a8-a8af-e616e06ec668</x:v>
      </x:c>
      <x:c r="B1450" s="50" t="str">
        <x:v>INTU</x:v>
      </x:c>
      <x:c r="C1450" s="70" t="n">
        <x:v>46241.74448328704</x:v>
      </x:c>
      <x:c r="D1450" s="50" t="str">
        <x:v>SWING_SETUP</x:v>
      </x:c>
      <x:c r="E1450" s="50" t="str">
        <x:v>INTU SWING SETUP</x:v>
      </x:c>
      <x:c r="F1450" s="50" t="str">
        <x:v>WATCH</x:v>
      </x:c>
      <x:c r="G1450" s="50"/>
      <x:c r="H1450" s="50" t="str">
        <x:v>LONG</x:v>
      </x:c>
      <x:c r="I1450" s="71" t="n">
        <x:v>328.63</x:v>
      </x:c>
      <x:c r="J1450" s="76" t="str">
        <x:v>SIP</x:v>
      </x:c>
    </x:row>
    <x:row r="1451">
      <x:c r="A1451" s="50" t="str">
        <x:v>019fdd5a-828a-7d42-914c-3fa8ba86c08e</x:v>
      </x:c>
      <x:c r="B1451" s="50" t="str">
        <x:v>SBUX</x:v>
      </x:c>
      <x:c r="C1451" s="70" t="n">
        <x:v>46241.74449344908</x:v>
      </x:c>
      <x:c r="D1451" s="50" t="str">
        <x:v>LONG_BUY_ZONE</x:v>
      </x:c>
      <x:c r="E1451" s="50" t="str">
        <x:v>SBUX LONG BUY ZONE</x:v>
      </x:c>
      <x:c r="F1451" s="50" t="str">
        <x:v>WATCH</x:v>
      </x:c>
      <x:c r="G1451" s="50"/>
      <x:c r="H1451" s="50" t="str">
        <x:v>LONG</x:v>
      </x:c>
      <x:c r="I1451" s="71" t="n">
        <x:v>106.225</x:v>
      </x:c>
      <x:c r="J1451" s="76" t="str">
        <x:v>SIP</x:v>
      </x:c>
    </x:row>
    <x:row r="1452">
      <x:c r="A1452" s="50" t="str">
        <x:v>019fdd5b-6a00-77ec-bad7-168b16b2e55d</x:v>
      </x:c>
      <x:c r="B1452" s="50" t="str">
        <x:v>COP</x:v>
      </x:c>
      <x:c r="C1452" s="70" t="n">
        <x:v>46241.74517925926</x:v>
      </x:c>
      <x:c r="D1452" s="50" t="str">
        <x:v>SWING_SETUP</x:v>
      </x:c>
      <x:c r="E1452" s="50" t="str">
        <x:v>COP SWING SETUP</x:v>
      </x:c>
      <x:c r="F1452" s="50" t="str">
        <x:v>WATCH</x:v>
      </x:c>
      <x:c r="G1452" s="50"/>
      <x:c r="H1452" s="50" t="str">
        <x:v>LONG</x:v>
      </x:c>
      <x:c r="I1452" s="71" t="n">
        <x:v>118.05</x:v>
      </x:c>
      <x:c r="J1452" s="76" t="str">
        <x:v>SIP</x:v>
      </x:c>
    </x:row>
    <x:row r="1453">
      <x:c r="A1453" s="50" t="str">
        <x:v>019fdd5b-6a1b-7220-8db5-9c8b0c348b77</x:v>
      </x:c>
      <x:c r="B1453" s="50" t="str">
        <x:v>SBUX</x:v>
      </x:c>
      <x:c r="C1453" s="70" t="n">
        <x:v>46241.74517957176</x:v>
      </x:c>
      <x:c r="D1453" s="50" t="str">
        <x:v>SWING_SETUP</x:v>
      </x:c>
      <x:c r="E1453" s="50" t="str">
        <x:v>SBUX SWING SETUP</x:v>
      </x:c>
      <x:c r="F1453" s="50" t="str">
        <x:v>WATCH</x:v>
      </x:c>
      <x:c r="G1453" s="50"/>
      <x:c r="H1453" s="50" t="str">
        <x:v>LONG</x:v>
      </x:c>
      <x:c r="I1453" s="71" t="n">
        <x:v>106.3</x:v>
      </x:c>
      <x:c r="J1453" s="76" t="str">
        <x:v>SIP</x:v>
      </x:c>
    </x:row>
    <x:row r="1454">
      <x:c r="A1454" s="50" t="str">
        <x:v>019fdd5b-6a2b-7b5c-b0f4-210b72447ca1</x:v>
      </x:c>
      <x:c r="B1454" s="50" t="str">
        <x:v>MDLZ</x:v>
      </x:c>
      <x:c r="C1454" s="70" t="n">
        <x:v>46241.745179756945</x:v>
      </x:c>
      <x:c r="D1454" s="50" t="str">
        <x:v>SWING_SETUP</x:v>
      </x:c>
      <x:c r="E1454" s="50" t="str">
        <x:v>MDLZ SWING SETUP</x:v>
      </x:c>
      <x:c r="F1454" s="50" t="str">
        <x:v>WATCH</x:v>
      </x:c>
      <x:c r="G1454" s="50"/>
      <x:c r="H1454" s="50" t="str">
        <x:v>LONG</x:v>
      </x:c>
      <x:c r="I1454" s="71" t="n">
        <x:v>62.9801</x:v>
      </x:c>
      <x:c r="J1454" s="76" t="str">
        <x:v>SIP</x:v>
      </x:c>
    </x:row>
    <x:row r="1455">
      <x:c r="A1455" s="50" t="str">
        <x:v>019fdd5b-6a33-7e18-a475-7c5994b93a5c</x:v>
      </x:c>
      <x:c r="B1455" s="50" t="str">
        <x:v>VZ</x:v>
      </x:c>
      <x:c r="C1455" s="70" t="n">
        <x:v>46241.74517984954</x:v>
      </x:c>
      <x:c r="D1455" s="50" t="str">
        <x:v>SWING_SETUP</x:v>
      </x:c>
      <x:c r="E1455" s="50" t="str">
        <x:v>VZ SWING SETUP</x:v>
      </x:c>
      <x:c r="F1455" s="50" t="str">
        <x:v>WATCH</x:v>
      </x:c>
      <x:c r="G1455" s="50"/>
      <x:c r="H1455" s="50" t="str">
        <x:v>LONG</x:v>
      </x:c>
      <x:c r="I1455" s="71" t="n">
        <x:v>46.995</x:v>
      </x:c>
      <x:c r="J1455" s="76" t="str">
        <x:v>SIP</x:v>
      </x:c>
    </x:row>
    <x:row r="1456">
      <x:c r="A1456" s="50" t="str">
        <x:v>019fdd5b-6a43-7751-917f-dd649113c8a9</x:v>
      </x:c>
      <x:c r="B1456" s="50" t="str">
        <x:v>UNP</x:v>
      </x:c>
      <x:c r="C1456" s="70" t="n">
        <x:v>46241.74518003472</x:v>
      </x:c>
      <x:c r="D1456" s="50" t="str">
        <x:v>SWING_SETUP</x:v>
      </x:c>
      <x:c r="E1456" s="50" t="str">
        <x:v>UNP SWING SETUP</x:v>
      </x:c>
      <x:c r="F1456" s="50" t="str">
        <x:v>WATCH</x:v>
      </x:c>
      <x:c r="G1456" s="50"/>
      <x:c r="H1456" s="50" t="str">
        <x:v>LONG</x:v>
      </x:c>
      <x:c r="I1456" s="71" t="n">
        <x:v>295.6475</x:v>
      </x:c>
      <x:c r="J1456" s="76" t="str">
        <x:v>SIP</x:v>
      </x:c>
    </x:row>
    <x:row r="1457">
      <x:c r="A1457" s="50" t="str">
        <x:v>019fdd5b-6a4e-7a3a-8d36-56d34db4905f</x:v>
      </x:c>
      <x:c r="B1457" s="50" t="str">
        <x:v>OXY</x:v>
      </x:c>
      <x:c r="C1457" s="70" t="n">
        <x:v>46241.745180162034</x:v>
      </x:c>
      <x:c r="D1457" s="50" t="str">
        <x:v>SWING_SETUP</x:v>
      </x:c>
      <x:c r="E1457" s="50" t="str">
        <x:v>OXY SWING SETUP</x:v>
      </x:c>
      <x:c r="F1457" s="50" t="str">
        <x:v>WATCH</x:v>
      </x:c>
      <x:c r="G1457" s="50"/>
      <x:c r="H1457" s="50" t="str">
        <x:v>LONG</x:v>
      </x:c>
      <x:c r="I1457" s="71" t="n">
        <x:v>56.35</x:v>
      </x:c>
      <x:c r="J1457" s="76" t="str">
        <x:v>SIP</x:v>
      </x:c>
    </x:row>
    <x:row r="1458">
      <x:c r="A1458" s="50" t="str">
        <x:v>019fdd5b-6a81-7389-9189-c86301d30c7e</x:v>
      </x:c>
      <x:c r="B1458" s="50" t="str">
        <x:v>MRK</x:v>
      </x:c>
      <x:c r="C1458" s="70" t="n">
        <x:v>46241.74518075232</x:v>
      </x:c>
      <x:c r="D1458" s="50" t="str">
        <x:v>LONG_BUY_ZONE</x:v>
      </x:c>
      <x:c r="E1458" s="50" t="str">
        <x:v>MRK LONG BUY ZONE</x:v>
      </x:c>
      <x:c r="F1458" s="50" t="str">
        <x:v>WATCH</x:v>
      </x:c>
      <x:c r="G1458" s="50"/>
      <x:c r="H1458" s="50" t="str">
        <x:v>LONG</x:v>
      </x:c>
      <x:c r="I1458" s="71" t="n">
        <x:v>127.9301</x:v>
      </x:c>
      <x:c r="J1458" s="76" t="str">
        <x:v>SIP</x:v>
      </x:c>
    </x:row>
    <x:row r="1459">
      <x:c r="A1459" s="50" t="str">
        <x:v>019fdd5c-5181-7c4a-aab1-bd982e9e8d2b</x:v>
      </x:c>
      <x:c r="B1459" s="50" t="str">
        <x:v>LMT</x:v>
      </x:c>
      <x:c r="C1459" s="70" t="n">
        <x:v>46241.74586519676</x:v>
      </x:c>
      <x:c r="D1459" s="50" t="str">
        <x:v>SWING_SETUP</x:v>
      </x:c>
      <x:c r="E1459" s="50" t="str">
        <x:v>LMT SWING SETUP</x:v>
      </x:c>
      <x:c r="F1459" s="50" t="str">
        <x:v>WATCH</x:v>
      </x:c>
      <x:c r="G1459" s="50"/>
      <x:c r="H1459" s="50" t="str">
        <x:v>LONG</x:v>
      </x:c>
      <x:c r="I1459" s="71" t="n">
        <x:v>584.43</x:v>
      </x:c>
      <x:c r="J1459" s="76" t="str">
        <x:v>SIP</x:v>
      </x:c>
    </x:row>
    <x:row r="1460">
      <x:c r="A1460" s="50" t="str">
        <x:v>019fdd5c-51bd-7c83-a21e-130f10d9930f</x:v>
      </x:c>
      <x:c r="B1460" s="50" t="str">
        <x:v>APA</x:v>
      </x:c>
      <x:c r="C1460" s="70" t="n">
        <x:v>46241.7458658912</x:v>
      </x:c>
      <x:c r="D1460" s="50" t="str">
        <x:v>SWING_SETUP</x:v>
      </x:c>
      <x:c r="E1460" s="50" t="str">
        <x:v>APA SWING SETUP</x:v>
      </x:c>
      <x:c r="F1460" s="50" t="str">
        <x:v>WATCH</x:v>
      </x:c>
      <x:c r="G1460" s="50"/>
      <x:c r="H1460" s="50" t="str">
        <x:v>LONG</x:v>
      </x:c>
      <x:c r="I1460" s="71" t="n">
        <x:v>37.8</x:v>
      </x:c>
      <x:c r="J1460" s="76" t="str">
        <x:v>SIP</x:v>
      </x:c>
    </x:row>
    <x:row r="1461">
      <x:c r="A1461" s="50" t="str">
        <x:v>019fdd5c-51c6-79b2-a8da-23a247c3b318</x:v>
      </x:c>
      <x:c r="B1461" s="50" t="str">
        <x:v>WELL</x:v>
      </x:c>
      <x:c r="C1461" s="70" t="n">
        <x:v>46241.745865983794</x:v>
      </x:c>
      <x:c r="D1461" s="50" t="str">
        <x:v>SWING_SETUP</x:v>
      </x:c>
      <x:c r="E1461" s="50" t="str">
        <x:v>WELL SWING SETUP</x:v>
      </x:c>
      <x:c r="F1461" s="50" t="str">
        <x:v>WATCH</x:v>
      </x:c>
      <x:c r="G1461" s="50"/>
      <x:c r="H1461" s="50" t="str">
        <x:v>LONG</x:v>
      </x:c>
      <x:c r="I1461" s="71" t="n">
        <x:v>236.46</x:v>
      </x:c>
      <x:c r="J1461" s="76" t="str">
        <x:v>SIP</x:v>
      </x:c>
    </x:row>
    <x:row r="1462">
      <x:c r="A1462" s="50" t="str">
        <x:v>019fdd5c-51d0-7edb-a5d9-6b296a89aa3e</x:v>
      </x:c>
      <x:c r="B1462" s="50" t="str">
        <x:v>DASH</x:v>
      </x:c>
      <x:c r="C1462" s="70" t="n">
        <x:v>46241.74586611111</x:v>
      </x:c>
      <x:c r="D1462" s="50" t="str">
        <x:v>SWING_SETUP</x:v>
      </x:c>
      <x:c r="E1462" s="50" t="str">
        <x:v>DASH SWING SETUP</x:v>
      </x:c>
      <x:c r="F1462" s="50" t="str">
        <x:v>WATCH</x:v>
      </x:c>
      <x:c r="G1462" s="50"/>
      <x:c r="H1462" s="50" t="str">
        <x:v>LONG</x:v>
      </x:c>
      <x:c r="I1462" s="71" t="n">
        <x:v>221.22</x:v>
      </x:c>
      <x:c r="J1462" s="76" t="str">
        <x:v>SIP</x:v>
      </x:c>
    </x:row>
    <x:row r="1463">
      <x:c r="A1463" s="50" t="str">
        <x:v>019fdd5c-51f8-712a-9ac3-5ca4f8694d68</x:v>
      </x:c>
      <x:c r="B1463" s="50" t="str">
        <x:v>DLR</x:v>
      </x:c>
      <x:c r="C1463" s="70" t="n">
        <x:v>46241.74586657407</x:v>
      </x:c>
      <x:c r="D1463" s="50" t="str">
        <x:v>SWING_SETUP</x:v>
      </x:c>
      <x:c r="E1463" s="50" t="str">
        <x:v>DLR SWING SETUP</x:v>
      </x:c>
      <x:c r="F1463" s="50" t="str">
        <x:v>WATCH</x:v>
      </x:c>
      <x:c r="G1463" s="50"/>
      <x:c r="H1463" s="50" t="str">
        <x:v>LONG</x:v>
      </x:c>
      <x:c r="I1463" s="71" t="n">
        <x:v>194.1</x:v>
      </x:c>
      <x:c r="J1463" s="76" t="str">
        <x:v>SIP</x:v>
      </x:c>
    </x:row>
    <x:row r="1464">
      <x:c r="A1464" s="50" t="str">
        <x:v>019fdd5c-52d4-7a89-9d4b-ce88f4aa8f9a</x:v>
      </x:c>
      <x:c r="B1464" s="50" t="str">
        <x:v>ANET</x:v>
      </x:c>
      <x:c r="C1464" s="70" t="n">
        <x:v>46241.74586912037</x:v>
      </x:c>
      <x:c r="D1464" s="50" t="str">
        <x:v>SWING_SETUP</x:v>
      </x:c>
      <x:c r="E1464" s="50" t="str">
        <x:v>ANET SWING SETUP</x:v>
      </x:c>
      <x:c r="F1464" s="50" t="str">
        <x:v>WATCH</x:v>
      </x:c>
      <x:c r="G1464" s="50"/>
      <x:c r="H1464" s="50" t="str">
        <x:v>LONG</x:v>
      </x:c>
      <x:c r="I1464" s="71" t="n">
        <x:v>191.2</x:v>
      </x:c>
      <x:c r="J1464" s="76" t="str">
        <x:v>SIP</x:v>
      </x:c>
    </x:row>
    <x:row r="1465">
      <x:c r="A1465" s="50" t="str">
        <x:v>019fdd5c-5554-7965-aade-f7f645e1d393</x:v>
      </x:c>
      <x:c r="B1465" s="50" t="str">
        <x:v>BMY</x:v>
      </x:c>
      <x:c r="C1465" s="70" t="n">
        <x:v>46241.74587652778</x:v>
      </x:c>
      <x:c r="D1465" s="50" t="str">
        <x:v>SWING_SETUP</x:v>
      </x:c>
      <x:c r="E1465" s="50" t="str">
        <x:v>BMY SWING SETUP</x:v>
      </x:c>
      <x:c r="F1465" s="50" t="str">
        <x:v>WATCH</x:v>
      </x:c>
      <x:c r="G1465" s="50"/>
      <x:c r="H1465" s="50" t="str">
        <x:v>LONG</x:v>
      </x:c>
      <x:c r="I1465" s="71" t="n">
        <x:v>64.18</x:v>
      </x:c>
      <x:c r="J1465" s="76" t="str">
        <x:v>SIP</x:v>
      </x:c>
    </x:row>
    <x:row r="1466">
      <x:c r="A1466" s="50" t="str">
        <x:v>019fdd5c-5633-7d04-bf86-4e73e244527e</x:v>
      </x:c>
      <x:c r="B1466" s="50" t="str">
        <x:v>PLTR</x:v>
      </x:c>
      <x:c r="C1466" s="70" t="n">
        <x:v>46241.7458791088</x:v>
      </x:c>
      <x:c r="D1466" s="50" t="str">
        <x:v>SWING_SETUP</x:v>
      </x:c>
      <x:c r="E1466" s="50" t="str">
        <x:v>PLTR SWING SETUP</x:v>
      </x:c>
      <x:c r="F1466" s="50" t="str">
        <x:v>WATCH</x:v>
      </x:c>
      <x:c r="G1466" s="50"/>
      <x:c r="H1466" s="50" t="str">
        <x:v>LONG</x:v>
      </x:c>
      <x:c r="I1466" s="71" t="n">
        <x:v>171.13</x:v>
      </x:c>
      <x:c r="J1466" s="76" t="str">
        <x:v>SIP</x:v>
      </x:c>
    </x:row>
    <x:row r="1467">
      <x:c r="A1467" s="50" t="str">
        <x:v>019fdd5c-58d1-7cb5-be28-cc653e00af3b</x:v>
      </x:c>
      <x:c r="B1467" s="50" t="str">
        <x:v>ABBV</x:v>
      </x:c>
      <x:c r="C1467" s="70" t="n">
        <x:v>46241.74588686343</x:v>
      </x:c>
      <x:c r="D1467" s="50" t="str">
        <x:v>LONG_BUY_ZONE</x:v>
      </x:c>
      <x:c r="E1467" s="50" t="str">
        <x:v>ABBV LONG BUY ZONE</x:v>
      </x:c>
      <x:c r="F1467" s="50" t="str">
        <x:v>WATCH</x:v>
      </x:c>
      <x:c r="G1467" s="50"/>
      <x:c r="H1467" s="50" t="str">
        <x:v>LONG</x:v>
      </x:c>
      <x:c r="I1467" s="71" t="n">
        <x:v>244.7</x:v>
      </x:c>
      <x:c r="J1467" s="76" t="str">
        <x:v>SIP</x:v>
      </x:c>
    </x:row>
    <x:row r="1468">
      <x:c r="A1468" s="50" t="str">
        <x:v>019fdd5d-3bbd-7be8-b083-fc007d6e36c2</x:v>
      </x:c>
      <x:c r="B1468" s="50" t="str">
        <x:v>PM</x:v>
      </x:c>
      <x:c r="C1468" s="70" t="n">
        <x:v>46241.746559224535</x:v>
      </x:c>
      <x:c r="D1468" s="50" t="str">
        <x:v>LONG_BUY_ZONE</x:v>
      </x:c>
      <x:c r="E1468" s="50" t="str">
        <x:v>PM LONG BUY ZONE</x:v>
      </x:c>
      <x:c r="F1468" s="50" t="str">
        <x:v>WATCH</x:v>
      </x:c>
      <x:c r="G1468" s="50"/>
      <x:c r="H1468" s="50" t="str">
        <x:v>LONG</x:v>
      </x:c>
      <x:c r="I1468" s="71" t="n">
        <x:v>189.255</x:v>
      </x:c>
      <x:c r="J1468" s="76" t="str">
        <x:v>SIP</x:v>
      </x:c>
    </x:row>
    <x:row r="1469">
      <x:c r="A1469" s="50" t="str">
        <x:v>019fdd5d-3f41-7dbf-9750-be49a6787311</x:v>
      </x:c>
      <x:c r="B1469" s="50" t="str">
        <x:v>BLK</x:v>
      </x:c>
      <x:c r="C1469" s="70" t="n">
        <x:v>46241.746569641204</x:v>
      </x:c>
      <x:c r="D1469" s="50" t="str">
        <x:v>SWING_SETUP</x:v>
      </x:c>
      <x:c r="E1469" s="50" t="str">
        <x:v>BLK SWING SETUP</x:v>
      </x:c>
      <x:c r="F1469" s="50" t="str">
        <x:v>WATCH</x:v>
      </x:c>
      <x:c r="G1469" s="50"/>
      <x:c r="H1469" s="50" t="str">
        <x:v>LONG</x:v>
      </x:c>
      <x:c r="I1469" s="71" t="n">
        <x:v>1138.13</x:v>
      </x:c>
      <x:c r="J1469" s="76" t="str">
        <x:v>SIP</x:v>
      </x:c>
    </x:row>
    <x:row r="1470">
      <x:c r="A1470" s="50" t="str">
        <x:v>019fdd5e-2962-7a6c-9940-358deaaab392</x:v>
      </x:c>
      <x:c r="B1470" s="50" t="str">
        <x:v>ETHA</x:v>
      </x:c>
      <x:c r="C1470" s="70" t="n">
        <x:v>46241.74726335648</x:v>
      </x:c>
      <x:c r="D1470" s="50" t="str">
        <x:v>SWING_SETUP</x:v>
      </x:c>
      <x:c r="E1470" s="50" t="str">
        <x:v>ETHA SWING SETUP</x:v>
      </x:c>
      <x:c r="F1470" s="50" t="str">
        <x:v>WATCH</x:v>
      </x:c>
      <x:c r="G1470" s="50"/>
      <x:c r="H1470" s="50" t="str">
        <x:v>LONG</x:v>
      </x:c>
      <x:c r="I1470" s="71" t="n">
        <x:v>14.4199</x:v>
      </x:c>
      <x:c r="J1470" s="76" t="str">
        <x:v>SIP</x:v>
      </x:c>
    </x:row>
    <x:row r="1471">
      <x:c r="A1471" s="50" t="str">
        <x:v>019fdd5e-2972-7fdf-928e-3adb0e3b30da</x:v>
      </x:c>
      <x:c r="B1471" s="50" t="str">
        <x:v>TMDX</x:v>
      </x:c>
      <x:c r="C1471" s="70" t="n">
        <x:v>46241.74726354166</x:v>
      </x:c>
      <x:c r="D1471" s="50" t="str">
        <x:v>SWING_SETUP</x:v>
      </x:c>
      <x:c r="E1471" s="50" t="str">
        <x:v>TMDX SWING SETUP</x:v>
      </x:c>
      <x:c r="F1471" s="50" t="str">
        <x:v>WATCH</x:v>
      </x:c>
      <x:c r="G1471" s="50"/>
      <x:c r="H1471" s="50" t="str">
        <x:v>LONG</x:v>
      </x:c>
      <x:c r="I1471" s="71" t="n">
        <x:v>80.84</x:v>
      </x:c>
      <x:c r="J1471" s="76" t="str">
        <x:v>SIP</x:v>
      </x:c>
    </x:row>
    <x:row r="1472">
      <x:c r="A1472" s="50" t="str">
        <x:v>019fdd5e-29f1-7194-869f-5c0b2d39f855</x:v>
      </x:c>
      <x:c r="B1472" s="50" t="str">
        <x:v>KO</x:v>
      </x:c>
      <x:c r="C1472" s="70" t="n">
        <x:v>46241.747265011574</x:v>
      </x:c>
      <x:c r="D1472" s="50" t="str">
        <x:v>SWING_SETUP</x:v>
      </x:c>
      <x:c r="E1472" s="50" t="str">
        <x:v>KO SWING SETUP</x:v>
      </x:c>
      <x:c r="F1472" s="50" t="str">
        <x:v>WATCH</x:v>
      </x:c>
      <x:c r="G1472" s="50"/>
      <x:c r="H1472" s="50" t="str">
        <x:v>LONG</x:v>
      </x:c>
      <x:c r="I1472" s="71" t="n">
        <x:v>87.0369</x:v>
      </x:c>
      <x:c r="J1472" s="76" t="str">
        <x:v>SIP</x:v>
      </x:c>
    </x:row>
    <x:row r="1473">
      <x:c r="A1473" s="50" t="str">
        <x:v>019fdd5e-2a17-7934-a1d3-54168d86ca6f</x:v>
      </x:c>
      <x:c r="B1473" s="50" t="str">
        <x:v>CEG</x:v>
      </x:c>
      <x:c r="C1473" s="70" t="n">
        <x:v>46241.74726545139</x:v>
      </x:c>
      <x:c r="D1473" s="50" t="str">
        <x:v>SWING_SETUP</x:v>
      </x:c>
      <x:c r="E1473" s="50" t="str">
        <x:v>CEG SWING SETUP</x:v>
      </x:c>
      <x:c r="F1473" s="50" t="str">
        <x:v>WATCH</x:v>
      </x:c>
      <x:c r="G1473" s="50"/>
      <x:c r="H1473" s="50" t="str">
        <x:v>LONG</x:v>
      </x:c>
      <x:c r="I1473" s="71" t="n">
        <x:v>270.16</x:v>
      </x:c>
      <x:c r="J1473" s="76" t="str">
        <x:v>SIP</x:v>
      </x:c>
    </x:row>
    <x:row r="1474">
      <x:c r="A1474" s="50" t="str">
        <x:v>019fdd5e-2a76-75d0-90a0-0cd305af06bc</x:v>
      </x:c>
      <x:c r="B1474" s="50" t="str">
        <x:v>SHW</x:v>
      </x:c>
      <x:c r="C1474" s="70" t="n">
        <x:v>46241.74726655093</x:v>
      </x:c>
      <x:c r="D1474" s="50" t="str">
        <x:v>SWING_SETUP</x:v>
      </x:c>
      <x:c r="E1474" s="50" t="str">
        <x:v>SHW SWING SETUP</x:v>
      </x:c>
      <x:c r="F1474" s="50" t="str">
        <x:v>WATCH</x:v>
      </x:c>
      <x:c r="G1474" s="50"/>
      <x:c r="H1474" s="50" t="str">
        <x:v>LONG</x:v>
      </x:c>
      <x:c r="I1474" s="71" t="n">
        <x:v>369.34</x:v>
      </x:c>
      <x:c r="J1474" s="76" t="str">
        <x:v>SIP</x:v>
      </x:c>
    </x:row>
    <x:row r="1475">
      <x:c r="A1475" s="50" t="str">
        <x:v>019fdd5e-2f5b-7e9f-ae29-d7ec85014e30</x:v>
      </x:c>
      <x:c r="B1475" s="50" t="str">
        <x:v>HRL</x:v>
      </x:c>
      <x:c r="C1475" s="70" t="n">
        <x:v>46241.74728105324</x:v>
      </x:c>
      <x:c r="D1475" s="50" t="str">
        <x:v>LONG_BUY_ZONE</x:v>
      </x:c>
      <x:c r="E1475" s="50" t="str">
        <x:v>HRL LONG BUY ZONE</x:v>
      </x:c>
      <x:c r="F1475" s="50" t="str">
        <x:v>WATCH</x:v>
      </x:c>
      <x:c r="G1475" s="50"/>
      <x:c r="H1475" s="50" t="str">
        <x:v>LONG</x:v>
      </x:c>
      <x:c r="I1475" s="71" t="n">
        <x:v>25.175</x:v>
      </x:c>
      <x:c r="J1475" s="76" t="str">
        <x:v>SIP</x:v>
      </x:c>
    </x:row>
    <x:row r="1476">
      <x:c r="A1476" s="50" t="str">
        <x:v>019fdd5e-2fbd-7bd0-bcce-6dbe467e6ce9</x:v>
      </x:c>
      <x:c r="B1476" s="50" t="str">
        <x:v>JNJ</x:v>
      </x:c>
      <x:c r="C1476" s="70" t="n">
        <x:v>46241.74728217593</x:v>
      </x:c>
      <x:c r="D1476" s="50" t="str">
        <x:v>LONG_BUY_ZONE</x:v>
      </x:c>
      <x:c r="E1476" s="50" t="str">
        <x:v>JNJ LONG BUY ZONE</x:v>
      </x:c>
      <x:c r="F1476" s="50" t="str">
        <x:v>WATCH</x:v>
      </x:c>
      <x:c r="G1476" s="50"/>
      <x:c r="H1476" s="50" t="str">
        <x:v>LONG</x:v>
      </x:c>
      <x:c r="I1476" s="71" t="n">
        <x:v>256.16</x:v>
      </x:c>
      <x:c r="J1476" s="76" t="str">
        <x:v>SIP</x:v>
      </x:c>
    </x:row>
    <x:row r="1477">
      <x:c r="A1477" s="50" t="str">
        <x:v>019fdd5e-3074-76ae-91cc-33545830aa17</x:v>
      </x:c>
      <x:c r="B1477" s="50" t="str">
        <x:v>ECL</x:v>
      </x:c>
      <x:c r="C1477" s="70" t="n">
        <x:v>46241.74728430556</x:v>
      </x:c>
      <x:c r="D1477" s="50" t="str">
        <x:v>LONG_BUY_ZONE</x:v>
      </x:c>
      <x:c r="E1477" s="50" t="str">
        <x:v>ECL LONG BUY ZONE</x:v>
      </x:c>
      <x:c r="F1477" s="50" t="str">
        <x:v>WATCH</x:v>
      </x:c>
      <x:c r="G1477" s="50"/>
      <x:c r="H1477" s="50" t="str">
        <x:v>LONG</x:v>
      </x:c>
      <x:c r="I1477" s="71" t="n">
        <x:v>285.18</x:v>
      </x:c>
      <x:c r="J1477" s="76" t="str">
        <x:v>SIP</x:v>
      </x:c>
    </x:row>
    <x:row r="1478">
      <x:c r="A1478" s="50" t="str">
        <x:v>019fdd5f-0f80-7251-84a4-49b7d46491a4</x:v>
      </x:c>
      <x:c r="B1478" s="50" t="str">
        <x:v>MMM</x:v>
      </x:c>
      <x:c r="C1478" s="70" t="n">
        <x:v>46241.74794518518</x:v>
      </x:c>
      <x:c r="D1478" s="50" t="str">
        <x:v>SWING_SETUP</x:v>
      </x:c>
      <x:c r="E1478" s="50" t="str">
        <x:v>MMM SWING SETUP</x:v>
      </x:c>
      <x:c r="F1478" s="50" t="str">
        <x:v>WATCH</x:v>
      </x:c>
      <x:c r="G1478" s="50"/>
      <x:c r="H1478" s="50" t="str">
        <x:v>LONG</x:v>
      </x:c>
      <x:c r="I1478" s="71" t="n">
        <x:v>183.05</x:v>
      </x:c>
      <x:c r="J1478" s="76" t="str">
        <x:v>SIP</x:v>
      </x:c>
    </x:row>
    <x:row r="1479">
      <x:c r="A1479" s="50" t="str">
        <x:v>019fdd5f-0f8f-7af9-8262-0f8279d6d40d</x:v>
      </x:c>
      <x:c r="B1479" s="50" t="str">
        <x:v>ABT</x:v>
      </x:c>
      <x:c r="C1479" s="70" t="n">
        <x:v>46241.747945358795</x:v>
      </x:c>
      <x:c r="D1479" s="50" t="str">
        <x:v>SWING_SETUP</x:v>
      </x:c>
      <x:c r="E1479" s="50" t="str">
        <x:v>ABT SWING SETUP</x:v>
      </x:c>
      <x:c r="F1479" s="50" t="str">
        <x:v>WATCH</x:v>
      </x:c>
      <x:c r="G1479" s="50"/>
      <x:c r="H1479" s="50" t="str">
        <x:v>LONG</x:v>
      </x:c>
      <x:c r="I1479" s="71" t="n">
        <x:v>107.545</x:v>
      </x:c>
      <x:c r="J1479" s="76" t="str">
        <x:v>SIP</x:v>
      </x:c>
    </x:row>
    <x:row r="1480">
      <x:c r="A1480" s="50" t="str">
        <x:v>019fdd5f-10bb-7f34-8708-c90b6e9e4790</x:v>
      </x:c>
      <x:c r="B1480" s="50" t="str">
        <x:v>RCL</x:v>
      </x:c>
      <x:c r="C1480" s="70" t="n">
        <x:v>46241.74794883102</x:v>
      </x:c>
      <x:c r="D1480" s="50" t="str">
        <x:v>SWING_SETUP</x:v>
      </x:c>
      <x:c r="E1480" s="50" t="str">
        <x:v>RCL SWING SETUP</x:v>
      </x:c>
      <x:c r="F1480" s="50" t="str">
        <x:v>WATCH</x:v>
      </x:c>
      <x:c r="G1480" s="50"/>
      <x:c r="H1480" s="50" t="str">
        <x:v>LONG</x:v>
      </x:c>
      <x:c r="I1480" s="71" t="n">
        <x:v>320.17</x:v>
      </x:c>
      <x:c r="J1480" s="76" t="str">
        <x:v>SIP</x:v>
      </x:c>
    </x:row>
    <x:row r="1481">
      <x:c r="A1481" s="50" t="str">
        <x:v>019fdd5f-11f2-7e46-83ce-59ed5a45214f</x:v>
      </x:c>
      <x:c r="B1481" s="50" t="str">
        <x:v>PFE</x:v>
      </x:c>
      <x:c r="C1481" s="70" t="n">
        <x:v>46241.74795243055</x:v>
      </x:c>
      <x:c r="D1481" s="50" t="str">
        <x:v>SWING_SETUP</x:v>
      </x:c>
      <x:c r="E1481" s="50" t="str">
        <x:v>PFE SWING SETUP</x:v>
      </x:c>
      <x:c r="F1481" s="50" t="str">
        <x:v>WATCH</x:v>
      </x:c>
      <x:c r="G1481" s="50"/>
      <x:c r="H1481" s="50" t="str">
        <x:v>LONG</x:v>
      </x:c>
      <x:c r="I1481" s="71" t="n">
        <x:v>26.4759</x:v>
      </x:c>
      <x:c r="J1481" s="76" t="str">
        <x:v>SIP</x:v>
      </x:c>
    </x:row>
    <x:row r="1482">
      <x:c r="A1482" s="50" t="str">
        <x:v>019fdd5f-1219-764e-8b9a-fc9689d3fd1b</x:v>
      </x:c>
      <x:c r="B1482" s="50" t="str">
        <x:v>JD</x:v>
      </x:c>
      <x:c r="C1482" s="70" t="n">
        <x:v>46241.747952881946</x:v>
      </x:c>
      <x:c r="D1482" s="50" t="str">
        <x:v>SWING_SETUP</x:v>
      </x:c>
      <x:c r="E1482" s="50" t="str">
        <x:v>JD SWING SETUP</x:v>
      </x:c>
      <x:c r="F1482" s="50" t="str">
        <x:v>WATCH</x:v>
      </x:c>
      <x:c r="G1482" s="50"/>
      <x:c r="H1482" s="50" t="str">
        <x:v>LONG</x:v>
      </x:c>
      <x:c r="I1482" s="71" t="n">
        <x:v>32.925</x:v>
      </x:c>
      <x:c r="J1482" s="76" t="str">
        <x:v>SIP</x:v>
      </x:c>
    </x:row>
    <x:row r="1483">
      <x:c r="A1483" s="50" t="str">
        <x:v>019fdd5f-123f-753b-912d-7cd400853bfc</x:v>
      </x:c>
      <x:c r="B1483" s="50" t="str">
        <x:v>BAC</x:v>
      </x:c>
      <x:c r="C1483" s="70" t="n">
        <x:v>46241.74795331019</x:v>
      </x:c>
      <x:c r="D1483" s="50" t="str">
        <x:v>SWING_SETUP</x:v>
      </x:c>
      <x:c r="E1483" s="50" t="str">
        <x:v>BAC SWING SETUP</x:v>
      </x:c>
      <x:c r="F1483" s="50" t="str">
        <x:v>WATCH</x:v>
      </x:c>
      <x:c r="G1483" s="50"/>
      <x:c r="H1483" s="50" t="str">
        <x:v>LONG</x:v>
      </x:c>
      <x:c r="I1483" s="71" t="n">
        <x:v>63.015</x:v>
      </x:c>
      <x:c r="J1483" s="76" t="str">
        <x:v>SIP</x:v>
      </x:c>
    </x:row>
    <x:row r="1484">
      <x:c r="A1484" s="50" t="str">
        <x:v>019fdd5f-124d-7e24-8da3-deb244d0646a</x:v>
      </x:c>
      <x:c r="B1484" s="50" t="str">
        <x:v>JPM</x:v>
      </x:c>
      <x:c r="C1484" s="70" t="n">
        <x:v>46241.7479534838</x:v>
      </x:c>
      <x:c r="D1484" s="50" t="str">
        <x:v>SWING_SETUP</x:v>
      </x:c>
      <x:c r="E1484" s="50" t="str">
        <x:v>JPM SWING SETUP</x:v>
      </x:c>
      <x:c r="F1484" s="50" t="str">
        <x:v>WATCH</x:v>
      </x:c>
      <x:c r="G1484" s="50"/>
      <x:c r="H1484" s="50" t="str">
        <x:v>LONG</x:v>
      </x:c>
      <x:c r="I1484" s="71" t="n">
        <x:v>357.575</x:v>
      </x:c>
      <x:c r="J1484" s="76" t="str">
        <x:v>SIP</x:v>
      </x:c>
    </x:row>
    <x:row r="1485">
      <x:c r="A1485" s="50" t="str">
        <x:v>019fdd5f-125b-7c42-8ab3-1dbb8ee1848d</x:v>
      </x:c>
      <x:c r="B1485" s="50" t="str">
        <x:v>ECL</x:v>
      </x:c>
      <x:c r="C1485" s="70" t="n">
        <x:v>46241.747953645834</x:v>
      </x:c>
      <x:c r="D1485" s="50" t="str">
        <x:v>SWING_SETUP</x:v>
      </x:c>
      <x:c r="E1485" s="50" t="str">
        <x:v>ECL SWING SETUP</x:v>
      </x:c>
      <x:c r="F1485" s="50" t="str">
        <x:v>WATCH</x:v>
      </x:c>
      <x:c r="G1485" s="50"/>
      <x:c r="H1485" s="50" t="str">
        <x:v>LONG</x:v>
      </x:c>
      <x:c r="I1485" s="71" t="n">
        <x:v>285.01</x:v>
      </x:c>
      <x:c r="J1485" s="76" t="str">
        <x:v>SIP</x:v>
      </x:c>
    </x:row>
    <x:row r="1486">
      <x:c r="A1486" s="50" t="str">
        <x:v>019fdd5f-13bf-7c02-b39d-fdc1ba9e939a</x:v>
      </x:c>
      <x:c r="B1486" s="50" t="str">
        <x:v>RCL</x:v>
      </x:c>
      <x:c r="C1486" s="70" t="n">
        <x:v>46241.7479577662</x:v>
      </x:c>
      <x:c r="D1486" s="50" t="str">
        <x:v>LONG_BUY_ZONE</x:v>
      </x:c>
      <x:c r="E1486" s="50" t="str">
        <x:v>RCL LONG BUY ZONE</x:v>
      </x:c>
      <x:c r="F1486" s="50" t="str">
        <x:v>WATCH</x:v>
      </x:c>
      <x:c r="G1486" s="50"/>
      <x:c r="H1486" s="50" t="str">
        <x:v>LONG</x:v>
      </x:c>
      <x:c r="I1486" s="71" t="n">
        <x:v>320.73</x:v>
      </x:c>
      <x:c r="J1486" s="76" t="str">
        <x:v>SIP</x:v>
      </x:c>
    </x:row>
    <x:row r="1487">
      <x:c r="A1487" s="50" t="str">
        <x:v>019fdd5f-14c1-7066-a754-f0ff96470071</x:v>
      </x:c>
      <x:c r="B1487" s="50" t="str">
        <x:v>PM</x:v>
      </x:c>
      <x:c r="C1487" s="70" t="n">
        <x:v>46241.74796075231</x:v>
      </x:c>
      <x:c r="D1487" s="50" t="str">
        <x:v>SWING_SETUP</x:v>
      </x:c>
      <x:c r="E1487" s="50" t="str">
        <x:v>PM SWING SETUP</x:v>
      </x:c>
      <x:c r="F1487" s="50" t="str">
        <x:v>WATCH</x:v>
      </x:c>
      <x:c r="G1487" s="50"/>
      <x:c r="H1487" s="50" t="str">
        <x:v>LONG</x:v>
      </x:c>
      <x:c r="I1487" s="71" t="n">
        <x:v>189.03</x:v>
      </x:c>
      <x:c r="J1487" s="76" t="str">
        <x:v>SIP</x:v>
      </x:c>
    </x:row>
    <x:row r="1488">
      <x:c r="A1488" s="50" t="str">
        <x:v>019fdd5f-19d8-78a2-b2af-8057448e9d07</x:v>
      </x:c>
      <x:c r="B1488" s="50" t="str">
        <x:v>GS</x:v>
      </x:c>
      <x:c r="C1488" s="70" t="n">
        <x:v>46241.747975833336</x:v>
      </x:c>
      <x:c r="D1488" s="50" t="str">
        <x:v>LONG_BUY_ZONE</x:v>
      </x:c>
      <x:c r="E1488" s="50" t="str">
        <x:v>GS LONG BUY ZONE</x:v>
      </x:c>
      <x:c r="F1488" s="50" t="str">
        <x:v>WATCH</x:v>
      </x:c>
      <x:c r="G1488" s="50"/>
      <x:c r="H1488" s="50" t="str">
        <x:v>LONG</x:v>
      </x:c>
      <x:c r="I1488" s="71" t="n">
        <x:v>1040.68</x:v>
      </x:c>
      <x:c r="J1488" s="76" t="str">
        <x:v>SIP</x:v>
      </x:c>
    </x:row>
    <x:row r="1489">
      <x:c r="A1489" s="50" t="str">
        <x:v>019fdd62-b98b-7d2e-b498-d0a8a10d65aa</x:v>
      </x:c>
      <x:c r="B1489" s="50" t="str">
        <x:v>BKNG</x:v>
      </x:c>
      <x:c r="C1489" s="70" t="n">
        <x:v>46241.75072457176</x:v>
      </x:c>
      <x:c r="D1489" s="50" t="str">
        <x:v>SWING_SETUP</x:v>
      </x:c>
      <x:c r="E1489" s="50" t="str">
        <x:v>BKNG SWING SETUP</x:v>
      </x:c>
      <x:c r="F1489" s="50" t="str">
        <x:v>WATCH</x:v>
      </x:c>
      <x:c r="G1489" s="50"/>
      <x:c r="H1489" s="50" t="str">
        <x:v>LONG</x:v>
      </x:c>
      <x:c r="I1489" s="71" t="n">
        <x:v>212.525</x:v>
      </x:c>
      <x:c r="J1489" s="76" t="str">
        <x:v>SIP</x:v>
      </x:c>
    </x:row>
    <x:row r="1490">
      <x:c r="A1490" s="50" t="str">
        <x:v>019fdd62-bba8-73c4-a7a1-e0d595cc9e44</x:v>
      </x:c>
      <x:c r="B1490" s="50" t="str">
        <x:v>BLFS</x:v>
      </x:c>
      <x:c r="C1490" s="70" t="n">
        <x:v>46241.75073082176</x:v>
      </x:c>
      <x:c r="D1490" s="50" t="str">
        <x:v>SWING_SETUP</x:v>
      </x:c>
      <x:c r="E1490" s="50" t="str">
        <x:v>BLFS SWING SETUP</x:v>
      </x:c>
      <x:c r="F1490" s="50" t="str">
        <x:v>WATCH</x:v>
      </x:c>
      <x:c r="G1490" s="50"/>
      <x:c r="H1490" s="50" t="str">
        <x:v>LONG</x:v>
      </x:c>
      <x:c r="I1490" s="71" t="n">
        <x:v>34.45</x:v>
      </x:c>
      <x:c r="J1490" s="76" t="str">
        <x:v>SIP</x:v>
      </x:c>
    </x:row>
    <x:row r="1491">
      <x:c r="A1491" s="50" t="str">
        <x:v>019fdd62-bc1c-7e24-9300-4becd9d25111</x:v>
      </x:c>
      <x:c r="B1491" s="50" t="str">
        <x:v>SCHW</x:v>
      </x:c>
      <x:c r="C1491" s="70" t="n">
        <x:v>46241.750732175926</x:v>
      </x:c>
      <x:c r="D1491" s="50" t="str">
        <x:v>SWING_SETUP</x:v>
      </x:c>
      <x:c r="E1491" s="50" t="str">
        <x:v>SCHW SWING SETUP</x:v>
      </x:c>
      <x:c r="F1491" s="50" t="str">
        <x:v>WATCH</x:v>
      </x:c>
      <x:c r="G1491" s="50"/>
      <x:c r="H1491" s="50" t="str">
        <x:v>LONG</x:v>
      </x:c>
      <x:c r="I1491" s="71" t="n">
        <x:v>107.25</x:v>
      </x:c>
      <x:c r="J1491" s="76" t="str">
        <x:v>SIP</x:v>
      </x:c>
    </x:row>
    <x:row r="1492">
      <x:c r="A1492" s="50" t="str">
        <x:v>019fdd62-bd5d-7817-8396-e1e3a34654b5</x:v>
      </x:c>
      <x:c r="B1492" s="50" t="str">
        <x:v>BBWI</x:v>
      </x:c>
      <x:c r="C1492" s="70" t="n">
        <x:v>46241.750735891204</x:v>
      </x:c>
      <x:c r="D1492" s="50" t="str">
        <x:v>SWING_SETUP</x:v>
      </x:c>
      <x:c r="E1492" s="50" t="str">
        <x:v>BBWI SWING SETUP</x:v>
      </x:c>
      <x:c r="F1492" s="50" t="str">
        <x:v>WATCH</x:v>
      </x:c>
      <x:c r="G1492" s="50"/>
      <x:c r="H1492" s="50" t="str">
        <x:v>LONG</x:v>
      </x:c>
      <x:c r="I1492" s="71" t="n">
        <x:v>20.455</x:v>
      </x:c>
      <x:c r="J1492" s="76" t="str">
        <x:v>SIP</x:v>
      </x:c>
    </x:row>
    <x:row r="1493">
      <x:c r="A1493" s="50" t="str">
        <x:v>019fdd62-be23-7955-bde5-273f6029854f</x:v>
      </x:c>
      <x:c r="B1493" s="50" t="str">
        <x:v>TGT</x:v>
      </x:c>
      <x:c r="C1493" s="70" t="n">
        <x:v>46241.75073818287</x:v>
      </x:c>
      <x:c r="D1493" s="50" t="str">
        <x:v>SWING_SETUP</x:v>
      </x:c>
      <x:c r="E1493" s="50" t="str">
        <x:v>TGT SWING SETUP</x:v>
      </x:c>
      <x:c r="F1493" s="50" t="str">
        <x:v>WATCH</x:v>
      </x:c>
      <x:c r="G1493" s="50"/>
      <x:c r="H1493" s="50" t="str">
        <x:v>LONG</x:v>
      </x:c>
      <x:c r="I1493" s="71" t="n">
        <x:v>148.52</x:v>
      </x:c>
      <x:c r="J1493" s="76" t="str">
        <x:v>SIP</x:v>
      </x:c>
    </x:row>
    <x:row r="1494">
      <x:c r="A1494" s="50" t="str">
        <x:v>019fdd62-bff3-7a6f-9cda-c24258d4fdba</x:v>
      </x:c>
      <x:c r="B1494" s="50" t="str">
        <x:v>WFC</x:v>
      </x:c>
      <x:c r="C1494" s="70" t="n">
        <x:v>46241.75074355324</x:v>
      </x:c>
      <x:c r="D1494" s="50" t="str">
        <x:v>SWING_SETUP</x:v>
      </x:c>
      <x:c r="E1494" s="50" t="str">
        <x:v>WFC SWING SETUP</x:v>
      </x:c>
      <x:c r="F1494" s="50" t="str">
        <x:v>WATCH</x:v>
      </x:c>
      <x:c r="G1494" s="50"/>
      <x:c r="H1494" s="50" t="str">
        <x:v>LONG</x:v>
      </x:c>
      <x:c r="I1494" s="71" t="n">
        <x:v>86.98</x:v>
      </x:c>
      <x:c r="J1494" s="76" t="str">
        <x:v>SIP</x:v>
      </x:c>
    </x:row>
    <x:row r="1495">
      <x:c r="A1495" s="50" t="str">
        <x:v>019fdd62-c157-7138-a1d8-5c4adc72a600</x:v>
      </x:c>
      <x:c r="B1495" s="50" t="str">
        <x:v>BABA</x:v>
      </x:c>
      <x:c r="C1495" s="70" t="n">
        <x:v>46241.750747673614</x:v>
      </x:c>
      <x:c r="D1495" s="50" t="str">
        <x:v>SWING_SETUP</x:v>
      </x:c>
      <x:c r="E1495" s="50" t="str">
        <x:v>BABA SWING SETUP</x:v>
      </x:c>
      <x:c r="F1495" s="50" t="str">
        <x:v>WATCH</x:v>
      </x:c>
      <x:c r="G1495" s="50"/>
      <x:c r="H1495" s="50" t="str">
        <x:v>LONG</x:v>
      </x:c>
      <x:c r="I1495" s="71" t="n">
        <x:v>128.405</x:v>
      </x:c>
      <x:c r="J1495" s="76" t="str">
        <x:v>SIP</x:v>
      </x:c>
    </x:row>
    <x:row r="1496">
      <x:c r="A1496" s="50" t="str">
        <x:v>019fdd62-c5b0-7359-91ed-ad4c39aeb496</x:v>
      </x:c>
      <x:c r="B1496" s="50" t="str">
        <x:v>VZ</x:v>
      </x:c>
      <x:c r="C1496" s="70" t="n">
        <x:v>46241.75076055556</x:v>
      </x:c>
      <x:c r="D1496" s="50" t="str">
        <x:v>LONG_BUY_ZONE</x:v>
      </x:c>
      <x:c r="E1496" s="50" t="str">
        <x:v>VZ LONG BUY ZONE</x:v>
      </x:c>
      <x:c r="F1496" s="50" t="str">
        <x:v>WATCH</x:v>
      </x:c>
      <x:c r="G1496" s="50"/>
      <x:c r="H1496" s="50" t="str">
        <x:v>LONG</x:v>
      </x:c>
      <x:c r="I1496" s="71" t="n">
        <x:v>47.0102</x:v>
      </x:c>
      <x:c r="J1496" s="76" t="str">
        <x:v>SIP</x:v>
      </x:c>
    </x:row>
    <x:row r="1497">
      <x:c r="A1497" s="50" t="str">
        <x:v>019fdd63-a451-7f6d-8cf0-cdf7fadb73fd</x:v>
      </x:c>
      <x:c r="B1497" s="50" t="str">
        <x:v>AMGN</x:v>
      </x:c>
      <x:c r="C1497" s="70" t="n">
        <x:v>46241.75142018519</x:v>
      </x:c>
      <x:c r="D1497" s="50" t="str">
        <x:v>SWING_SETUP</x:v>
      </x:c>
      <x:c r="E1497" s="50" t="str">
        <x:v>AMGN SWING SETUP</x:v>
      </x:c>
      <x:c r="F1497" s="50" t="str">
        <x:v>WATCH</x:v>
      </x:c>
      <x:c r="G1497" s="50"/>
      <x:c r="H1497" s="50" t="str">
        <x:v>LONG</x:v>
      </x:c>
      <x:c r="I1497" s="71" t="n">
        <x:v>407.505</x:v>
      </x:c>
      <x:c r="J1497" s="76" t="str">
        <x:v>SIP</x:v>
      </x:c>
    </x:row>
    <x:row r="1498">
      <x:c r="A1498" s="50" t="str">
        <x:v>019fdd63-a4a1-7d52-837f-857675f2b409</x:v>
      </x:c>
      <x:c r="B1498" s="50" t="str">
        <x:v>UEC</x:v>
      </x:c>
      <x:c r="C1498" s="70" t="n">
        <x:v>46241.75142112269</x:v>
      </x:c>
      <x:c r="D1498" s="50" t="str">
        <x:v>SWING_SETUP</x:v>
      </x:c>
      <x:c r="E1498" s="50" t="str">
        <x:v>UEC SWING SETUP</x:v>
      </x:c>
      <x:c r="F1498" s="50" t="str">
        <x:v>WATCH</x:v>
      </x:c>
      <x:c r="G1498" s="50"/>
      <x:c r="H1498" s="50" t="str">
        <x:v>LONG</x:v>
      </x:c>
      <x:c r="I1498" s="71" t="n">
        <x:v>11.31</x:v>
      </x:c>
      <x:c r="J1498" s="76" t="str">
        <x:v>SIP</x:v>
      </x:c>
    </x:row>
    <x:row r="1499">
      <x:c r="A1499" s="50" t="str">
        <x:v>019fdd63-a668-74be-a2d1-0d040e0c3356</x:v>
      </x:c>
      <x:c r="B1499" s="50" t="str">
        <x:v>NOVT</x:v>
      </x:c>
      <x:c r="C1499" s="70" t="n">
        <x:v>46241.75142638889</x:v>
      </x:c>
      <x:c r="D1499" s="50" t="str">
        <x:v>SWING_SETUP</x:v>
      </x:c>
      <x:c r="E1499" s="50" t="str">
        <x:v>NOVT SWING SETUP</x:v>
      </x:c>
      <x:c r="F1499" s="50" t="str">
        <x:v>WATCH</x:v>
      </x:c>
      <x:c r="G1499" s="50"/>
      <x:c r="H1499" s="50" t="str">
        <x:v>LONG</x:v>
      </x:c>
      <x:c r="I1499" s="71" t="n">
        <x:v>169.33</x:v>
      </x:c>
      <x:c r="J1499" s="76" t="str">
        <x:v>SIP</x:v>
      </x:c>
    </x:row>
    <x:row r="1500">
      <x:c r="A1500" s="50" t="str">
        <x:v>019fdd63-a84e-7807-866a-0bdc0cb12c00</x:v>
      </x:c>
      <x:c r="B1500" s="50" t="str">
        <x:v>OXY</x:v>
      </x:c>
      <x:c r="C1500" s="70" t="n">
        <x:v>46241.75143201389</x:v>
      </x:c>
      <x:c r="D1500" s="50" t="str">
        <x:v>LONG_BUY_ZONE</x:v>
      </x:c>
      <x:c r="E1500" s="50" t="str">
        <x:v>OXY LONG BUY ZONE</x:v>
      </x:c>
      <x:c r="F1500" s="50" t="str">
        <x:v>WATCH</x:v>
      </x:c>
      <x:c r="G1500" s="50"/>
      <x:c r="H1500" s="50" t="str">
        <x:v>LONG</x:v>
      </x:c>
      <x:c r="I1500" s="71" t="n">
        <x:v>56.31</x:v>
      </x:c>
      <x:c r="J1500" s="76" t="str">
        <x:v>SIP</x:v>
      </x:c>
    </x:row>
    <x:row r="1501">
      <x:c r="A1501" s="50" t="str">
        <x:v>019fdd64-96d3-7b18-a781-675f6e884c48</x:v>
      </x:c>
      <x:c r="B1501" s="50" t="str">
        <x:v>KDP</x:v>
      </x:c>
      <x:c r="C1501" s="70" t="n">
        <x:v>46241.75213872685</x:v>
      </x:c>
      <x:c r="D1501" s="50" t="str">
        <x:v>LONG_BUY_ZONE</x:v>
      </x:c>
      <x:c r="E1501" s="50" t="str">
        <x:v>KDP LONG BUY ZONE</x:v>
      </x:c>
      <x:c r="F1501" s="50" t="str">
        <x:v>WATCH</x:v>
      </x:c>
      <x:c r="G1501" s="50"/>
      <x:c r="H1501" s="50" t="str">
        <x:v>LONG</x:v>
      </x:c>
      <x:c r="I1501" s="71" t="n">
        <x:v>30.07</x:v>
      </x:c>
      <x:c r="J1501" s="76" t="str">
        <x:v>SIP</x:v>
      </x:c>
    </x:row>
    <x:row r="1502">
      <x:c r="A1502" s="50" t="str">
        <x:v>019fdd65-7bd8-7dbc-889b-a5cbe32820de</x:v>
      </x:c>
      <x:c r="B1502" s="50" t="str">
        <x:v>AMZN</x:v>
      </x:c>
      <x:c r="C1502" s="70" t="n">
        <x:v>46241.75281731482</x:v>
      </x:c>
      <x:c r="D1502" s="50" t="str">
        <x:v>SWING_SETUP</x:v>
      </x:c>
      <x:c r="E1502" s="50" t="str">
        <x:v>AMZN SWING SETUP</x:v>
      </x:c>
      <x:c r="F1502" s="50" t="str">
        <x:v>WATCH</x:v>
      </x:c>
      <x:c r="G1502" s="50"/>
      <x:c r="H1502" s="50" t="str">
        <x:v>LONG</x:v>
      </x:c>
      <x:c r="I1502" s="71" t="n">
        <x:v>274.28</x:v>
      </x:c>
      <x:c r="J1502" s="76" t="str">
        <x:v>SIP</x:v>
      </x:c>
    </x:row>
    <x:row r="1503">
      <x:c r="A1503" s="50" t="str">
        <x:v>019fdd65-7c73-7199-9988-0c122a20f87d</x:v>
      </x:c>
      <x:c r="B1503" s="50" t="str">
        <x:v>MRK</x:v>
      </x:c>
      <x:c r="C1503" s="70" t="n">
        <x:v>46241.75281909722</x:v>
      </x:c>
      <x:c r="D1503" s="50" t="str">
        <x:v>SWING_SETUP</x:v>
      </x:c>
      <x:c r="E1503" s="50" t="str">
        <x:v>MRK SWING SETUP</x:v>
      </x:c>
      <x:c r="F1503" s="50" t="str">
        <x:v>WATCH</x:v>
      </x:c>
      <x:c r="G1503" s="50"/>
      <x:c r="H1503" s="50" t="str">
        <x:v>LONG</x:v>
      </x:c>
      <x:c r="I1503" s="71" t="n">
        <x:v>127.99</x:v>
      </x:c>
      <x:c r="J1503" s="76" t="str">
        <x:v>SIP</x:v>
      </x:c>
    </x:row>
    <x:row r="1504">
      <x:c r="A1504" s="50" t="str">
        <x:v>019fdd65-7d3f-7b0b-ae20-ab56a2d97375</x:v>
      </x:c>
      <x:c r="B1504" s="50" t="str">
        <x:v>ACHV</x:v>
      </x:c>
      <x:c r="C1504" s="70" t="n">
        <x:v>46241.752821469905</x:v>
      </x:c>
      <x:c r="D1504" s="50" t="str">
        <x:v>SWING_SETUP</x:v>
      </x:c>
      <x:c r="E1504" s="50" t="str">
        <x:v>ACHV SWING SETUP</x:v>
      </x:c>
      <x:c r="F1504" s="50" t="str">
        <x:v>WATCH</x:v>
      </x:c>
      <x:c r="G1504" s="50"/>
      <x:c r="H1504" s="50" t="str">
        <x:v>LONG</x:v>
      </x:c>
      <x:c r="I1504" s="71" t="n">
        <x:v>6.55</x:v>
      </x:c>
      <x:c r="J1504" s="76" t="str">
        <x:v>SIP</x:v>
      </x:c>
    </x:row>
    <x:row r="1505">
      <x:c r="A1505" s="50" t="str">
        <x:v>019fdd65-7dc8-7022-92e5-64dd78172320</x:v>
      </x:c>
      <x:c r="B1505" s="50" t="str">
        <x:v>XOM</x:v>
      </x:c>
      <x:c r="C1505" s="70" t="n">
        <x:v>46241.752823055554</x:v>
      </x:c>
      <x:c r="D1505" s="50" t="str">
        <x:v>SWING_SETUP</x:v>
      </x:c>
      <x:c r="E1505" s="50" t="str">
        <x:v>XOM SWING SETUP</x:v>
      </x:c>
      <x:c r="F1505" s="50" t="str">
        <x:v>WATCH</x:v>
      </x:c>
      <x:c r="G1505" s="50"/>
      <x:c r="H1505" s="50" t="str">
        <x:v>LONG</x:v>
      </x:c>
      <x:c r="I1505" s="71" t="n">
        <x:v>153.025</x:v>
      </x:c>
      <x:c r="J1505" s="76" t="str">
        <x:v>SIP</x:v>
      </x:c>
    </x:row>
    <x:row r="1506">
      <x:c r="A1506" s="50" t="str">
        <x:v>019fdd66-6332-7e79-b3dd-6af6176857ec</x:v>
      </x:c>
      <x:c r="B1506" s="50" t="str">
        <x:v>SNOW</x:v>
      </x:c>
      <x:c r="C1506" s="70" t="n">
        <x:v>46241.753502789354</x:v>
      </x:c>
      <x:c r="D1506" s="50" t="str">
        <x:v>SWING_SETUP</x:v>
      </x:c>
      <x:c r="E1506" s="50" t="str">
        <x:v>SNOW SWING SETUP</x:v>
      </x:c>
      <x:c r="F1506" s="50" t="str">
        <x:v>WATCH</x:v>
      </x:c>
      <x:c r="G1506" s="50"/>
      <x:c r="H1506" s="50" t="str">
        <x:v>LONG</x:v>
      </x:c>
      <x:c r="I1506" s="71" t="n">
        <x:v>326.82</x:v>
      </x:c>
      <x:c r="J1506" s="76" t="str">
        <x:v>SIP</x:v>
      </x:c>
    </x:row>
    <x:row r="1507">
      <x:c r="A1507" s="50" t="str">
        <x:v>019fdd66-6473-7363-ab8a-2f7b1ec82348</x:v>
      </x:c>
      <x:c r="B1507" s="50" t="str">
        <x:v>RDW</x:v>
      </x:c>
      <x:c r="C1507" s="70" t="n">
        <x:v>46241.7535065162</x:v>
      </x:c>
      <x:c r="D1507" s="50" t="str">
        <x:v>SWING_SETUP</x:v>
      </x:c>
      <x:c r="E1507" s="50" t="str">
        <x:v>RDW SWING SETUP</x:v>
      </x:c>
      <x:c r="F1507" s="50" t="str">
        <x:v>WATCH</x:v>
      </x:c>
      <x:c r="G1507" s="50"/>
      <x:c r="H1507" s="50" t="str">
        <x:v>LONG</x:v>
      </x:c>
      <x:c r="I1507" s="71" t="n">
        <x:v>13.46</x:v>
      </x:c>
      <x:c r="J1507" s="76" t="str">
        <x:v>SIP</x:v>
      </x:c>
    </x:row>
    <x:row r="1508">
      <x:c r="A1508" s="50" t="str">
        <x:v>019fdd66-65b6-7fc4-97c4-d93e586c7923</x:v>
      </x:c>
      <x:c r="B1508" s="50" t="str">
        <x:v>ABNB</x:v>
      </x:c>
      <x:c r="C1508" s="70" t="n">
        <x:v>46241.75351025463</x:v>
      </x:c>
      <x:c r="D1508" s="50" t="str">
        <x:v>SWING_SETUP</x:v>
      </x:c>
      <x:c r="E1508" s="50" t="str">
        <x:v>ABNB SWING SETUP</x:v>
      </x:c>
      <x:c r="F1508" s="50" t="str">
        <x:v>WATCH</x:v>
      </x:c>
      <x:c r="G1508" s="50"/>
      <x:c r="H1508" s="50" t="str">
        <x:v>LONG</x:v>
      </x:c>
      <x:c r="I1508" s="71" t="n">
        <x:v>174.28</x:v>
      </x:c>
      <x:c r="J1508" s="76" t="str">
        <x:v>SIP</x:v>
      </x:c>
    </x:row>
    <x:row r="1509">
      <x:c r="A1509" s="50" t="str">
        <x:v>019fdd67-5443-7d63-be08-2d3c16accec3</x:v>
      </x:c>
      <x:c r="B1509" s="50" t="str">
        <x:v>NOC</x:v>
      </x:c>
      <x:c r="C1509" s="70" t="n">
        <x:v>46241.75421707176</x:v>
      </x:c>
      <x:c r="D1509" s="50" t="str">
        <x:v>SWING_SETUP</x:v>
      </x:c>
      <x:c r="E1509" s="50" t="str">
        <x:v>NOC SWING SETUP</x:v>
      </x:c>
      <x:c r="F1509" s="50" t="str">
        <x:v>WATCH</x:v>
      </x:c>
      <x:c r="G1509" s="50"/>
      <x:c r="H1509" s="50" t="str">
        <x:v>LONG</x:v>
      </x:c>
      <x:c r="I1509" s="71" t="n">
        <x:v>569.29</x:v>
      </x:c>
      <x:c r="J1509" s="76" t="str">
        <x:v>SIP</x:v>
      </x:c>
    </x:row>
    <x:row r="1510">
      <x:c r="A1510" s="50" t="str">
        <x:v>019fdd67-54dc-7e59-b640-56ec48b10c63</x:v>
      </x:c>
      <x:c r="B1510" s="50" t="str">
        <x:v>PSX</x:v>
      </x:c>
      <x:c r="C1510" s="70" t="n">
        <x:v>46241.754218842594</x:v>
      </x:c>
      <x:c r="D1510" s="50" t="str">
        <x:v>SWING_SETUP</x:v>
      </x:c>
      <x:c r="E1510" s="50" t="str">
        <x:v>PSX SWING SETUP</x:v>
      </x:c>
      <x:c r="F1510" s="50" t="str">
        <x:v>WATCH</x:v>
      </x:c>
      <x:c r="G1510" s="50"/>
      <x:c r="H1510" s="50" t="str">
        <x:v>LONG</x:v>
      </x:c>
      <x:c r="I1510" s="71" t="n">
        <x:v>204.58</x:v>
      </x:c>
      <x:c r="J1510" s="76" t="str">
        <x:v>SIP</x:v>
      </x:c>
    </x:row>
    <x:row r="1511">
      <x:c r="A1511" s="50" t="str">
        <x:v>019fdd68-3900-7848-8878-9d117d1e6d1a</x:v>
      </x:c>
      <x:c r="B1511" s="50" t="str">
        <x:v>APH</x:v>
      </x:c>
      <x:c r="C1511" s="70" t="n">
        <x:v>46241.75489481482</x:v>
      </x:c>
      <x:c r="D1511" s="50" t="str">
        <x:v>LONG_BUY_ZONE</x:v>
      </x:c>
      <x:c r="E1511" s="50" t="str">
        <x:v>APH LONG BUY ZONE</x:v>
      </x:c>
      <x:c r="F1511" s="50" t="str">
        <x:v>WATCH</x:v>
      </x:c>
      <x:c r="G1511" s="50"/>
      <x:c r="H1511" s="50" t="str">
        <x:v>LONG</x:v>
      </x:c>
      <x:c r="I1511" s="71" t="n">
        <x:v>167.74</x:v>
      </x:c>
      <x:c r="J1511" s="76" t="str">
        <x:v>SIP</x:v>
      </x:c>
    </x:row>
    <x:row r="1512">
      <x:c r="A1512" s="50" t="str">
        <x:v>019fdd68-3eb0-7186-b317-2b290bb44f53</x:v>
      </x:c>
      <x:c r="B1512" s="50" t="str">
        <x:v>SBUX</x:v>
      </x:c>
      <x:c r="C1512" s="70" t="n">
        <x:v>46241.75491166666</x:v>
      </x:c>
      <x:c r="D1512" s="50" t="str">
        <x:v>LONG_BUY_ZONE</x:v>
      </x:c>
      <x:c r="E1512" s="50" t="str">
        <x:v>SBUX LONG BUY ZONE</x:v>
      </x:c>
      <x:c r="F1512" s="50" t="str">
        <x:v>WATCH</x:v>
      </x:c>
      <x:c r="G1512" s="50"/>
      <x:c r="H1512" s="50" t="str">
        <x:v>LONG</x:v>
      </x:c>
      <x:c r="I1512" s="71" t="n">
        <x:v>106.06</x:v>
      </x:c>
      <x:c r="J1512" s="76" t="str">
        <x:v>SIP</x:v>
      </x:c>
    </x:row>
    <x:row r="1513">
      <x:c r="A1513" s="50" t="str">
        <x:v>019fdd69-264f-7413-8176-b5937cdd56e0</x:v>
      </x:c>
      <x:c r="B1513" s="50" t="str">
        <x:v>INTU</x:v>
      </x:c>
      <x:c r="C1513" s="70" t="n">
        <x:v>46241.755597951385</x:v>
      </x:c>
      <x:c r="D1513" s="50" t="str">
        <x:v>SWING_SETUP</x:v>
      </x:c>
      <x:c r="E1513" s="50" t="str">
        <x:v>INTU SWING SETUP</x:v>
      </x:c>
      <x:c r="F1513" s="50" t="str">
        <x:v>WATCH</x:v>
      </x:c>
      <x:c r="G1513" s="50"/>
      <x:c r="H1513" s="50" t="str">
        <x:v>LONG</x:v>
      </x:c>
      <x:c r="I1513" s="71" t="n">
        <x:v>328.02</x:v>
      </x:c>
      <x:c r="J1513" s="76" t="str">
        <x:v>SIP</x:v>
      </x:c>
    </x:row>
    <x:row r="1514">
      <x:c r="A1514" s="50" t="str">
        <x:v>019fdd69-267a-771a-b23f-cfe9730ace27</x:v>
      </x:c>
      <x:c r="B1514" s="50" t="str">
        <x:v>DECK</x:v>
      </x:c>
      <x:c r="C1514" s="70" t="n">
        <x:v>46241.755598449075</x:v>
      </x:c>
      <x:c r="D1514" s="50" t="str">
        <x:v>BEARISH_CONSENSUS</x:v>
      </x:c>
      <x:c r="E1514" s="50" t="str">
        <x:v>DECK BEARISH CONSENSUS</x:v>
      </x:c>
      <x:c r="F1514" s="50" t="str">
        <x:v>ACTION</x:v>
      </x:c>
      <x:c r="G1514" s="50"/>
      <x:c r="H1514" s="50" t="str">
        <x:v>SHORT</x:v>
      </x:c>
      <x:c r="I1514" s="71" t="n">
        <x:v>97.675</x:v>
      </x:c>
      <x:c r="J1514" s="76" t="str">
        <x:v>SIP</x:v>
      </x:c>
    </x:row>
    <x:row r="1515">
      <x:c r="A1515" s="50" t="str">
        <x:v>019fdd69-2748-7151-8978-eb017b8c4913</x:v>
      </x:c>
      <x:c r="B1515" s="50" t="str">
        <x:v>MDLZ</x:v>
      </x:c>
      <x:c r="C1515" s="70" t="n">
        <x:v>46241.755600833334</x:v>
      </x:c>
      <x:c r="D1515" s="50" t="str">
        <x:v>SWING_SETUP</x:v>
      </x:c>
      <x:c r="E1515" s="50" t="str">
        <x:v>MDLZ SWING SETUP</x:v>
      </x:c>
      <x:c r="F1515" s="50" t="str">
        <x:v>WATCH</x:v>
      </x:c>
      <x:c r="G1515" s="50"/>
      <x:c r="H1515" s="50" t="str">
        <x:v>LONG</x:v>
      </x:c>
      <x:c r="I1515" s="71" t="n">
        <x:v>62.905</x:v>
      </x:c>
      <x:c r="J1515" s="76" t="str">
        <x:v>SIP</x:v>
      </x:c>
    </x:row>
    <x:row r="1516">
      <x:c r="A1516" s="50" t="str">
        <x:v>019fdd69-2750-7d7a-9a0d-cc33006fdf0c</x:v>
      </x:c>
      <x:c r="B1516" s="50" t="str">
        <x:v>VZ</x:v>
      </x:c>
      <x:c r="C1516" s="70" t="n">
        <x:v>46241.75560092593</x:v>
      </x:c>
      <x:c r="D1516" s="50" t="str">
        <x:v>SWING_SETUP</x:v>
      </x:c>
      <x:c r="E1516" s="50" t="str">
        <x:v>VZ SWING SETUP</x:v>
      </x:c>
      <x:c r="F1516" s="50" t="str">
        <x:v>WATCH</x:v>
      </x:c>
      <x:c r="G1516" s="50"/>
      <x:c r="H1516" s="50" t="str">
        <x:v>LONG</x:v>
      </x:c>
      <x:c r="I1516" s="71" t="n">
        <x:v>46.99</x:v>
      </x:c>
      <x:c r="J1516" s="76" t="str">
        <x:v>SIP</x:v>
      </x:c>
    </x:row>
    <x:row r="1517">
      <x:c r="A1517" s="50" t="str">
        <x:v>019fdd69-275f-7f01-b558-00e3dc2a1d3b</x:v>
      </x:c>
      <x:c r="B1517" s="50" t="str">
        <x:v>UNP</x:v>
      </x:c>
      <x:c r="C1517" s="70" t="n">
        <x:v>46241.75560109954</x:v>
      </x:c>
      <x:c r="D1517" s="50" t="str">
        <x:v>SWING_SETUP</x:v>
      </x:c>
      <x:c r="E1517" s="50" t="str">
        <x:v>UNP SWING SETUP</x:v>
      </x:c>
      <x:c r="F1517" s="50" t="str">
        <x:v>WATCH</x:v>
      </x:c>
      <x:c r="G1517" s="50"/>
      <x:c r="H1517" s="50" t="str">
        <x:v>LONG</x:v>
      </x:c>
      <x:c r="I1517" s="71" t="n">
        <x:v>294.31</x:v>
      </x:c>
      <x:c r="J1517" s="76" t="str">
        <x:v>SIP</x:v>
      </x:c>
    </x:row>
    <x:row r="1518">
      <x:c r="A1518" s="50" t="str">
        <x:v>019fdd69-2769-7ca8-a3de-da99251cd6b5</x:v>
      </x:c>
      <x:c r="B1518" s="50" t="str">
        <x:v>OXY</x:v>
      </x:c>
      <x:c r="C1518" s="70" t="n">
        <x:v>46241.75560121528</x:v>
      </x:c>
      <x:c r="D1518" s="50" t="str">
        <x:v>SWING_SETUP</x:v>
      </x:c>
      <x:c r="E1518" s="50" t="str">
        <x:v>OXY SWING SETUP</x:v>
      </x:c>
      <x:c r="F1518" s="50" t="str">
        <x:v>WATCH</x:v>
      </x:c>
      <x:c r="G1518" s="50"/>
      <x:c r="H1518" s="50" t="str">
        <x:v>LONG</x:v>
      </x:c>
      <x:c r="I1518" s="71" t="n">
        <x:v>56.28</x:v>
      </x:c>
      <x:c r="J1518" s="76" t="str">
        <x:v>SIP</x:v>
      </x:c>
    </x:row>
    <x:row r="1519">
      <x:c r="A1519" s="50" t="str">
        <x:v>019fdd69-2782-785d-8348-635e3a77f7d6</x:v>
      </x:c>
      <x:c r="B1519" s="50" t="str">
        <x:v>COP</x:v>
      </x:c>
      <x:c r="C1519" s="70" t="n">
        <x:v>46241.75560150463</x:v>
      </x:c>
      <x:c r="D1519" s="50" t="str">
        <x:v>SWING_SETUP</x:v>
      </x:c>
      <x:c r="E1519" s="50" t="str">
        <x:v>COP SWING SETUP</x:v>
      </x:c>
      <x:c r="F1519" s="50" t="str">
        <x:v>WATCH</x:v>
      </x:c>
      <x:c r="G1519" s="50"/>
      <x:c r="H1519" s="50" t="str">
        <x:v>LONG</x:v>
      </x:c>
      <x:c r="I1519" s="71" t="n">
        <x:v>117.83</x:v>
      </x:c>
      <x:c r="J1519" s="76" t="str">
        <x:v>SIP</x:v>
      </x:c>
    </x:row>
    <x:row r="1520">
      <x:c r="A1520" s="50" t="str">
        <x:v>019fdd69-27a0-7677-a4ca-f77c206717cd</x:v>
      </x:c>
      <x:c r="B1520" s="50" t="str">
        <x:v>SBUX</x:v>
      </x:c>
      <x:c r="C1520" s="70" t="n">
        <x:v>46241.75560185185</x:v>
      </x:c>
      <x:c r="D1520" s="50" t="str">
        <x:v>SWING_SETUP</x:v>
      </x:c>
      <x:c r="E1520" s="50" t="str">
        <x:v>SBUX SWING SETUP</x:v>
      </x:c>
      <x:c r="F1520" s="50" t="str">
        <x:v>WATCH</x:v>
      </x:c>
      <x:c r="G1520" s="50"/>
      <x:c r="H1520" s="50" t="str">
        <x:v>LONG</x:v>
      </x:c>
      <x:c r="I1520" s="71" t="n">
        <x:v>106.215</x:v>
      </x:c>
      <x:c r="J1520" s="76" t="str">
        <x:v>SIP</x:v>
      </x:c>
    </x:row>
    <x:row r="1521">
      <x:c r="A1521" s="50" t="str">
        <x:v>019fdd69-2b5a-763c-99fa-988289737a2e</x:v>
      </x:c>
      <x:c r="B1521" s="50" t="str">
        <x:v>MRK</x:v>
      </x:c>
      <x:c r="C1521" s="70" t="n">
        <x:v>46241.75561288194</x:v>
      </x:c>
      <x:c r="D1521" s="50" t="str">
        <x:v>LONG_BUY_ZONE</x:v>
      </x:c>
      <x:c r="E1521" s="50" t="str">
        <x:v>MRK LONG BUY ZONE</x:v>
      </x:c>
      <x:c r="F1521" s="50" t="str">
        <x:v>WATCH</x:v>
      </x:c>
      <x:c r="G1521" s="50"/>
      <x:c r="H1521" s="50" t="str">
        <x:v>LONG</x:v>
      </x:c>
      <x:c r="I1521" s="71" t="n">
        <x:v>128.2401</x:v>
      </x:c>
      <x:c r="J1521" s="76" t="str">
        <x:v>SIP</x:v>
      </x:c>
    </x:row>
    <x:row r="1522">
      <x:c r="A1522" s="50" t="str">
        <x:v>019fdd6a-1073-737b-a618-71b9ab9eb70e</x:v>
      </x:c>
      <x:c r="B1522" s="50" t="str">
        <x:v>LMT</x:v>
      </x:c>
      <x:c r="C1522" s="70" t="n">
        <x:v>46241.756291701386</x:v>
      </x:c>
      <x:c r="D1522" s="50" t="str">
        <x:v>SWING_SETUP</x:v>
      </x:c>
      <x:c r="E1522" s="50" t="str">
        <x:v>LMT SWING SETUP</x:v>
      </x:c>
      <x:c r="F1522" s="50" t="str">
        <x:v>WATCH</x:v>
      </x:c>
      <x:c r="G1522" s="50"/>
      <x:c r="H1522" s="50" t="str">
        <x:v>LONG</x:v>
      </x:c>
      <x:c r="I1522" s="71" t="n">
        <x:v>584.535</x:v>
      </x:c>
      <x:c r="J1522" s="76" t="str">
        <x:v>SIP</x:v>
      </x:c>
    </x:row>
    <x:row r="1523">
      <x:c r="A1523" s="50" t="str">
        <x:v>019fdd6a-10af-7954-8c96-11b578ef9d2c</x:v>
      </x:c>
      <x:c r="B1523" s="50" t="str">
        <x:v>APA</x:v>
      </x:c>
      <x:c r="C1523" s="70" t="n">
        <x:v>46241.75629239583</x:v>
      </x:c>
      <x:c r="D1523" s="50" t="str">
        <x:v>SWING_SETUP</x:v>
      </x:c>
      <x:c r="E1523" s="50" t="str">
        <x:v>APA SWING SETUP</x:v>
      </x:c>
      <x:c r="F1523" s="50" t="str">
        <x:v>WATCH</x:v>
      </x:c>
      <x:c r="G1523" s="50"/>
      <x:c r="H1523" s="50" t="str">
        <x:v>LONG</x:v>
      </x:c>
      <x:c r="I1523" s="71" t="n">
        <x:v>37.75</x:v>
      </x:c>
      <x:c r="J1523" s="76" t="str">
        <x:v>SIP</x:v>
      </x:c>
    </x:row>
    <x:row r="1524">
      <x:c r="A1524" s="50" t="str">
        <x:v>019fdd6a-10b7-754d-a634-d432e918d721</x:v>
      </x:c>
      <x:c r="B1524" s="50" t="str">
        <x:v>WELL</x:v>
      </x:c>
      <x:c r="C1524" s="70" t="n">
        <x:v>46241.756292488426</x:v>
      </x:c>
      <x:c r="D1524" s="50" t="str">
        <x:v>SWING_SETUP</x:v>
      </x:c>
      <x:c r="E1524" s="50" t="str">
        <x:v>WELL SWING SETUP</x:v>
      </x:c>
      <x:c r="F1524" s="50" t="str">
        <x:v>WATCH</x:v>
      </x:c>
      <x:c r="G1524" s="50"/>
      <x:c r="H1524" s="50" t="str">
        <x:v>LONG</x:v>
      </x:c>
      <x:c r="I1524" s="71" t="n">
        <x:v>236.3119</x:v>
      </x:c>
      <x:c r="J1524" s="76" t="str">
        <x:v>SIP</x:v>
      </x:c>
    </x:row>
    <x:row r="1525">
      <x:c r="A1525" s="50" t="str">
        <x:v>019fdd6a-10c0-7943-9692-8713b4b30f46</x:v>
      </x:c>
      <x:c r="B1525" s="50" t="str">
        <x:v>DASH</x:v>
      </x:c>
      <x:c r="C1525" s="70" t="n">
        <x:v>46241.756292592596</x:v>
      </x:c>
      <x:c r="D1525" s="50" t="str">
        <x:v>SWING_SETUP</x:v>
      </x:c>
      <x:c r="E1525" s="50" t="str">
        <x:v>DASH SWING SETUP</x:v>
      </x:c>
      <x:c r="F1525" s="50" t="str">
        <x:v>WATCH</x:v>
      </x:c>
      <x:c r="G1525" s="50"/>
      <x:c r="H1525" s="50" t="str">
        <x:v>LONG</x:v>
      </x:c>
      <x:c r="I1525" s="71" t="n">
        <x:v>220.195</x:v>
      </x:c>
      <x:c r="J1525" s="76" t="str">
        <x:v>SIP</x:v>
      </x:c>
    </x:row>
    <x:row r="1526">
      <x:c r="A1526" s="50" t="str">
        <x:v>019fdd6a-10e6-756b-acf1-45e66312e159</x:v>
      </x:c>
      <x:c r="B1526" s="50" t="str">
        <x:v>DLR</x:v>
      </x:c>
      <x:c r="C1526" s="70" t="n">
        <x:v>46241.756293032406</x:v>
      </x:c>
      <x:c r="D1526" s="50" t="str">
        <x:v>SWING_SETUP</x:v>
      </x:c>
      <x:c r="E1526" s="50" t="str">
        <x:v>DLR SWING SETUP</x:v>
      </x:c>
      <x:c r="F1526" s="50" t="str">
        <x:v>WATCH</x:v>
      </x:c>
      <x:c r="G1526" s="50"/>
      <x:c r="H1526" s="50" t="str">
        <x:v>LONG</x:v>
      </x:c>
      <x:c r="I1526" s="71" t="n">
        <x:v>194</x:v>
      </x:c>
      <x:c r="J1526" s="76" t="str">
        <x:v>SIP</x:v>
      </x:c>
    </x:row>
    <x:row r="1527">
      <x:c r="A1527" s="50" t="str">
        <x:v>019fdd6a-f5b3-7566-9b1d-fa748b3b9977</x:v>
      </x:c>
      <x:c r="B1527" s="50" t="str">
        <x:v>ABBV</x:v>
      </x:c>
      <x:c r="C1527" s="70" t="n">
        <x:v>46241.75697096065</x:v>
      </x:c>
      <x:c r="D1527" s="50" t="str">
        <x:v>LONG_BUY_ZONE</x:v>
      </x:c>
      <x:c r="E1527" s="50" t="str">
        <x:v>ABBV LONG BUY ZONE</x:v>
      </x:c>
      <x:c r="F1527" s="50" t="str">
        <x:v>WATCH</x:v>
      </x:c>
      <x:c r="G1527" s="50"/>
      <x:c r="H1527" s="50" t="str">
        <x:v>LONG</x:v>
      </x:c>
      <x:c r="I1527" s="71" t="n">
        <x:v>244.9701</x:v>
      </x:c>
      <x:c r="J1527" s="76" t="str">
        <x:v>SIP</x:v>
      </x:c>
    </x:row>
    <x:row r="1528">
      <x:c r="A1528" s="50" t="str">
        <x:v>019fdd6a-f8bd-7e25-a876-f36ac03ccdd4</x:v>
      </x:c>
      <x:c r="B1528" s="50" t="str">
        <x:v>ANET</x:v>
      </x:c>
      <x:c r="C1528" s="70" t="n">
        <x:v>46241.75697996528</x:v>
      </x:c>
      <x:c r="D1528" s="50" t="str">
        <x:v>SWING_SETUP</x:v>
      </x:c>
      <x:c r="E1528" s="50" t="str">
        <x:v>ANET SWING SETUP</x:v>
      </x:c>
      <x:c r="F1528" s="50" t="str">
        <x:v>WATCH</x:v>
      </x:c>
      <x:c r="G1528" s="50"/>
      <x:c r="H1528" s="50" t="str">
        <x:v>LONG</x:v>
      </x:c>
      <x:c r="I1528" s="71" t="n">
        <x:v>189.92</x:v>
      </x:c>
      <x:c r="J1528" s="76" t="str">
        <x:v>SIP</x:v>
      </x:c>
    </x:row>
    <x:row r="1529">
      <x:c r="A1529" s="50" t="str">
        <x:v>019fdd6a-f951-791a-a4e6-ffb025bd00e3</x:v>
      </x:c>
      <x:c r="B1529" s="50" t="str">
        <x:v>PM</x:v>
      </x:c>
      <x:c r="C1529" s="70" t="n">
        <x:v>46241.75698167824</x:v>
      </x:c>
      <x:c r="D1529" s="50" t="str">
        <x:v>LONG_BUY_ZONE</x:v>
      </x:c>
      <x:c r="E1529" s="50" t="str">
        <x:v>PM LONG BUY ZONE</x:v>
      </x:c>
      <x:c r="F1529" s="50" t="str">
        <x:v>WATCH</x:v>
      </x:c>
      <x:c r="G1529" s="50"/>
      <x:c r="H1529" s="50" t="str">
        <x:v>LONG</x:v>
      </x:c>
      <x:c r="I1529" s="71" t="n">
        <x:v>189.3</x:v>
      </x:c>
      <x:c r="J1529" s="76" t="str">
        <x:v>SIP</x:v>
      </x:c>
    </x:row>
    <x:row r="1530">
      <x:c r="A1530" s="50" t="str">
        <x:v>019fdd6a-faa7-767c-9cc3-7a52e8b5e4e5</x:v>
      </x:c>
      <x:c r="B1530" s="50" t="str">
        <x:v>BMY</x:v>
      </x:c>
      <x:c r="C1530" s="70" t="n">
        <x:v>46241.75698563657</x:v>
      </x:c>
      <x:c r="D1530" s="50" t="str">
        <x:v>SWING_SETUP</x:v>
      </x:c>
      <x:c r="E1530" s="50" t="str">
        <x:v>BMY SWING SETUP</x:v>
      </x:c>
      <x:c r="F1530" s="50" t="str">
        <x:v>WATCH</x:v>
      </x:c>
      <x:c r="G1530" s="50"/>
      <x:c r="H1530" s="50" t="str">
        <x:v>LONG</x:v>
      </x:c>
      <x:c r="I1530" s="71" t="n">
        <x:v>64.07</x:v>
      </x:c>
      <x:c r="J1530" s="76" t="str">
        <x:v>SIP</x:v>
      </x:c>
    </x:row>
    <x:row r="1531">
      <x:c r="A1531" s="50" t="str">
        <x:v>019fdd6a-fbc6-7083-a6ee-59b9378d38f0</x:v>
      </x:c>
      <x:c r="B1531" s="50" t="str">
        <x:v>PLTR</x:v>
      </x:c>
      <x:c r="C1531" s="70" t="n">
        <x:v>46241.756988946756</x:v>
      </x:c>
      <x:c r="D1531" s="50" t="str">
        <x:v>SWING_SETUP</x:v>
      </x:c>
      <x:c r="E1531" s="50" t="str">
        <x:v>PLTR SWING SETUP</x:v>
      </x:c>
      <x:c r="F1531" s="50" t="str">
        <x:v>WATCH</x:v>
      </x:c>
      <x:c r="G1531" s="50"/>
      <x:c r="H1531" s="50" t="str">
        <x:v>LONG</x:v>
      </x:c>
      <x:c r="I1531" s="71" t="n">
        <x:v>171.06</x:v>
      </x:c>
      <x:c r="J1531" s="76" t="str">
        <x:v>SIP</x:v>
      </x:c>
    </x:row>
    <x:row r="1532">
      <x:c r="A1532" s="50" t="str">
        <x:v>019fdd6b-e5a9-7814-9398-6e5ddbed2fce</x:v>
      </x:c>
      <x:c r="B1532" s="50" t="str">
        <x:v>BLK</x:v>
      </x:c>
      <x:c r="C1532" s="70" t="n">
        <x:v>46241.75768195602</x:v>
      </x:c>
      <x:c r="D1532" s="50" t="str">
        <x:v>SWING_SETUP</x:v>
      </x:c>
      <x:c r="E1532" s="50" t="str">
        <x:v>BLK SWING SETUP</x:v>
      </x:c>
      <x:c r="F1532" s="50" t="str">
        <x:v>WATCH</x:v>
      </x:c>
      <x:c r="G1532" s="50"/>
      <x:c r="H1532" s="50" t="str">
        <x:v>LONG</x:v>
      </x:c>
      <x:c r="I1532" s="71" t="n">
        <x:v>1139.97</x:v>
      </x:c>
      <x:c r="J1532" s="76" t="str">
        <x:v>SIP</x:v>
      </x:c>
    </x:row>
    <x:row r="1533">
      <x:c r="A1533" s="50" t="str">
        <x:v>019fdd6c-cb3c-7172-a76b-c26652e0fa09</x:v>
      </x:c>
      <x:c r="B1533" s="50" t="str">
        <x:v>ECL</x:v>
      </x:c>
      <x:c r="C1533" s="70" t="n">
        <x:v>46241.758362175926</x:v>
      </x:c>
      <x:c r="D1533" s="50" t="str">
        <x:v>LONG_BUY_ZONE</x:v>
      </x:c>
      <x:c r="E1533" s="50" t="str">
        <x:v>ECL LONG BUY ZONE</x:v>
      </x:c>
      <x:c r="F1533" s="50" t="str">
        <x:v>WATCH</x:v>
      </x:c>
      <x:c r="G1533" s="50"/>
      <x:c r="H1533" s="50" t="str">
        <x:v>LONG</x:v>
      </x:c>
      <x:c r="I1533" s="71" t="n">
        <x:v>284.48</x:v>
      </x:c>
      <x:c r="J1533" s="76" t="str">
        <x:v>SIP</x:v>
      </x:c>
    </x:row>
    <x:row r="1534">
      <x:c r="A1534" s="50" t="str">
        <x:v>019fdd6c-cb4f-7662-af5c-d24a6f9d1a75</x:v>
      </x:c>
      <x:c r="B1534" s="50" t="str">
        <x:v>MMM</x:v>
      </x:c>
      <x:c r="C1534" s="70" t="n">
        <x:v>46241.758362395834</x:v>
      </x:c>
      <x:c r="D1534" s="50" t="str">
        <x:v>SWING_SETUP</x:v>
      </x:c>
      <x:c r="E1534" s="50" t="str">
        <x:v>MMM SWING SETUP</x:v>
      </x:c>
      <x:c r="F1534" s="50" t="str">
        <x:v>WATCH</x:v>
      </x:c>
      <x:c r="G1534" s="50"/>
      <x:c r="H1534" s="50" t="str">
        <x:v>LONG</x:v>
      </x:c>
      <x:c r="I1534" s="71" t="n">
        <x:v>183.08</x:v>
      </x:c>
      <x:c r="J1534" s="76" t="str">
        <x:v>SIP</x:v>
      </x:c>
    </x:row>
    <x:row r="1535">
      <x:c r="A1535" s="50" t="str">
        <x:v>019fdd6c-cb5b-7a06-9cdc-ba54301bd338</x:v>
      </x:c>
      <x:c r="B1535" s="50" t="str">
        <x:v>ABT</x:v>
      </x:c>
      <x:c r="C1535" s="70" t="n">
        <x:v>46241.75836252315</x:v>
      </x:c>
      <x:c r="D1535" s="50" t="str">
        <x:v>SWING_SETUP</x:v>
      </x:c>
      <x:c r="E1535" s="50" t="str">
        <x:v>ABT SWING SETUP</x:v>
      </x:c>
      <x:c r="F1535" s="50" t="str">
        <x:v>WATCH</x:v>
      </x:c>
      <x:c r="G1535" s="50"/>
      <x:c r="H1535" s="50" t="str">
        <x:v>LONG</x:v>
      </x:c>
      <x:c r="I1535" s="71" t="n">
        <x:v>107.58</x:v>
      </x:c>
      <x:c r="J1535" s="76" t="str">
        <x:v>SIP</x:v>
      </x:c>
    </x:row>
    <x:row r="1536">
      <x:c r="A1536" s="50" t="str">
        <x:v>019fdd6c-cc91-7c7f-a8e5-ec46b70ce7db</x:v>
      </x:c>
      <x:c r="B1536" s="50" t="str">
        <x:v>RCL</x:v>
      </x:c>
      <x:c r="C1536" s="70" t="n">
        <x:v>46241.75836612268</x:v>
      </x:c>
      <x:c r="D1536" s="50" t="str">
        <x:v>SWING_SETUP</x:v>
      </x:c>
      <x:c r="E1536" s="50" t="str">
        <x:v>RCL SWING SETUP</x:v>
      </x:c>
      <x:c r="F1536" s="50" t="str">
        <x:v>WATCH</x:v>
      </x:c>
      <x:c r="G1536" s="50"/>
      <x:c r="H1536" s="50" t="str">
        <x:v>LONG</x:v>
      </x:c>
      <x:c r="I1536" s="71" t="n">
        <x:v>320.58</x:v>
      </x:c>
      <x:c r="J1536" s="76" t="str">
        <x:v>SIP</x:v>
      </x:c>
    </x:row>
    <x:row r="1537">
      <x:c r="A1537" s="50" t="str">
        <x:v>019fdd6c-cd14-78cc-b973-42cce32e3f93</x:v>
      </x:c>
      <x:c r="B1537" s="50" t="str">
        <x:v>HRL</x:v>
      </x:c>
      <x:c r="C1537" s="70" t="n">
        <x:v>46241.75836763889</x:v>
      </x:c>
      <x:c r="D1537" s="50" t="str">
        <x:v>LONG_BUY_ZONE</x:v>
      </x:c>
      <x:c r="E1537" s="50" t="str">
        <x:v>HRL LONG BUY ZONE</x:v>
      </x:c>
      <x:c r="F1537" s="50" t="str">
        <x:v>WATCH</x:v>
      </x:c>
      <x:c r="G1537" s="50"/>
      <x:c r="H1537" s="50" t="str">
        <x:v>LONG</x:v>
      </x:c>
      <x:c r="I1537" s="71" t="n">
        <x:v>25.175</x:v>
      </x:c>
      <x:c r="J1537" s="76" t="str">
        <x:v>SIP</x:v>
      </x:c>
    </x:row>
    <x:row r="1538">
      <x:c r="A1538" s="50" t="str">
        <x:v>019fdd6c-cdea-7a71-8fcd-093aaeb8ca3b</x:v>
      </x:c>
      <x:c r="B1538" s="50" t="str">
        <x:v>PFE</x:v>
      </x:c>
      <x:c r="C1538" s="70" t="n">
        <x:v>46241.75837011574</x:v>
      </x:c>
      <x:c r="D1538" s="50" t="str">
        <x:v>SWING_SETUP</x:v>
      </x:c>
      <x:c r="E1538" s="50" t="str">
        <x:v>PFE SWING SETUP</x:v>
      </x:c>
      <x:c r="F1538" s="50" t="str">
        <x:v>WATCH</x:v>
      </x:c>
      <x:c r="G1538" s="50"/>
      <x:c r="H1538" s="50" t="str">
        <x:v>LONG</x:v>
      </x:c>
      <x:c r="I1538" s="71" t="n">
        <x:v>26.4894</x:v>
      </x:c>
      <x:c r="J1538" s="76" t="str">
        <x:v>SIP</x:v>
      </x:c>
    </x:row>
    <x:row r="1539">
      <x:c r="A1539" s="50" t="str">
        <x:v>019fdd6c-ce0b-7f61-b801-218f35d682cc</x:v>
      </x:c>
      <x:c r="B1539" s="50" t="str">
        <x:v>JD</x:v>
      </x:c>
      <x:c r="C1539" s="70" t="n">
        <x:v>46241.758370497686</x:v>
      </x:c>
      <x:c r="D1539" s="50" t="str">
        <x:v>SWING_SETUP</x:v>
      </x:c>
      <x:c r="E1539" s="50" t="str">
        <x:v>JD SWING SETUP</x:v>
      </x:c>
      <x:c r="F1539" s="50" t="str">
        <x:v>WATCH</x:v>
      </x:c>
      <x:c r="G1539" s="50"/>
      <x:c r="H1539" s="50" t="str">
        <x:v>LONG</x:v>
      </x:c>
      <x:c r="I1539" s="71" t="n">
        <x:v>32.94</x:v>
      </x:c>
      <x:c r="J1539" s="76" t="str">
        <x:v>SIP</x:v>
      </x:c>
    </x:row>
    <x:row r="1540">
      <x:c r="A1540" s="50" t="str">
        <x:v>019fdd6c-ce36-7ac6-960e-63eecb6e37e2</x:v>
      </x:c>
      <x:c r="B1540" s="50" t="str">
        <x:v>BAC</x:v>
      </x:c>
      <x:c r="C1540" s="70" t="n">
        <x:v>46241.75837099537</x:v>
      </x:c>
      <x:c r="D1540" s="50" t="str">
        <x:v>SWING_SETUP</x:v>
      </x:c>
      <x:c r="E1540" s="50" t="str">
        <x:v>BAC SWING SETUP</x:v>
      </x:c>
      <x:c r="F1540" s="50" t="str">
        <x:v>WATCH</x:v>
      </x:c>
      <x:c r="G1540" s="50"/>
      <x:c r="H1540" s="50" t="str">
        <x:v>LONG</x:v>
      </x:c>
      <x:c r="I1540" s="71" t="n">
        <x:v>63.055</x:v>
      </x:c>
      <x:c r="J1540" s="76" t="str">
        <x:v>SIP</x:v>
      </x:c>
    </x:row>
    <x:row r="1541">
      <x:c r="A1541" s="50" t="str">
        <x:v>019fdd6c-ce49-7e05-8822-3a6dfce89305</x:v>
      </x:c>
      <x:c r="B1541" s="50" t="str">
        <x:v>JPM</x:v>
      </x:c>
      <x:c r="C1541" s="70" t="n">
        <x:v>46241.7583712037</x:v>
      </x:c>
      <x:c r="D1541" s="50" t="str">
        <x:v>SWING_SETUP</x:v>
      </x:c>
      <x:c r="E1541" s="50" t="str">
        <x:v>JPM SWING SETUP</x:v>
      </x:c>
      <x:c r="F1541" s="50" t="str">
        <x:v>WATCH</x:v>
      </x:c>
      <x:c r="G1541" s="50"/>
      <x:c r="H1541" s="50" t="str">
        <x:v>LONG</x:v>
      </x:c>
      <x:c r="I1541" s="71" t="n">
        <x:v>357.59</x:v>
      </x:c>
      <x:c r="J1541" s="76" t="str">
        <x:v>SIP</x:v>
      </x:c>
    </x:row>
    <x:row r="1542">
      <x:c r="A1542" s="50" t="str">
        <x:v>019fdd6c-ce8b-7220-ab1f-8c2822386e47</x:v>
      </x:c>
      <x:c r="B1542" s="50" t="str">
        <x:v>ETHA</x:v>
      </x:c>
      <x:c r="C1542" s="70" t="n">
        <x:v>46241.758371979166</x:v>
      </x:c>
      <x:c r="D1542" s="50" t="str">
        <x:v>SWING_SETUP</x:v>
      </x:c>
      <x:c r="E1542" s="50" t="str">
        <x:v>ETHA SWING SETUP</x:v>
      </x:c>
      <x:c r="F1542" s="50" t="str">
        <x:v>WATCH</x:v>
      </x:c>
      <x:c r="G1542" s="50"/>
      <x:c r="H1542" s="50" t="str">
        <x:v>LONG</x:v>
      </x:c>
      <x:c r="I1542" s="71" t="n">
        <x:v>14.43</x:v>
      </x:c>
      <x:c r="J1542" s="76" t="str">
        <x:v>SIP</x:v>
      </x:c>
    </x:row>
    <x:row r="1543">
      <x:c r="A1543" s="50" t="str">
        <x:v>019fdd6c-ce9d-7650-b668-b0a926c67c4d</x:v>
      </x:c>
      <x:c r="B1543" s="50" t="str">
        <x:v>TMDX</x:v>
      </x:c>
      <x:c r="C1543" s="70" t="n">
        <x:v>46241.7583721875</x:v>
      </x:c>
      <x:c r="D1543" s="50" t="str">
        <x:v>SWING_SETUP</x:v>
      </x:c>
      <x:c r="E1543" s="50" t="str">
        <x:v>TMDX SWING SETUP</x:v>
      </x:c>
      <x:c r="F1543" s="50" t="str">
        <x:v>WATCH</x:v>
      </x:c>
      <x:c r="G1543" s="50"/>
      <x:c r="H1543" s="50" t="str">
        <x:v>LONG</x:v>
      </x:c>
      <x:c r="I1543" s="71" t="n">
        <x:v>80.88</x:v>
      </x:c>
      <x:c r="J1543" s="76" t="str">
        <x:v>SIP</x:v>
      </x:c>
    </x:row>
    <x:row r="1544">
      <x:c r="A1544" s="50" t="str">
        <x:v>019fdd6c-cece-7fd6-973e-320ff1356635</x:v>
      </x:c>
      <x:c r="B1544" s="50" t="str">
        <x:v>JNJ</x:v>
      </x:c>
      <x:c r="C1544" s="70" t="n">
        <x:v>46241.75837275463</x:v>
      </x:c>
      <x:c r="D1544" s="50" t="str">
        <x:v>LONG_BUY_ZONE</x:v>
      </x:c>
      <x:c r="E1544" s="50" t="str">
        <x:v>JNJ LONG BUY ZONE</x:v>
      </x:c>
      <x:c r="F1544" s="50" t="str">
        <x:v>WATCH</x:v>
      </x:c>
      <x:c r="G1544" s="50"/>
      <x:c r="H1544" s="50" t="str">
        <x:v>LONG</x:v>
      </x:c>
      <x:c r="I1544" s="71" t="n">
        <x:v>256.545</x:v>
      </x:c>
      <x:c r="J1544" s="76" t="str">
        <x:v>SIP</x:v>
      </x:c>
    </x:row>
    <x:row r="1545">
      <x:c r="A1545" s="50" t="str">
        <x:v>019fdd6c-cf28-7ed7-b7b2-2f7dd2e34793</x:v>
      </x:c>
      <x:c r="B1545" s="50" t="str">
        <x:v>KO</x:v>
      </x:c>
      <x:c r="C1545" s="70" t="n">
        <x:v>46241.7583737963</x:v>
      </x:c>
      <x:c r="D1545" s="50" t="str">
        <x:v>SWING_SETUP</x:v>
      </x:c>
      <x:c r="E1545" s="50" t="str">
        <x:v>KO SWING SETUP</x:v>
      </x:c>
      <x:c r="F1545" s="50" t="str">
        <x:v>WATCH</x:v>
      </x:c>
      <x:c r="G1545" s="50"/>
      <x:c r="H1545" s="50" t="str">
        <x:v>LONG</x:v>
      </x:c>
      <x:c r="I1545" s="71" t="n">
        <x:v>87.05</x:v>
      </x:c>
      <x:c r="J1545" s="76" t="str">
        <x:v>SIP</x:v>
      </x:c>
    </x:row>
    <x:row r="1546">
      <x:c r="A1546" s="50" t="str">
        <x:v>019fdd6c-cf53-7820-a36e-aafbbb3ad499</x:v>
      </x:c>
      <x:c r="B1546" s="50" t="str">
        <x:v>CEG</x:v>
      </x:c>
      <x:c r="C1546" s="70" t="n">
        <x:v>46241.75837429398</x:v>
      </x:c>
      <x:c r="D1546" s="50" t="str">
        <x:v>SWING_SETUP</x:v>
      </x:c>
      <x:c r="E1546" s="50" t="str">
        <x:v>CEG SWING SETUP</x:v>
      </x:c>
      <x:c r="F1546" s="50" t="str">
        <x:v>WATCH</x:v>
      </x:c>
      <x:c r="G1546" s="50"/>
      <x:c r="H1546" s="50" t="str">
        <x:v>LONG</x:v>
      </x:c>
      <x:c r="I1546" s="71" t="n">
        <x:v>269.5301</x:v>
      </x:c>
      <x:c r="J1546" s="76" t="str">
        <x:v>SIP</x:v>
      </x:c>
    </x:row>
    <x:row r="1547">
      <x:c r="A1547" s="50" t="str">
        <x:v>019fdd6c-cfba-71cc-ba76-bb38570dcbf2</x:v>
      </x:c>
      <x:c r="B1547" s="50" t="str">
        <x:v>SHW</x:v>
      </x:c>
      <x:c r="C1547" s="70" t="n">
        <x:v>46241.75837548611</x:v>
      </x:c>
      <x:c r="D1547" s="50" t="str">
        <x:v>SWING_SETUP</x:v>
      </x:c>
      <x:c r="E1547" s="50" t="str">
        <x:v>SHW SWING SETUP</x:v>
      </x:c>
      <x:c r="F1547" s="50" t="str">
        <x:v>WATCH</x:v>
      </x:c>
      <x:c r="G1547" s="50"/>
      <x:c r="H1547" s="50" t="str">
        <x:v>LONG</x:v>
      </x:c>
      <x:c r="I1547" s="71" t="n">
        <x:v>369.88</x:v>
      </x:c>
      <x:c r="J1547" s="76" t="str">
        <x:v>SIP</x:v>
      </x:c>
    </x:row>
    <x:row r="1548">
      <x:c r="A1548" s="50" t="str">
        <x:v>019fdd6c-d143-7e78-8ab4-c6f281363b40</x:v>
      </x:c>
      <x:c r="B1548" s="50" t="str">
        <x:v>PM</x:v>
      </x:c>
      <x:c r="C1548" s="70" t="n">
        <x:v>46241.75838003472</x:v>
      </x:c>
      <x:c r="D1548" s="50" t="str">
        <x:v>SWING_SETUP</x:v>
      </x:c>
      <x:c r="E1548" s="50" t="str">
        <x:v>PM SWING SETUP</x:v>
      </x:c>
      <x:c r="F1548" s="50" t="str">
        <x:v>WATCH</x:v>
      </x:c>
      <x:c r="G1548" s="50"/>
      <x:c r="H1548" s="50" t="str">
        <x:v>LONG</x:v>
      </x:c>
      <x:c r="I1548" s="71" t="n">
        <x:v>189.2532</x:v>
      </x:c>
      <x:c r="J1548" s="76" t="str">
        <x:v>SIP</x:v>
      </x:c>
    </x:row>
    <x:row r="1549">
      <x:c r="A1549" s="50" t="str">
        <x:v>019fdd6c-d299-725d-9b97-7c9bc389f138</x:v>
      </x:c>
      <x:c r="B1549" s="50" t="str">
        <x:v>RCL</x:v>
      </x:c>
      <x:c r="C1549" s="70" t="n">
        <x:v>46241.75838399305</x:v>
      </x:c>
      <x:c r="D1549" s="50" t="str">
        <x:v>LONG_BUY_ZONE</x:v>
      </x:c>
      <x:c r="E1549" s="50" t="str">
        <x:v>RCL LONG BUY ZONE</x:v>
      </x:c>
      <x:c r="F1549" s="50" t="str">
        <x:v>WATCH</x:v>
      </x:c>
      <x:c r="G1549" s="50"/>
      <x:c r="H1549" s="50" t="str">
        <x:v>LONG</x:v>
      </x:c>
      <x:c r="I1549" s="71" t="n">
        <x:v>320.52</x:v>
      </x:c>
      <x:c r="J1549" s="76" t="str">
        <x:v>SIP</x:v>
      </x:c>
    </x:row>
    <x:row r="1550">
      <x:c r="A1550" s="50" t="str">
        <x:v>019fdd6c-d7ca-731e-8759-3278aeae88ae</x:v>
      </x:c>
      <x:c r="B1550" s="50" t="str">
        <x:v>GS</x:v>
      </x:c>
      <x:c r="C1550" s="70" t="n">
        <x:v>46241.758399363425</x:v>
      </x:c>
      <x:c r="D1550" s="50" t="str">
        <x:v>LONG_BUY_ZONE</x:v>
      </x:c>
      <x:c r="E1550" s="50" t="str">
        <x:v>GS LONG BUY ZONE</x:v>
      </x:c>
      <x:c r="F1550" s="50" t="str">
        <x:v>WATCH</x:v>
      </x:c>
      <x:c r="G1550" s="50"/>
      <x:c r="H1550" s="50" t="str">
        <x:v>LONG</x:v>
      </x:c>
      <x:c r="I1550" s="71" t="n">
        <x:v>1038.5</x:v>
      </x:c>
      <x:c r="J1550" s="76" t="str">
        <x:v>SIP</x:v>
      </x:c>
    </x:row>
    <x:row r="1551">
      <x:c r="A1551" s="50" t="str">
        <x:v>019fdd6d-b676-7c50-abc1-497baa817609</x:v>
      </x:c>
      <x:c r="B1551" s="50" t="str">
        <x:v>ECL</x:v>
      </x:c>
      <x:c r="C1551" s="70" t="n">
        <x:v>46241.75905914352</x:v>
      </x:c>
      <x:c r="D1551" s="50" t="str">
        <x:v>SWING_SETUP</x:v>
      </x:c>
      <x:c r="E1551" s="50" t="str">
        <x:v>ECL SWING SETUP</x:v>
      </x:c>
      <x:c r="F1551" s="50" t="str">
        <x:v>WATCH</x:v>
      </x:c>
      <x:c r="G1551" s="50"/>
      <x:c r="H1551" s="50" t="str">
        <x:v>LONG</x:v>
      </x:c>
      <x:c r="I1551" s="71" t="n">
        <x:v>285.01</x:v>
      </x:c>
      <x:c r="J1551" s="76" t="str">
        <x:v>SIP</x:v>
      </x:c>
    </x:row>
    <x:row r="1552">
      <x:c r="A1552" s="50" t="str">
        <x:v>019fdd70-7949-70dd-a6d0-f922261653cd</x:v>
      </x:c>
      <x:c r="B1552" s="50" t="str">
        <x:v>HPE</x:v>
      </x:c>
      <x:c r="C1552" s="70" t="n">
        <x:v>46241.7611534375</x:v>
      </x:c>
      <x:c r="D1552" s="50" t="str">
        <x:v>SWING_SETUP</x:v>
      </x:c>
      <x:c r="E1552" s="50" t="str">
        <x:v>HPE SWING SETUP</x:v>
      </x:c>
      <x:c r="F1552" s="50" t="str">
        <x:v>WATCH</x:v>
      </x:c>
      <x:c r="G1552" s="50"/>
      <x:c r="H1552" s="50" t="str">
        <x:v>LONG</x:v>
      </x:c>
      <x:c r="I1552" s="71" t="n">
        <x:v>52.59</x:v>
      </x:c>
      <x:c r="J1552" s="76" t="str">
        <x:v>SIP</x:v>
      </x:c>
    </x:row>
    <x:row r="1553">
      <x:c r="A1553" s="50" t="str">
        <x:v>019fdd70-7d4a-7e1b-ae9f-40a1d781e579</x:v>
      </x:c>
      <x:c r="B1553" s="50" t="str">
        <x:v>BLFS</x:v>
      </x:c>
      <x:c r="C1553" s="70" t="n">
        <x:v>46241.76116530092</x:v>
      </x:c>
      <x:c r="D1553" s="50" t="str">
        <x:v>SWING_SETUP</x:v>
      </x:c>
      <x:c r="E1553" s="50" t="str">
        <x:v>BLFS SWING SETUP</x:v>
      </x:c>
      <x:c r="F1553" s="50" t="str">
        <x:v>WATCH</x:v>
      </x:c>
      <x:c r="G1553" s="50"/>
      <x:c r="H1553" s="50" t="str">
        <x:v>LONG</x:v>
      </x:c>
      <x:c r="I1553" s="71" t="n">
        <x:v>34.495</x:v>
      </x:c>
      <x:c r="J1553" s="76" t="str">
        <x:v>SIP</x:v>
      </x:c>
    </x:row>
    <x:row r="1554">
      <x:c r="A1554" s="50" t="str">
        <x:v>019fdd70-7e8c-7bb1-bc98-77c000d06897</x:v>
      </x:c>
      <x:c r="B1554" s="50" t="str">
        <x:v>WFC</x:v>
      </x:c>
      <x:c r="C1554" s="70" t="n">
        <x:v>46241.76116902778</x:v>
      </x:c>
      <x:c r="D1554" s="50" t="str">
        <x:v>SWING_SETUP</x:v>
      </x:c>
      <x:c r="E1554" s="50" t="str">
        <x:v>WFC SWING SETUP</x:v>
      </x:c>
      <x:c r="F1554" s="50" t="str">
        <x:v>WATCH</x:v>
      </x:c>
      <x:c r="G1554" s="50"/>
      <x:c r="H1554" s="50" t="str">
        <x:v>LONG</x:v>
      </x:c>
      <x:c r="I1554" s="71" t="n">
        <x:v>86.91</x:v>
      </x:c>
      <x:c r="J1554" s="76" t="str">
        <x:v>SIP</x:v>
      </x:c>
    </x:row>
    <x:row r="1555">
      <x:c r="A1555" s="50" t="str">
        <x:v>019fdd71-607b-7a0a-b772-debf484ae516</x:v>
      </x:c>
      <x:c r="B1555" s="50" t="str">
        <x:v>AMGN</x:v>
      </x:c>
      <x:c r="C1555" s="70" t="n">
        <x:v>46241.76183846065</x:v>
      </x:c>
      <x:c r="D1555" s="50" t="str">
        <x:v>SWING_SETUP</x:v>
      </x:c>
      <x:c r="E1555" s="50" t="str">
        <x:v>AMGN SWING SETUP</x:v>
      </x:c>
      <x:c r="F1555" s="50" t="str">
        <x:v>WATCH</x:v>
      </x:c>
      <x:c r="G1555" s="50"/>
      <x:c r="H1555" s="50" t="str">
        <x:v>LONG</x:v>
      </x:c>
      <x:c r="I1555" s="71" t="n">
        <x:v>408.01</x:v>
      </x:c>
      <x:c r="J1555" s="76" t="str">
        <x:v>SIP</x:v>
      </x:c>
    </x:row>
    <x:row r="1556">
      <x:c r="A1556" s="50" t="str">
        <x:v>019fdd71-60b5-7fef-b1fe-d890ac5b4b9c</x:v>
      </x:c>
      <x:c r="B1556" s="50" t="str">
        <x:v>BABA</x:v>
      </x:c>
      <x:c r="C1556" s="70" t="n">
        <x:v>46241.76183913194</x:v>
      </x:c>
      <x:c r="D1556" s="50" t="str">
        <x:v>SWING_SETUP</x:v>
      </x:c>
      <x:c r="E1556" s="50" t="str">
        <x:v>BABA SWING SETUP</x:v>
      </x:c>
      <x:c r="F1556" s="50" t="str">
        <x:v>WATCH</x:v>
      </x:c>
      <x:c r="G1556" s="50"/>
      <x:c r="H1556" s="50" t="str">
        <x:v>LONG</x:v>
      </x:c>
      <x:c r="I1556" s="71" t="n">
        <x:v>128.36</x:v>
      </x:c>
      <x:c r="J1556" s="76" t="str">
        <x:v>SIP</x:v>
      </x:c>
    </x:row>
    <x:row r="1557">
      <x:c r="A1557" s="50" t="str">
        <x:v>019fdd71-60d3-7b3b-a1f0-d9bb4d9f005b</x:v>
      </x:c>
      <x:c r="B1557" s="50" t="str">
        <x:v>UEC</x:v>
      </x:c>
      <x:c r="C1557" s="70" t="n">
        <x:v>46241.761839467596</x:v>
      </x:c>
      <x:c r="D1557" s="50" t="str">
        <x:v>SWING_SETUP</x:v>
      </x:c>
      <x:c r="E1557" s="50" t="str">
        <x:v>UEC SWING SETUP</x:v>
      </x:c>
      <x:c r="F1557" s="50" t="str">
        <x:v>WATCH</x:v>
      </x:c>
      <x:c r="G1557" s="50"/>
      <x:c r="H1557" s="50" t="str">
        <x:v>LONG</x:v>
      </x:c>
      <x:c r="I1557" s="71" t="n">
        <x:v>11.285</x:v>
      </x:c>
      <x:c r="J1557" s="76" t="str">
        <x:v>SIP</x:v>
      </x:c>
    </x:row>
    <x:row r="1558">
      <x:c r="A1558" s="50" t="str">
        <x:v>019fdd71-6216-7511-a2fa-23c8850601bb</x:v>
      </x:c>
      <x:c r="B1558" s="50" t="str">
        <x:v>TGT</x:v>
      </x:c>
      <x:c r="C1558" s="70" t="n">
        <x:v>46241.761843217595</x:v>
      </x:c>
      <x:c r="D1558" s="50" t="str">
        <x:v>SWING_SETUP</x:v>
      </x:c>
      <x:c r="E1558" s="50" t="str">
        <x:v>TGT SWING SETUP</x:v>
      </x:c>
      <x:c r="F1558" s="50" t="str">
        <x:v>WATCH</x:v>
      </x:c>
      <x:c r="G1558" s="50"/>
      <x:c r="H1558" s="50" t="str">
        <x:v>LONG</x:v>
      </x:c>
      <x:c r="I1558" s="71" t="n">
        <x:v>148.57</x:v>
      </x:c>
      <x:c r="J1558" s="76" t="str">
        <x:v>SIP</x:v>
      </x:c>
    </x:row>
    <x:row r="1559">
      <x:c r="A1559" s="50" t="str">
        <x:v>019fdd71-62b1-7655-b4d0-2afc7786a98f</x:v>
      </x:c>
      <x:c r="B1559" s="50" t="str">
        <x:v>NOVT</x:v>
      </x:c>
      <x:c r="C1559" s="70" t="n">
        <x:v>46241.76184501158</x:v>
      </x:c>
      <x:c r="D1559" s="50" t="str">
        <x:v>SWING_SETUP</x:v>
      </x:c>
      <x:c r="E1559" s="50" t="str">
        <x:v>NOVT SWING SETUP</x:v>
      </x:c>
      <x:c r="F1559" s="50" t="str">
        <x:v>WATCH</x:v>
      </x:c>
      <x:c r="G1559" s="50"/>
      <x:c r="H1559" s="50" t="str">
        <x:v>LONG</x:v>
      </x:c>
      <x:c r="I1559" s="71" t="n">
        <x:v>169.33</x:v>
      </x:c>
      <x:c r="J1559" s="76" t="str">
        <x:v>SIP</x:v>
      </x:c>
    </x:row>
    <x:row r="1560">
      <x:c r="A1560" s="50" t="str">
        <x:v>019fdd71-6452-7b7d-8d2d-28be9f710397</x:v>
      </x:c>
      <x:c r="B1560" s="50" t="str">
        <x:v>OXY</x:v>
      </x:c>
      <x:c r="C1560" s="70" t="n">
        <x:v>46241.76184983796</x:v>
      </x:c>
      <x:c r="D1560" s="50" t="str">
        <x:v>LONG_BUY_ZONE</x:v>
      </x:c>
      <x:c r="E1560" s="50" t="str">
        <x:v>OXY LONG BUY ZONE</x:v>
      </x:c>
      <x:c r="F1560" s="50" t="str">
        <x:v>WATCH</x:v>
      </x:c>
      <x:c r="G1560" s="50"/>
      <x:c r="H1560" s="50" t="str">
        <x:v>LONG</x:v>
      </x:c>
      <x:c r="I1560" s="71" t="n">
        <x:v>56.33</x:v>
      </x:c>
      <x:c r="J1560" s="76" t="str">
        <x:v>SIP</x:v>
      </x:c>
    </x:row>
    <x:row r="1561">
      <x:c r="A1561" s="50" t="str">
        <x:v>019fdd71-64d3-79ec-a329-09f1ff40cd0a</x:v>
      </x:c>
      <x:c r="B1561" s="50" t="str">
        <x:v>VZ</x:v>
      </x:c>
      <x:c r="C1561" s="70" t="n">
        <x:v>46241.761851331015</x:v>
      </x:c>
      <x:c r="D1561" s="50" t="str">
        <x:v>LONG_BUY_ZONE</x:v>
      </x:c>
      <x:c r="E1561" s="50" t="str">
        <x:v>VZ LONG BUY ZONE</x:v>
      </x:c>
      <x:c r="F1561" s="50" t="str">
        <x:v>WATCH</x:v>
      </x:c>
      <x:c r="G1561" s="50"/>
      <x:c r="H1561" s="50" t="str">
        <x:v>LONG</x:v>
      </x:c>
      <x:c r="I1561" s="71" t="n">
        <x:v>46.925</x:v>
      </x:c>
      <x:c r="J1561" s="76" t="str">
        <x:v>SIP</x:v>
      </x:c>
    </x:row>
    <x:row r="1562">
      <x:c r="A1562" s="50" t="str">
        <x:v>019fdd73-382c-74fd-9f00-a2a021cb2294</x:v>
      </x:c>
      <x:c r="B1562" s="50" t="str">
        <x:v>AMZN</x:v>
      </x:c>
      <x:c r="C1562" s="70" t="n">
        <x:v>46241.76323606481</x:v>
      </x:c>
      <x:c r="D1562" s="50" t="str">
        <x:v>SWING_SETUP</x:v>
      </x:c>
      <x:c r="E1562" s="50" t="str">
        <x:v>AMZN SWING SETUP</x:v>
      </x:c>
      <x:c r="F1562" s="50" t="str">
        <x:v>WATCH</x:v>
      </x:c>
      <x:c r="G1562" s="50"/>
      <x:c r="H1562" s="50" t="str">
        <x:v>LONG</x:v>
      </x:c>
      <x:c r="I1562" s="71" t="n">
        <x:v>275.11</x:v>
      </x:c>
      <x:c r="J1562" s="76" t="str">
        <x:v>SIP</x:v>
      </x:c>
    </x:row>
    <x:row r="1563">
      <x:c r="A1563" s="50" t="str">
        <x:v>019fdd73-390a-7c3e-bf1c-6d28b03e1a39</x:v>
      </x:c>
      <x:c r="B1563" s="50" t="str">
        <x:v>MRK</x:v>
      </x:c>
      <x:c r="C1563" s="70" t="n">
        <x:v>46241.76323863426</x:v>
      </x:c>
      <x:c r="D1563" s="50" t="str">
        <x:v>SWING_SETUP</x:v>
      </x:c>
      <x:c r="E1563" s="50" t="str">
        <x:v>MRK SWING SETUP</x:v>
      </x:c>
      <x:c r="F1563" s="50" t="str">
        <x:v>WATCH</x:v>
      </x:c>
      <x:c r="G1563" s="50"/>
      <x:c r="H1563" s="50" t="str">
        <x:v>LONG</x:v>
      </x:c>
      <x:c r="I1563" s="71" t="n">
        <x:v>128.37</x:v>
      </x:c>
      <x:c r="J1563" s="76" t="str">
        <x:v>SIP</x:v>
      </x:c>
    </x:row>
    <x:row r="1564">
      <x:c r="A1564" s="50" t="str">
        <x:v>019fdd73-3f97-7784-aa84-075860a6634c</x:v>
      </x:c>
      <x:c r="B1564" s="50" t="str">
        <x:v>KDP</x:v>
      </x:c>
      <x:c r="C1564" s="70" t="n">
        <x:v>46241.76325804398</x:v>
      </x:c>
      <x:c r="D1564" s="50" t="str">
        <x:v>LONG_BUY_ZONE</x:v>
      </x:c>
      <x:c r="E1564" s="50" t="str">
        <x:v>KDP LONG BUY ZONE</x:v>
      </x:c>
      <x:c r="F1564" s="50" t="str">
        <x:v>WATCH</x:v>
      </x:c>
      <x:c r="G1564" s="50"/>
      <x:c r="H1564" s="50" t="str">
        <x:v>LONG</x:v>
      </x:c>
      <x:c r="I1564" s="71" t="n">
        <x:v>30.025</x:v>
      </x:c>
      <x:c r="J1564" s="76" t="str">
        <x:v>SIP</x:v>
      </x:c>
    </x:row>
    <x:row r="1565">
      <x:c r="A1565" s="50" t="str">
        <x:v>019fdd74-1f88-7257-8ab1-d3ae17140140</x:v>
      </x:c>
      <x:c r="B1565" s="50" t="str">
        <x:v>SNOW</x:v>
      </x:c>
      <x:c r="C1565" s="70" t="n">
        <x:v>46241.76392157407</x:v>
      </x:c>
      <x:c r="D1565" s="50" t="str">
        <x:v>SWING_SETUP</x:v>
      </x:c>
      <x:c r="E1565" s="50" t="str">
        <x:v>SNOW SWING SETUP</x:v>
      </x:c>
      <x:c r="F1565" s="50" t="str">
        <x:v>WATCH</x:v>
      </x:c>
      <x:c r="G1565" s="50"/>
      <x:c r="H1565" s="50" t="str">
        <x:v>LONG</x:v>
      </x:c>
      <x:c r="I1565" s="71" t="n">
        <x:v>325.47</x:v>
      </x:c>
      <x:c r="J1565" s="76" t="str">
        <x:v>SIP</x:v>
      </x:c>
    </x:row>
    <x:row r="1566">
      <x:c r="A1566" s="50" t="str">
        <x:v>019fdd74-20b7-779b-8652-8a47a6316341</x:v>
      </x:c>
      <x:c r="B1566" s="50" t="str">
        <x:v>RDW</x:v>
      </x:c>
      <x:c r="C1566" s="70" t="n">
        <x:v>46241.76392508102</x:v>
      </x:c>
      <x:c r="D1566" s="50" t="str">
        <x:v>SWING_SETUP</x:v>
      </x:c>
      <x:c r="E1566" s="50" t="str">
        <x:v>RDW SWING SETUP</x:v>
      </x:c>
      <x:c r="F1566" s="50" t="str">
        <x:v>WATCH</x:v>
      </x:c>
      <x:c r="G1566" s="50"/>
      <x:c r="H1566" s="50" t="str">
        <x:v>LONG</x:v>
      </x:c>
      <x:c r="I1566" s="71" t="n">
        <x:v>13.485</x:v>
      </x:c>
      <x:c r="J1566" s="76" t="str">
        <x:v>SIP</x:v>
      </x:c>
    </x:row>
    <x:row r="1567">
      <x:c r="A1567" s="50" t="str">
        <x:v>019fdd74-21e0-7257-8c20-d303ea0783b8</x:v>
      </x:c>
      <x:c r="B1567" s="50" t="str">
        <x:v>ABNB</x:v>
      </x:c>
      <x:c r="C1567" s="70" t="n">
        <x:v>46241.76392851852</x:v>
      </x:c>
      <x:c r="D1567" s="50" t="str">
        <x:v>SWING_SETUP</x:v>
      </x:c>
      <x:c r="E1567" s="50" t="str">
        <x:v>ABNB SWING SETUP</x:v>
      </x:c>
      <x:c r="F1567" s="50" t="str">
        <x:v>WATCH</x:v>
      </x:c>
      <x:c r="G1567" s="50"/>
      <x:c r="H1567" s="50" t="str">
        <x:v>LONG</x:v>
      </x:c>
      <x:c r="I1567" s="71" t="n">
        <x:v>175.585</x:v>
      </x:c>
      <x:c r="J1567" s="76" t="str">
        <x:v>SIP</x:v>
      </x:c>
    </x:row>
    <x:row r="1568">
      <x:c r="A1568" s="50" t="str">
        <x:v>019fdd74-22d7-728f-80e9-68d7a4e64fa9</x:v>
      </x:c>
      <x:c r="B1568" s="50" t="str">
        <x:v>ACHV</x:v>
      </x:c>
      <x:c r="C1568" s="70" t="n">
        <x:v>46241.76393137732</x:v>
      </x:c>
      <x:c r="D1568" s="50" t="str">
        <x:v>SWING_SETUP</x:v>
      </x:c>
      <x:c r="E1568" s="50" t="str">
        <x:v>ACHV SWING SETUP</x:v>
      </x:c>
      <x:c r="F1568" s="50" t="str">
        <x:v>WATCH</x:v>
      </x:c>
      <x:c r="G1568" s="50"/>
      <x:c r="H1568" s="50" t="str">
        <x:v>LONG</x:v>
      </x:c>
      <x:c r="I1568" s="71" t="n">
        <x:v>6.55</x:v>
      </x:c>
      <x:c r="J1568" s="76" t="str">
        <x:v>SIP</x:v>
      </x:c>
    </x:row>
    <x:row r="1569">
      <x:c r="A1569" s="50" t="str">
        <x:v>019fdd74-2373-7ca4-b22d-5ff1d6fbf5de</x:v>
      </x:c>
      <x:c r="B1569" s="50" t="str">
        <x:v>XOM</x:v>
      </x:c>
      <x:c r="C1569" s="70" t="n">
        <x:v>46241.76393318287</x:v>
      </x:c>
      <x:c r="D1569" s="50" t="str">
        <x:v>SWING_SETUP</x:v>
      </x:c>
      <x:c r="E1569" s="50" t="str">
        <x:v>XOM SWING SETUP</x:v>
      </x:c>
      <x:c r="F1569" s="50" t="str">
        <x:v>WATCH</x:v>
      </x:c>
      <x:c r="G1569" s="50"/>
      <x:c r="H1569" s="50" t="str">
        <x:v>LONG</x:v>
      </x:c>
      <x:c r="I1569" s="71" t="n">
        <x:v>153.305</x:v>
      </x:c>
      <x:c r="J1569" s="76" t="str">
        <x:v>SIP</x:v>
      </x:c>
    </x:row>
    <x:row r="1570">
      <x:c r="A1570" s="50" t="str">
        <x:v>019fdd75-0795-785a-90de-6cb7313c314d</x:v>
      </x:c>
      <x:c r="B1570" s="50" t="str">
        <x:v>DE</x:v>
      </x:c>
      <x:c r="C1570" s="70" t="n">
        <x:v>46241.76460913195</x:v>
      </x:c>
      <x:c r="D1570" s="50" t="str">
        <x:v>LONG_BUY_ZONE</x:v>
      </x:c>
      <x:c r="E1570" s="50" t="str">
        <x:v>DE LONG BUY ZONE</x:v>
      </x:c>
      <x:c r="F1570" s="50" t="str">
        <x:v>WATCH</x:v>
      </x:c>
      <x:c r="G1570" s="50"/>
      <x:c r="H1570" s="50" t="str">
        <x:v>LONG</x:v>
      </x:c>
      <x:c r="I1570" s="71" t="n">
        <x:v>623.545</x:v>
      </x:c>
      <x:c r="J1570" s="76" t="str">
        <x:v>SIP</x:v>
      </x:c>
    </x:row>
    <x:row r="1571">
      <x:c r="A1571" s="50" t="str">
        <x:v>019fdd75-f566-75d7-9b10-b6b7bbe7074f</x:v>
      </x:c>
      <x:c r="B1571" s="50" t="str">
        <x:v>APH</x:v>
      </x:c>
      <x:c r="C1571" s="70" t="n">
        <x:v>46241.76531377315</x:v>
      </x:c>
      <x:c r="D1571" s="50" t="str">
        <x:v>LONG_BUY_ZONE</x:v>
      </x:c>
      <x:c r="E1571" s="50" t="str">
        <x:v>APH LONG BUY ZONE</x:v>
      </x:c>
      <x:c r="F1571" s="50" t="str">
        <x:v>WATCH</x:v>
      </x:c>
      <x:c r="G1571" s="50"/>
      <x:c r="H1571" s="50" t="str">
        <x:v>LONG</x:v>
      </x:c>
      <x:c r="I1571" s="71" t="n">
        <x:v>167.96</x:v>
      </x:c>
      <x:c r="J1571" s="76" t="str">
        <x:v>SIP</x:v>
      </x:c>
    </x:row>
    <x:row r="1572">
      <x:c r="A1572" s="50" t="str">
        <x:v>019fdd75-f763-76f1-9f8f-b7d4b91febfe</x:v>
      </x:c>
      <x:c r="B1572" s="50" t="str">
        <x:v>NOC</x:v>
      </x:c>
      <x:c r="C1572" s="70" t="n">
        <x:v>46241.76531966435</x:v>
      </x:c>
      <x:c r="D1572" s="50" t="str">
        <x:v>SWING_SETUP</x:v>
      </x:c>
      <x:c r="E1572" s="50" t="str">
        <x:v>NOC SWING SETUP</x:v>
      </x:c>
      <x:c r="F1572" s="50" t="str">
        <x:v>WATCH</x:v>
      </x:c>
      <x:c r="G1572" s="50"/>
      <x:c r="H1572" s="50" t="str">
        <x:v>LONG</x:v>
      </x:c>
      <x:c r="I1572" s="71" t="n">
        <x:v>569.43</x:v>
      </x:c>
      <x:c r="J1572" s="76" t="str">
        <x:v>SIP</x:v>
      </x:c>
    </x:row>
    <x:row r="1573">
      <x:c r="A1573" s="50" t="str">
        <x:v>019fdd75-f79b-7fad-a63a-434c16dd8014</x:v>
      </x:c>
      <x:c r="B1573" s="50" t="str">
        <x:v>PSX</x:v>
      </x:c>
      <x:c r="C1573" s="70" t="n">
        <x:v>46241.7653203125</x:v>
      </x:c>
      <x:c r="D1573" s="50" t="str">
        <x:v>SWING_SETUP</x:v>
      </x:c>
      <x:c r="E1573" s="50" t="str">
        <x:v>PSX SWING SETUP</x:v>
      </x:c>
      <x:c r="F1573" s="50" t="str">
        <x:v>WATCH</x:v>
      </x:c>
      <x:c r="G1573" s="50"/>
      <x:c r="H1573" s="50" t="str">
        <x:v>LONG</x:v>
      </x:c>
      <x:c r="I1573" s="71" t="n">
        <x:v>204.51</x:v>
      </x:c>
      <x:c r="J1573" s="76" t="str">
        <x:v>SIP</x:v>
      </x:c>
    </x:row>
    <x:row r="1574">
      <x:c r="A1574" s="50" t="str">
        <x:v>019fdd76-e875-7718-b571-3ccd7982664d</x:v>
      </x:c>
      <x:c r="B1574" s="50" t="str">
        <x:v>SBUX</x:v>
      </x:c>
      <x:c r="C1574" s="70" t="n">
        <x:v>46241.76603394676</x:v>
      </x:c>
      <x:c r="D1574" s="50" t="str">
        <x:v>LONG_BUY_ZONE</x:v>
      </x:c>
      <x:c r="E1574" s="50" t="str">
        <x:v>SBUX LONG BUY ZONE</x:v>
      </x:c>
      <x:c r="F1574" s="50" t="str">
        <x:v>WATCH</x:v>
      </x:c>
      <x:c r="G1574" s="50"/>
      <x:c r="H1574" s="50" t="str">
        <x:v>LONG</x:v>
      </x:c>
      <x:c r="I1574" s="71" t="n">
        <x:v>106.005</x:v>
      </x:c>
      <x:c r="J1574" s="76" t="str">
        <x:v>SIP</x:v>
      </x:c>
    </x:row>
    <x:row r="1575">
      <x:c r="A1575" s="50" t="str">
        <x:v>019fdd77-c90b-7e0e-937a-99437048d6a3</x:v>
      </x:c>
      <x:c r="B1575" s="50" t="str">
        <x:v>INTU</x:v>
      </x:c>
      <x:c r="C1575" s="70" t="n">
        <x:v>46241.766699375</x:v>
      </x:c>
      <x:c r="D1575" s="50" t="str">
        <x:v>SWING_SETUP</x:v>
      </x:c>
      <x:c r="E1575" s="50" t="str">
        <x:v>INTU SWING SETUP</x:v>
      </x:c>
      <x:c r="F1575" s="50" t="str">
        <x:v>WATCH</x:v>
      </x:c>
      <x:c r="G1575" s="50"/>
      <x:c r="H1575" s="50" t="str">
        <x:v>LONG</x:v>
      </x:c>
      <x:c r="I1575" s="71" t="n">
        <x:v>326.945</x:v>
      </x:c>
      <x:c r="J1575" s="76" t="str">
        <x:v>SIP</x:v>
      </x:c>
    </x:row>
    <x:row r="1576">
      <x:c r="A1576" s="50" t="str">
        <x:v>019fdd77-c9f0-76f5-a46f-f079936609c2</x:v>
      </x:c>
      <x:c r="B1576" s="50" t="str">
        <x:v>SBUX</x:v>
      </x:c>
      <x:c r="C1576" s="70" t="n">
        <x:v>46241.76670202546</x:v>
      </x:c>
      <x:c r="D1576" s="50" t="str">
        <x:v>SWING_SETUP</x:v>
      </x:c>
      <x:c r="E1576" s="50" t="str">
        <x:v>SBUX SWING SETUP</x:v>
      </x:c>
      <x:c r="F1576" s="50" t="str">
        <x:v>WATCH</x:v>
      </x:c>
      <x:c r="G1576" s="50"/>
      <x:c r="H1576" s="50" t="str">
        <x:v>LONG</x:v>
      </x:c>
      <x:c r="I1576" s="71" t="n">
        <x:v>106</x:v>
      </x:c>
      <x:c r="J1576" s="76" t="str">
        <x:v>SIP</x:v>
      </x:c>
    </x:row>
    <x:row r="1577">
      <x:c r="A1577" s="50" t="str">
        <x:v>019fdd77-ca00-7083-b67f-cc2ef44178ff</x:v>
      </x:c>
      <x:c r="B1577" s="50" t="str">
        <x:v>MDLZ</x:v>
      </x:c>
      <x:c r="C1577" s="70" t="n">
        <x:v>46241.76670222222</x:v>
      </x:c>
      <x:c r="D1577" s="50" t="str">
        <x:v>SWING_SETUP</x:v>
      </x:c>
      <x:c r="E1577" s="50" t="str">
        <x:v>MDLZ SWING SETUP</x:v>
      </x:c>
      <x:c r="F1577" s="50" t="str">
        <x:v>WATCH</x:v>
      </x:c>
      <x:c r="G1577" s="50"/>
      <x:c r="H1577" s="50" t="str">
        <x:v>LONG</x:v>
      </x:c>
      <x:c r="I1577" s="71" t="n">
        <x:v>62.91</x:v>
      </x:c>
      <x:c r="J1577" s="76" t="str">
        <x:v>SIP</x:v>
      </x:c>
    </x:row>
    <x:row r="1578">
      <x:c r="A1578" s="50" t="str">
        <x:v>019fdd77-ca09-787e-9e05-8b606c9951fb</x:v>
      </x:c>
      <x:c r="B1578" s="50" t="str">
        <x:v>VZ</x:v>
      </x:c>
      <x:c r="C1578" s="70" t="n">
        <x:v>46241.76670231482</x:v>
      </x:c>
      <x:c r="D1578" s="50" t="str">
        <x:v>SWING_SETUP</x:v>
      </x:c>
      <x:c r="E1578" s="50" t="str">
        <x:v>VZ SWING SETUP</x:v>
      </x:c>
      <x:c r="F1578" s="50" t="str">
        <x:v>WATCH</x:v>
      </x:c>
      <x:c r="G1578" s="50"/>
      <x:c r="H1578" s="50" t="str">
        <x:v>LONG</x:v>
      </x:c>
      <x:c r="I1578" s="71" t="n">
        <x:v>46.965</x:v>
      </x:c>
      <x:c r="J1578" s="76" t="str">
        <x:v>SIP</x:v>
      </x:c>
    </x:row>
    <x:row r="1579">
      <x:c r="A1579" s="50" t="str">
        <x:v>019fdd77-ca19-7aa2-811e-862a27c44d71</x:v>
      </x:c>
      <x:c r="B1579" s="50" t="str">
        <x:v>UNP</x:v>
      </x:c>
      <x:c r="C1579" s="70" t="n">
        <x:v>46241.76670251157</x:v>
      </x:c>
      <x:c r="D1579" s="50" t="str">
        <x:v>SWING_SETUP</x:v>
      </x:c>
      <x:c r="E1579" s="50" t="str">
        <x:v>UNP SWING SETUP</x:v>
      </x:c>
      <x:c r="F1579" s="50" t="str">
        <x:v>WATCH</x:v>
      </x:c>
      <x:c r="G1579" s="50"/>
      <x:c r="H1579" s="50" t="str">
        <x:v>LONG</x:v>
      </x:c>
      <x:c r="I1579" s="71" t="n">
        <x:v>294.235</x:v>
      </x:c>
      <x:c r="J1579" s="76" t="str">
        <x:v>SIP</x:v>
      </x:c>
    </x:row>
    <x:row r="1580">
      <x:c r="A1580" s="50" t="str">
        <x:v>019fdd77-ca23-7cb2-bf15-e040cae120f9</x:v>
      </x:c>
      <x:c r="B1580" s="50" t="str">
        <x:v>OXY</x:v>
      </x:c>
      <x:c r="C1580" s="70" t="n">
        <x:v>46241.76670262731</x:v>
      </x:c>
      <x:c r="D1580" s="50" t="str">
        <x:v>SWING_SETUP</x:v>
      </x:c>
      <x:c r="E1580" s="50" t="str">
        <x:v>OXY SWING SETUP</x:v>
      </x:c>
      <x:c r="F1580" s="50" t="str">
        <x:v>WATCH</x:v>
      </x:c>
      <x:c r="G1580" s="50"/>
      <x:c r="H1580" s="50" t="str">
        <x:v>LONG</x:v>
      </x:c>
      <x:c r="I1580" s="71" t="n">
        <x:v>56.365</x:v>
      </x:c>
      <x:c r="J1580" s="76" t="str">
        <x:v>SIP</x:v>
      </x:c>
    </x:row>
    <x:row r="1581">
      <x:c r="A1581" s="50" t="str">
        <x:v>019fdd77-ca3b-7b75-bb8e-40c17d6d7eef</x:v>
      </x:c>
      <x:c r="B1581" s="50" t="str">
        <x:v>COP</x:v>
      </x:c>
      <x:c r="C1581" s="70" t="n">
        <x:v>46241.76670290509</x:v>
      </x:c>
      <x:c r="D1581" s="50" t="str">
        <x:v>SWING_SETUP</x:v>
      </x:c>
      <x:c r="E1581" s="50" t="str">
        <x:v>COP SWING SETUP</x:v>
      </x:c>
      <x:c r="F1581" s="50" t="str">
        <x:v>WATCH</x:v>
      </x:c>
      <x:c r="G1581" s="50"/>
      <x:c r="H1581" s="50" t="str">
        <x:v>LONG</x:v>
      </x:c>
      <x:c r="I1581" s="71" t="n">
        <x:v>118.03</x:v>
      </x:c>
      <x:c r="J1581" s="76" t="str">
        <x:v>SIP</x:v>
      </x:c>
    </x:row>
    <x:row r="1582">
      <x:c r="A1582" s="50" t="str">
        <x:v>019fdd77-cb2f-7950-94db-580909c0930f</x:v>
      </x:c>
      <x:c r="B1582" s="50" t="str">
        <x:v>MRK</x:v>
      </x:c>
      <x:c r="C1582" s="70" t="n">
        <x:v>46241.76670572917</x:v>
      </x:c>
      <x:c r="D1582" s="50" t="str">
        <x:v>LONG_BUY_ZONE</x:v>
      </x:c>
      <x:c r="E1582" s="50" t="str">
        <x:v>MRK LONG BUY ZONE</x:v>
      </x:c>
      <x:c r="F1582" s="50" t="str">
        <x:v>WATCH</x:v>
      </x:c>
      <x:c r="G1582" s="50"/>
      <x:c r="H1582" s="50" t="str">
        <x:v>LONG</x:v>
      </x:c>
      <x:c r="I1582" s="71" t="n">
        <x:v>128.3359</x:v>
      </x:c>
      <x:c r="J1582" s="76" t="str">
        <x:v>SIP</x:v>
      </x:c>
    </x:row>
    <x:row r="1583">
      <x:c r="A1583" s="50" t="str">
        <x:v>019fdd78-b273-79a5-975c-f344d8cb7061</x:v>
      </x:c>
      <x:c r="B1583" s="50" t="str">
        <x:v>LMT</x:v>
      </x:c>
      <x:c r="C1583" s="70" t="n">
        <x:v>46241.767390960646</x:v>
      </x:c>
      <x:c r="D1583" s="50" t="str">
        <x:v>SWING_SETUP</x:v>
      </x:c>
      <x:c r="E1583" s="50" t="str">
        <x:v>LMT SWING SETUP</x:v>
      </x:c>
      <x:c r="F1583" s="50" t="str">
        <x:v>WATCH</x:v>
      </x:c>
      <x:c r="G1583" s="50"/>
      <x:c r="H1583" s="50" t="str">
        <x:v>LONG</x:v>
      </x:c>
      <x:c r="I1583" s="71" t="n">
        <x:v>585.355</x:v>
      </x:c>
      <x:c r="J1583" s="76" t="str">
        <x:v>SIP</x:v>
      </x:c>
    </x:row>
    <x:row r="1584">
      <x:c r="A1584" s="50" t="str">
        <x:v>019fdd78-b2cc-7816-8bde-eb5e5bf384d7</x:v>
      </x:c>
      <x:c r="B1584" s="50" t="str">
        <x:v>APA</x:v>
      </x:c>
      <x:c r="C1584" s="70" t="n">
        <x:v>46241.76739199074</x:v>
      </x:c>
      <x:c r="D1584" s="50" t="str">
        <x:v>SWING_SETUP</x:v>
      </x:c>
      <x:c r="E1584" s="50" t="str">
        <x:v>APA SWING SETUP</x:v>
      </x:c>
      <x:c r="F1584" s="50" t="str">
        <x:v>WATCH</x:v>
      </x:c>
      <x:c r="G1584" s="50"/>
      <x:c r="H1584" s="50" t="str">
        <x:v>LONG</x:v>
      </x:c>
      <x:c r="I1584" s="71" t="n">
        <x:v>37.755</x:v>
      </x:c>
      <x:c r="J1584" s="76" t="str">
        <x:v>SIP</x:v>
      </x:c>
    </x:row>
    <x:row r="1585">
      <x:c r="A1585" s="50" t="str">
        <x:v>019fdd78-b2d4-7475-8124-7b3d892352fb</x:v>
      </x:c>
      <x:c r="B1585" s="50" t="str">
        <x:v>WELL</x:v>
      </x:c>
      <x:c r="C1585" s="70" t="n">
        <x:v>46241.76739208333</x:v>
      </x:c>
      <x:c r="D1585" s="50" t="str">
        <x:v>SWING_SETUP</x:v>
      </x:c>
      <x:c r="E1585" s="50" t="str">
        <x:v>WELL SWING SETUP</x:v>
      </x:c>
      <x:c r="F1585" s="50" t="str">
        <x:v>WATCH</x:v>
      </x:c>
      <x:c r="G1585" s="50"/>
      <x:c r="H1585" s="50" t="str">
        <x:v>LONG</x:v>
      </x:c>
      <x:c r="I1585" s="71" t="n">
        <x:v>236.495</x:v>
      </x:c>
      <x:c r="J1585" s="76" t="str">
        <x:v>SIP</x:v>
      </x:c>
    </x:row>
    <x:row r="1586">
      <x:c r="A1586" s="50" t="str">
        <x:v>019fdd78-b2dc-71f4-ae16-6144ccbf37cb</x:v>
      </x:c>
      <x:c r="B1586" s="50" t="str">
        <x:v>DASH</x:v>
      </x:c>
      <x:c r="C1586" s="70" t="n">
        <x:v>46241.76739217593</x:v>
      </x:c>
      <x:c r="D1586" s="50" t="str">
        <x:v>SWING_SETUP</x:v>
      </x:c>
      <x:c r="E1586" s="50" t="str">
        <x:v>DASH SWING SETUP</x:v>
      </x:c>
      <x:c r="F1586" s="50" t="str">
        <x:v>WATCH</x:v>
      </x:c>
      <x:c r="G1586" s="50"/>
      <x:c r="H1586" s="50" t="str">
        <x:v>LONG</x:v>
      </x:c>
      <x:c r="I1586" s="71" t="n">
        <x:v>219.795</x:v>
      </x:c>
      <x:c r="J1586" s="76" t="str">
        <x:v>SIP</x:v>
      </x:c>
    </x:row>
    <x:row r="1587">
      <x:c r="A1587" s="50" t="str">
        <x:v>019fdd78-b307-7325-9a94-4f84a829875b</x:v>
      </x:c>
      <x:c r="B1587" s="50" t="str">
        <x:v>DLR</x:v>
      </x:c>
      <x:c r="C1587" s="70" t="n">
        <x:v>46241.76739267361</x:v>
      </x:c>
      <x:c r="D1587" s="50" t="str">
        <x:v>SWING_SETUP</x:v>
      </x:c>
      <x:c r="E1587" s="50" t="str">
        <x:v>DLR SWING SETUP</x:v>
      </x:c>
      <x:c r="F1587" s="50" t="str">
        <x:v>WATCH</x:v>
      </x:c>
      <x:c r="G1587" s="50"/>
      <x:c r="H1587" s="50" t="str">
        <x:v>LONG</x:v>
      </x:c>
      <x:c r="I1587" s="71" t="n">
        <x:v>193.48</x:v>
      </x:c>
      <x:c r="J1587" s="76" t="str">
        <x:v>SIP</x:v>
      </x:c>
    </x:row>
    <x:row r="1588">
      <x:c r="A1588" s="50" t="str">
        <x:v>019fdd78-bd15-7ae6-8cb1-26aeeaf91289</x:v>
      </x:c>
      <x:c r="B1588" s="50" t="str">
        <x:v>ABBV</x:v>
      </x:c>
      <x:c r="C1588" s="70" t="n">
        <x:v>46241.76742246528</x:v>
      </x:c>
      <x:c r="D1588" s="50" t="str">
        <x:v>LONG_BUY_ZONE</x:v>
      </x:c>
      <x:c r="E1588" s="50" t="str">
        <x:v>ABBV LONG BUY ZONE</x:v>
      </x:c>
      <x:c r="F1588" s="50" t="str">
        <x:v>WATCH</x:v>
      </x:c>
      <x:c r="G1588" s="50"/>
      <x:c r="H1588" s="50" t="str">
        <x:v>LONG</x:v>
      </x:c>
      <x:c r="I1588" s="71" t="n">
        <x:v>244.925</x:v>
      </x:c>
      <x:c r="J1588" s="76" t="str">
        <x:v>SIP</x:v>
      </x:c>
    </x:row>
    <x:row r="1589">
      <x:c r="A1589" s="50" t="str">
        <x:v>019fdd79-9e7c-70de-8a83-6c3bde0ff278</x:v>
      </x:c>
      <x:c r="B1589" s="50" t="str">
        <x:v>ANET</x:v>
      </x:c>
      <x:c r="C1589" s="70" t="n">
        <x:v>46241.768090324076</x:v>
      </x:c>
      <x:c r="D1589" s="50" t="str">
        <x:v>SWING_SETUP</x:v>
      </x:c>
      <x:c r="E1589" s="50" t="str">
        <x:v>ANET SWING SETUP</x:v>
      </x:c>
      <x:c r="F1589" s="50" t="str">
        <x:v>WATCH</x:v>
      </x:c>
      <x:c r="G1589" s="50"/>
      <x:c r="H1589" s="50" t="str">
        <x:v>LONG</x:v>
      </x:c>
      <x:c r="I1589" s="71" t="n">
        <x:v>187.795</x:v>
      </x:c>
      <x:c r="J1589" s="76" t="str">
        <x:v>SIP</x:v>
      </x:c>
    </x:row>
    <x:row r="1590">
      <x:c r="A1590" s="50" t="str">
        <x:v>019fdd79-a0d5-7917-8339-bb5c04e1ae41</x:v>
      </x:c>
      <x:c r="B1590" s="50" t="str">
        <x:v>BMY</x:v>
      </x:c>
      <x:c r="C1590" s="70" t="n">
        <x:v>46241.76809726852</x:v>
      </x:c>
      <x:c r="D1590" s="50" t="str">
        <x:v>SWING_SETUP</x:v>
      </x:c>
      <x:c r="E1590" s="50" t="str">
        <x:v>BMY SWING SETUP</x:v>
      </x:c>
      <x:c r="F1590" s="50" t="str">
        <x:v>WATCH</x:v>
      </x:c>
      <x:c r="G1590" s="50"/>
      <x:c r="H1590" s="50" t="str">
        <x:v>LONG</x:v>
      </x:c>
      <x:c r="I1590" s="71" t="n">
        <x:v>64.16</x:v>
      </x:c>
      <x:c r="J1590" s="76" t="str">
        <x:v>SIP</x:v>
      </x:c>
    </x:row>
    <x:row r="1591">
      <x:c r="A1591" s="50" t="str">
        <x:v>019fdd79-a169-7002-b018-7cff8c160c7c</x:v>
      </x:c>
      <x:c r="B1591" s="50" t="str">
        <x:v>RIOT</x:v>
      </x:c>
      <x:c r="C1591" s="70" t="n">
        <x:v>46241.76809899305</x:v>
      </x:c>
      <x:c r="D1591" s="50" t="str">
        <x:v>ENTRY_WATCH</x:v>
      </x:c>
      <x:c r="E1591" s="50" t="str">
        <x:v>RIOT ENTRY IN_ZONE EARLY WATCH</x:v>
      </x:c>
      <x:c r="F1591" s="50" t="str">
        <x:v>WATCH</x:v>
      </x:c>
      <x:c r="G1591" s="50"/>
      <x:c r="H1591" s="50" t="str">
        <x:v>LONG</x:v>
      </x:c>
      <x:c r="I1591" s="71" t="n">
        <x:v>20.62</x:v>
      </x:c>
      <x:c r="J1591" s="76" t="str">
        <x:v>SIP</x:v>
      </x:c>
    </x:row>
    <x:row r="1592">
      <x:c r="A1592" s="50" t="str">
        <x:v>019fdd79-a1b2-76a0-ac74-5d47c06e3aaa</x:v>
      </x:c>
      <x:c r="B1592" s="50" t="str">
        <x:v>PLTR</x:v>
      </x:c>
      <x:c r="C1592" s="70" t="n">
        <x:v>46241.768099837966</x:v>
      </x:c>
      <x:c r="D1592" s="50" t="str">
        <x:v>SWING_SETUP</x:v>
      </x:c>
      <x:c r="E1592" s="50" t="str">
        <x:v>PLTR SWING SETUP</x:v>
      </x:c>
      <x:c r="F1592" s="50" t="str">
        <x:v>WATCH</x:v>
      </x:c>
      <x:c r="G1592" s="50"/>
      <x:c r="H1592" s="50" t="str">
        <x:v>LONG</x:v>
      </x:c>
      <x:c r="I1592" s="71" t="n">
        <x:v>170.6</x:v>
      </x:c>
      <x:c r="J1592" s="76" t="str">
        <x:v>SIP</x:v>
      </x:c>
    </x:row>
    <x:row r="1593">
      <x:c r="A1593" s="50" t="str">
        <x:v>019fdd79-a45e-7c7c-ac24-2493961bd1b3</x:v>
      </x:c>
      <x:c r="B1593" s="50" t="str">
        <x:v>PM</x:v>
      </x:c>
      <x:c r="C1593" s="70" t="n">
        <x:v>46241.76810774305</x:v>
      </x:c>
      <x:c r="D1593" s="50" t="str">
        <x:v>LONG_BUY_ZONE</x:v>
      </x:c>
      <x:c r="E1593" s="50" t="str">
        <x:v>PM LONG BUY ZONE</x:v>
      </x:c>
      <x:c r="F1593" s="50" t="str">
        <x:v>WATCH</x:v>
      </x:c>
      <x:c r="G1593" s="50"/>
      <x:c r="H1593" s="50" t="str">
        <x:v>LONG</x:v>
      </x:c>
      <x:c r="I1593" s="71" t="n">
        <x:v>189.19</x:v>
      </x:c>
      <x:c r="J1593" s="76" t="str">
        <x:v>SIP</x:v>
      </x:c>
    </x:row>
    <x:row r="1594">
      <x:c r="A1594" s="50" t="str">
        <x:v>019fdd7a-8765-7245-adb7-3df1824f114e</x:v>
      </x:c>
      <x:c r="B1594" s="50" t="str">
        <x:v>MMM</x:v>
      </x:c>
      <x:c r="C1594" s="70" t="n">
        <x:v>46241.76878042824</x:v>
      </x:c>
      <x:c r="D1594" s="50" t="str">
        <x:v>SWING_SETUP</x:v>
      </x:c>
      <x:c r="E1594" s="50" t="str">
        <x:v>MMM SWING SETUP</x:v>
      </x:c>
      <x:c r="F1594" s="50" t="str">
        <x:v>WATCH</x:v>
      </x:c>
      <x:c r="G1594" s="50"/>
      <x:c r="H1594" s="50" t="str">
        <x:v>LONG</x:v>
      </x:c>
      <x:c r="I1594" s="71" t="n">
        <x:v>182.81</x:v>
      </x:c>
      <x:c r="J1594" s="76" t="str">
        <x:v>SIP</x:v>
      </x:c>
    </x:row>
    <x:row r="1595">
      <x:c r="A1595" s="50" t="str">
        <x:v>019fdd7a-876e-7626-8e81-5b4f4ec6c91c</x:v>
      </x:c>
      <x:c r="B1595" s="50" t="str">
        <x:v>ABT</x:v>
      </x:c>
      <x:c r="C1595" s="70" t="n">
        <x:v>46241.76878053241</x:v>
      </x:c>
      <x:c r="D1595" s="50" t="str">
        <x:v>SWING_SETUP</x:v>
      </x:c>
      <x:c r="E1595" s="50" t="str">
        <x:v>ABT SWING SETUP</x:v>
      </x:c>
      <x:c r="F1595" s="50" t="str">
        <x:v>WATCH</x:v>
      </x:c>
      <x:c r="G1595" s="50"/>
      <x:c r="H1595" s="50" t="str">
        <x:v>LONG</x:v>
      </x:c>
      <x:c r="I1595" s="71" t="n">
        <x:v>107.39</x:v>
      </x:c>
      <x:c r="J1595" s="76" t="str">
        <x:v>SIP</x:v>
      </x:c>
    </x:row>
    <x:row r="1596">
      <x:c r="A1596" s="50" t="str">
        <x:v>019fdd7a-882d-7e35-b8ed-c8ecfa9f0af8</x:v>
      </x:c>
      <x:c r="B1596" s="50" t="str">
        <x:v>BLK</x:v>
      </x:c>
      <x:c r="C1596" s="70" t="n">
        <x:v>46241.76878274306</x:v>
      </x:c>
      <x:c r="D1596" s="50" t="str">
        <x:v>SWING_SETUP</x:v>
      </x:c>
      <x:c r="E1596" s="50" t="str">
        <x:v>BLK SWING SETUP</x:v>
      </x:c>
      <x:c r="F1596" s="50" t="str">
        <x:v>WATCH</x:v>
      </x:c>
      <x:c r="G1596" s="50"/>
      <x:c r="H1596" s="50" t="str">
        <x:v>LONG</x:v>
      </x:c>
      <x:c r="I1596" s="71" t="n">
        <x:v>1138.84</x:v>
      </x:c>
      <x:c r="J1596" s="76" t="str">
        <x:v>SIP</x:v>
      </x:c>
    </x:row>
    <x:row r="1597">
      <x:c r="A1597" s="50" t="str">
        <x:v>019fdd7a-88f3-77b4-9c04-96ad5d1256de</x:v>
      </x:c>
      <x:c r="B1597" s="50" t="str">
        <x:v>RCL</x:v>
      </x:c>
      <x:c r="C1597" s="70" t="n">
        <x:v>46241.768785023145</x:v>
      </x:c>
      <x:c r="D1597" s="50" t="str">
        <x:v>SWING_SETUP</x:v>
      </x:c>
      <x:c r="E1597" s="50" t="str">
        <x:v>RCL SWING SETUP</x:v>
      </x:c>
      <x:c r="F1597" s="50" t="str">
        <x:v>WATCH</x:v>
      </x:c>
      <x:c r="G1597" s="50"/>
      <x:c r="H1597" s="50" t="str">
        <x:v>LONG</x:v>
      </x:c>
      <x:c r="I1597" s="71" t="n">
        <x:v>320.47</x:v>
      </x:c>
      <x:c r="J1597" s="76" t="str">
        <x:v>SIP</x:v>
      </x:c>
    </x:row>
    <x:row r="1598">
      <x:c r="A1598" s="50" t="str">
        <x:v>019fdd7a-8a04-7b04-adb1-33a0fc56f25b</x:v>
      </x:c>
      <x:c r="B1598" s="50" t="str">
        <x:v>JPM</x:v>
      </x:c>
      <x:c r="C1598" s="70" t="n">
        <x:v>46241.768788194444</x:v>
      </x:c>
      <x:c r="D1598" s="50" t="str">
        <x:v>SWING_SETUP</x:v>
      </x:c>
      <x:c r="E1598" s="50" t="str">
        <x:v>JPM SWING SETUP</x:v>
      </x:c>
      <x:c r="F1598" s="50" t="str">
        <x:v>WATCH</x:v>
      </x:c>
      <x:c r="G1598" s="50"/>
      <x:c r="H1598" s="50" t="str">
        <x:v>LONG</x:v>
      </x:c>
      <x:c r="I1598" s="71" t="n">
        <x:v>357.26</x:v>
      </x:c>
      <x:c r="J1598" s="76" t="str">
        <x:v>SIP</x:v>
      </x:c>
    </x:row>
    <x:row r="1599">
      <x:c r="A1599" s="50" t="str">
        <x:v>019fdd7a-8a22-748a-9f5e-6c6a59294cf6</x:v>
      </x:c>
      <x:c r="B1599" s="50" t="str">
        <x:v>PFE</x:v>
      </x:c>
      <x:c r="C1599" s="70" t="n">
        <x:v>46241.76878854167</x:v>
      </x:c>
      <x:c r="D1599" s="50" t="str">
        <x:v>SWING_SETUP</x:v>
      </x:c>
      <x:c r="E1599" s="50" t="str">
        <x:v>PFE SWING SETUP</x:v>
      </x:c>
      <x:c r="F1599" s="50" t="str">
        <x:v>WATCH</x:v>
      </x:c>
      <x:c r="G1599" s="50"/>
      <x:c r="H1599" s="50" t="str">
        <x:v>LONG</x:v>
      </x:c>
      <x:c r="I1599" s="71" t="n">
        <x:v>26.47</x:v>
      </x:c>
      <x:c r="J1599" s="76" t="str">
        <x:v>SIP</x:v>
      </x:c>
    </x:row>
    <x:row r="1600">
      <x:c r="A1600" s="50" t="str">
        <x:v>019fdd7a-8a42-7184-9750-38da9cdd7f06</x:v>
      </x:c>
      <x:c r="B1600" s="50" t="str">
        <x:v>JD</x:v>
      </x:c>
      <x:c r="C1600" s="70" t="n">
        <x:v>46241.768788912035</x:v>
      </x:c>
      <x:c r="D1600" s="50" t="str">
        <x:v>SWING_SETUP</x:v>
      </x:c>
      <x:c r="E1600" s="50" t="str">
        <x:v>JD SWING SETUP</x:v>
      </x:c>
      <x:c r="F1600" s="50" t="str">
        <x:v>WATCH</x:v>
      </x:c>
      <x:c r="G1600" s="50"/>
      <x:c r="H1600" s="50" t="str">
        <x:v>LONG</x:v>
      </x:c>
      <x:c r="I1600" s="71" t="n">
        <x:v>32.905</x:v>
      </x:c>
      <x:c r="J1600" s="76" t="str">
        <x:v>SIP</x:v>
      </x:c>
    </x:row>
    <x:row r="1601">
      <x:c r="A1601" s="50" t="str">
        <x:v>019fdd7a-8a69-7321-9c65-8817a3d0c478</x:v>
      </x:c>
      <x:c r="B1601" s="50" t="str">
        <x:v>BAC</x:v>
      </x:c>
      <x:c r="C1601" s="70" t="n">
        <x:v>46241.76878936343</x:v>
      </x:c>
      <x:c r="D1601" s="50" t="str">
        <x:v>SWING_SETUP</x:v>
      </x:c>
      <x:c r="E1601" s="50" t="str">
        <x:v>BAC SWING SETUP</x:v>
      </x:c>
      <x:c r="F1601" s="50" t="str">
        <x:v>WATCH</x:v>
      </x:c>
      <x:c r="G1601" s="50"/>
      <x:c r="H1601" s="50" t="str">
        <x:v>LONG</x:v>
      </x:c>
      <x:c r="I1601" s="71" t="n">
        <x:v>63.025</x:v>
      </x:c>
      <x:c r="J1601" s="76" t="str">
        <x:v>SIP</x:v>
      </x:c>
    </x:row>
    <x:row r="1602">
      <x:c r="A1602" s="50" t="str">
        <x:v>019fdd7a-8a7b-78de-b767-71f2e24dedc7</x:v>
      </x:c>
      <x:c r="B1602" s="50" t="str">
        <x:v>ETHA</x:v>
      </x:c>
      <x:c r="C1602" s="70" t="n">
        <x:v>46241.768789560185</x:v>
      </x:c>
      <x:c r="D1602" s="50" t="str">
        <x:v>SWING_SETUP</x:v>
      </x:c>
      <x:c r="E1602" s="50" t="str">
        <x:v>ETHA SWING SETUP</x:v>
      </x:c>
      <x:c r="F1602" s="50" t="str">
        <x:v>WATCH</x:v>
      </x:c>
      <x:c r="G1602" s="50"/>
      <x:c r="H1602" s="50" t="str">
        <x:v>LONG</x:v>
      </x:c>
      <x:c r="I1602" s="71" t="n">
        <x:v>14.435</x:v>
      </x:c>
      <x:c r="J1602" s="76" t="str">
        <x:v>SIP</x:v>
      </x:c>
    </x:row>
    <x:row r="1603">
      <x:c r="A1603" s="50" t="str">
        <x:v>019fdd7a-8a8b-7f89-9b03-758a11b91c1b</x:v>
      </x:c>
      <x:c r="B1603" s="50" t="str">
        <x:v>TMDX</x:v>
      </x:c>
      <x:c r="C1603" s="70" t="n">
        <x:v>46241.76878975694</x:v>
      </x:c>
      <x:c r="D1603" s="50" t="str">
        <x:v>SWING_SETUP</x:v>
      </x:c>
      <x:c r="E1603" s="50" t="str">
        <x:v>TMDX SWING SETUP</x:v>
      </x:c>
      <x:c r="F1603" s="50" t="str">
        <x:v>WATCH</x:v>
      </x:c>
      <x:c r="G1603" s="50"/>
      <x:c r="H1603" s="50" t="str">
        <x:v>LONG</x:v>
      </x:c>
      <x:c r="I1603" s="71" t="n">
        <x:v>81.135</x:v>
      </x:c>
      <x:c r="J1603" s="76" t="str">
        <x:v>SIP</x:v>
      </x:c>
    </x:row>
    <x:row r="1604">
      <x:c r="A1604" s="50" t="str">
        <x:v>019fdd7a-8b36-79ab-9c49-b735344fcb0d</x:v>
      </x:c>
      <x:c r="B1604" s="50" t="str">
        <x:v>KO</x:v>
      </x:c>
      <x:c r="C1604" s="70" t="n">
        <x:v>46241.76879173611</x:v>
      </x:c>
      <x:c r="D1604" s="50" t="str">
        <x:v>SWING_SETUP</x:v>
      </x:c>
      <x:c r="E1604" s="50" t="str">
        <x:v>KO SWING SETUP</x:v>
      </x:c>
      <x:c r="F1604" s="50" t="str">
        <x:v>WATCH</x:v>
      </x:c>
      <x:c r="G1604" s="50"/>
      <x:c r="H1604" s="50" t="str">
        <x:v>LONG</x:v>
      </x:c>
      <x:c r="I1604" s="71" t="n">
        <x:v>87.115</x:v>
      </x:c>
      <x:c r="J1604" s="76" t="str">
        <x:v>SIP</x:v>
      </x:c>
    </x:row>
    <x:row r="1605">
      <x:c r="A1605" s="50" t="str">
        <x:v>019fdd7a-8b63-712b-ba2c-4c5f0dde7a0d</x:v>
      </x:c>
      <x:c r="B1605" s="50" t="str">
        <x:v>CEG</x:v>
      </x:c>
      <x:c r="C1605" s="70" t="n">
        <x:v>46241.768792256946</x:v>
      </x:c>
      <x:c r="D1605" s="50" t="str">
        <x:v>SWING_SETUP</x:v>
      </x:c>
      <x:c r="E1605" s="50" t="str">
        <x:v>CEG SWING SETUP</x:v>
      </x:c>
      <x:c r="F1605" s="50" t="str">
        <x:v>WATCH</x:v>
      </x:c>
      <x:c r="G1605" s="50"/>
      <x:c r="H1605" s="50" t="str">
        <x:v>LONG</x:v>
      </x:c>
      <x:c r="I1605" s="71" t="n">
        <x:v>270.48</x:v>
      </x:c>
      <x:c r="J1605" s="76" t="str">
        <x:v>SIP</x:v>
      </x:c>
    </x:row>
    <x:row r="1606">
      <x:c r="A1606" s="50" t="str">
        <x:v>019fdd7a-8bcf-7eea-9d26-9e6b5bc5489a</x:v>
      </x:c>
      <x:c r="B1606" s="50" t="str">
        <x:v>SHW</x:v>
      </x:c>
      <x:c r="C1606" s="70" t="n">
        <x:v>46241.76879350695</x:v>
      </x:c>
      <x:c r="D1606" s="50" t="str">
        <x:v>SWING_SETUP</x:v>
      </x:c>
      <x:c r="E1606" s="50" t="str">
        <x:v>SHW SWING SETUP</x:v>
      </x:c>
      <x:c r="F1606" s="50" t="str">
        <x:v>WATCH</x:v>
      </x:c>
      <x:c r="G1606" s="50"/>
      <x:c r="H1606" s="50" t="str">
        <x:v>LONG</x:v>
      </x:c>
      <x:c r="I1606" s="71" t="n">
        <x:v>369.44</x:v>
      </x:c>
      <x:c r="J1606" s="76" t="str">
        <x:v>SIP</x:v>
      </x:c>
    </x:row>
    <x:row r="1607">
      <x:c r="A1607" s="50" t="str">
        <x:v>019fdd7a-8ebd-7b7c-9df9-2aed98a93bbe</x:v>
      </x:c>
      <x:c r="B1607" s="50" t="str">
        <x:v>JNJ</x:v>
      </x:c>
      <x:c r="C1607" s="70" t="n">
        <x:v>46241.7688021875</x:v>
      </x:c>
      <x:c r="D1607" s="50" t="str">
        <x:v>LONG_BUY_ZONE</x:v>
      </x:c>
      <x:c r="E1607" s="50" t="str">
        <x:v>JNJ LONG BUY ZONE</x:v>
      </x:c>
      <x:c r="F1607" s="50" t="str">
        <x:v>WATCH</x:v>
      </x:c>
      <x:c r="G1607" s="50"/>
      <x:c r="H1607" s="50" t="str">
        <x:v>LONG</x:v>
      </x:c>
      <x:c r="I1607" s="71" t="n">
        <x:v>256.4573</x:v>
      </x:c>
      <x:c r="J1607" s="76" t="str">
        <x:v>SIP</x:v>
      </x:c>
    </x:row>
    <x:row r="1608">
      <x:c r="A1608" s="50" t="str">
        <x:v>019fdd7a-8f00-72f1-bc2e-db2e1cd640fc</x:v>
      </x:c>
      <x:c r="B1608" s="50" t="str">
        <x:v>ECL</x:v>
      </x:c>
      <x:c r="C1608" s="70" t="n">
        <x:v>46241.768802962964</x:v>
      </x:c>
      <x:c r="D1608" s="50" t="str">
        <x:v>LONG_BUY_ZONE</x:v>
      </x:c>
      <x:c r="E1608" s="50" t="str">
        <x:v>ECL LONG BUY ZONE</x:v>
      </x:c>
      <x:c r="F1608" s="50" t="str">
        <x:v>WATCH</x:v>
      </x:c>
      <x:c r="G1608" s="50"/>
      <x:c r="H1608" s="50" t="str">
        <x:v>LONG</x:v>
      </x:c>
      <x:c r="I1608" s="71" t="n">
        <x:v>284.43</x:v>
      </x:c>
      <x:c r="J1608" s="76" t="str">
        <x:v>SIP</x:v>
      </x:c>
    </x:row>
    <x:row r="1609">
      <x:c r="A1609" s="50" t="str">
        <x:v>019fdd7a-8f87-73e6-bd48-5713a8f8f056</x:v>
      </x:c>
      <x:c r="B1609" s="50" t="str">
        <x:v>HRL</x:v>
      </x:c>
      <x:c r="C1609" s="70" t="n">
        <x:v>46241.76880452546</x:v>
      </x:c>
      <x:c r="D1609" s="50" t="str">
        <x:v>LONG_BUY_ZONE</x:v>
      </x:c>
      <x:c r="E1609" s="50" t="str">
        <x:v>HRL LONG BUY ZONE</x:v>
      </x:c>
      <x:c r="F1609" s="50" t="str">
        <x:v>WATCH</x:v>
      </x:c>
      <x:c r="G1609" s="50"/>
      <x:c r="H1609" s="50" t="str">
        <x:v>LONG</x:v>
      </x:c>
      <x:c r="I1609" s="71" t="n">
        <x:v>25.12</x:v>
      </x:c>
      <x:c r="J1609" s="76" t="str">
        <x:v>SIP</x:v>
      </x:c>
    </x:row>
    <x:row r="1610">
      <x:c r="A1610" s="50" t="str">
        <x:v>019fdd7b-7413-7089-a3af-e8a9d6afd78b</x:v>
      </x:c>
      <x:c r="B1610" s="50" t="str">
        <x:v>PM</x:v>
      </x:c>
      <x:c r="C1610" s="70" t="n">
        <x:v>46241.76948170139</x:v>
      </x:c>
      <x:c r="D1610" s="50" t="str">
        <x:v>SWING_SETUP</x:v>
      </x:c>
      <x:c r="E1610" s="50" t="str">
        <x:v>PM SWING SETUP</x:v>
      </x:c>
      <x:c r="F1610" s="50" t="str">
        <x:v>WATCH</x:v>
      </x:c>
      <x:c r="G1610" s="50"/>
      <x:c r="H1610" s="50" t="str">
        <x:v>LONG</x:v>
      </x:c>
      <x:c r="I1610" s="71" t="n">
        <x:v>189.4</x:v>
      </x:c>
      <x:c r="J1610" s="76" t="str">
        <x:v>SIP</x:v>
      </x:c>
    </x:row>
    <x:row r="1611">
      <x:c r="A1611" s="50" t="str">
        <x:v>019fdd7b-7472-749e-9298-99975fb1925d</x:v>
      </x:c>
      <x:c r="B1611" s="50" t="str">
        <x:v>GS</x:v>
      </x:c>
      <x:c r="C1611" s="70" t="n">
        <x:v>46241.769482800926</x:v>
      </x:c>
      <x:c r="D1611" s="50" t="str">
        <x:v>LONG_BUY_ZONE</x:v>
      </x:c>
      <x:c r="E1611" s="50" t="str">
        <x:v>GS LONG BUY ZONE</x:v>
      </x:c>
      <x:c r="F1611" s="50" t="str">
        <x:v>WATCH</x:v>
      </x:c>
      <x:c r="G1611" s="50"/>
      <x:c r="H1611" s="50" t="str">
        <x:v>LONG</x:v>
      </x:c>
      <x:c r="I1611" s="71" t="n">
        <x:v>1037.22</x:v>
      </x:c>
      <x:c r="J1611" s="76" t="str">
        <x:v>SIP</x:v>
      </x:c>
    </x:row>
    <x:row r="1612">
      <x:c r="A1612" s="50" t="str">
        <x:v>019fdd7b-7570-7199-a073-de07a66c917e</x:v>
      </x:c>
      <x:c r="B1612" s="50" t="str">
        <x:v>RCL</x:v>
      </x:c>
      <x:c r="C1612" s="70" t="n">
        <x:v>46241.76948574074</x:v>
      </x:c>
      <x:c r="D1612" s="50" t="str">
        <x:v>LONG_BUY_ZONE</x:v>
      </x:c>
      <x:c r="E1612" s="50" t="str">
        <x:v>RCL LONG BUY ZONE</x:v>
      </x:c>
      <x:c r="F1612" s="50" t="str">
        <x:v>WATCH</x:v>
      </x:c>
      <x:c r="G1612" s="50"/>
      <x:c r="H1612" s="50" t="str">
        <x:v>LONG</x:v>
      </x:c>
      <x:c r="I1612" s="71" t="n">
        <x:v>320.585</x:v>
      </x:c>
      <x:c r="J1612" s="76" t="str">
        <x:v>SIP</x:v>
      </x:c>
    </x:row>
    <x:row r="1613">
      <x:c r="A1613" s="50" t="str">
        <x:v>019fdd7b-793b-79d3-a678-cc3e37351ddd</x:v>
      </x:c>
      <x:c r="B1613" s="50" t="str">
        <x:v>RIOT</x:v>
      </x:c>
      <x:c r="C1613" s="70" t="n">
        <x:v>46241.76949697917</x:v>
      </x:c>
      <x:c r="D1613" s="50" t="str">
        <x:v>ENTRY_WATCH</x:v>
      </x:c>
      <x:c r="E1613" s="50" t="str">
        <x:v>RIOT ENTRY BREAKAWAY WATCH</x:v>
      </x:c>
      <x:c r="F1613" s="50" t="str">
        <x:v>WATCH</x:v>
      </x:c>
      <x:c r="G1613" s="50"/>
      <x:c r="H1613" s="50" t="str">
        <x:v>LONG</x:v>
      </x:c>
      <x:c r="I1613" s="71" t="n">
        <x:v>20.64</x:v>
      </x:c>
      <x:c r="J1613" s="76" t="str">
        <x:v>SIP</x:v>
      </x:c>
    </x:row>
    <x:row r="1614">
      <x:c r="A1614" s="50" t="str">
        <x:v>019fdd7b-7a91-76b2-b4ca-cf971e73b785</x:v>
      </x:c>
      <x:c r="B1614" s="50" t="str">
        <x:v>MNST</x:v>
      </x:c>
      <x:c r="C1614" s="70" t="n">
        <x:v>46241.7695009375</x:v>
      </x:c>
      <x:c r="D1614" s="50" t="str">
        <x:v>ENTRY_WATCH</x:v>
      </x:c>
      <x:c r="E1614" s="50" t="str">
        <x:v>MNST ENTRY BREAKAWAY WATCH</x:v>
      </x:c>
      <x:c r="F1614" s="50" t="str">
        <x:v>WATCH</x:v>
      </x:c>
      <x:c r="G1614" s="50"/>
      <x:c r="H1614" s="50" t="str">
        <x:v>LONG</x:v>
      </x:c>
      <x:c r="I1614" s="71" t="n">
        <x:v>90.53</x:v>
      </x:c>
      <x:c r="J1614" s="76" t="str">
        <x:v>SIP</x:v>
      </x:c>
    </x:row>
    <x:row r="1615">
      <x:c r="A1615" s="50" t="str">
        <x:v>019fdd7c-61a5-78d4-a50b-a0fcbbe66744</x:v>
      </x:c>
      <x:c r="B1615" s="50" t="str">
        <x:v>ECL</x:v>
      </x:c>
      <x:c r="C1615" s="70" t="n">
        <x:v>46241.77018561342</x:v>
      </x:c>
      <x:c r="D1615" s="50" t="str">
        <x:v>SWING_SETUP</x:v>
      </x:c>
      <x:c r="E1615" s="50" t="str">
        <x:v>ECL SWING SETUP</x:v>
      </x:c>
      <x:c r="F1615" s="50" t="str">
        <x:v>WATCH</x:v>
      </x:c>
      <x:c r="G1615" s="50"/>
      <x:c r="H1615" s="50" t="str">
        <x:v>LONG</x:v>
      </x:c>
      <x:c r="I1615" s="71" t="n">
        <x:v>284.42</x:v>
      </x:c>
      <x:c r="J1615" s="76" t="str">
        <x:v>SIP</x:v>
      </x:c>
    </x:row>
    <x:row r="1616">
      <x:c r="A1616" s="50" t="str">
        <x:v>019fdd7d-45e7-79b5-9fcd-8efaea996787</x:v>
      </x:c>
      <x:c r="B1616" s="50" t="str">
        <x:v>RIOT</x:v>
      </x:c>
      <x:c r="C1616" s="70" t="n">
        <x:v>46241.77086193287</x:v>
      </x:c>
      <x:c r="D1616" s="50" t="str">
        <x:v>ENTRY_WATCH</x:v>
      </x:c>
      <x:c r="E1616" s="50" t="str">
        <x:v>RIOT ENTRY IN_ZONE EARLY WATCH</x:v>
      </x:c>
      <x:c r="F1616" s="50" t="str">
        <x:v>WATCH</x:v>
      </x:c>
      <x:c r="G1616" s="50"/>
      <x:c r="H1616" s="50" t="str">
        <x:v>LONG</x:v>
      </x:c>
      <x:c r="I1616" s="71" t="n">
        <x:v>20.596</x:v>
      </x:c>
      <x:c r="J1616" s="76" t="str">
        <x:v>SIP</x:v>
      </x:c>
    </x:row>
    <x:row r="1617">
      <x:c r="A1617" s="50" t="str">
        <x:v>019fdd7e-30d3-7321-88c9-f07dfaee7486</x:v>
      </x:c>
      <x:c r="B1617" s="50" t="str">
        <x:v>DE</x:v>
      </x:c>
      <x:c r="C1617" s="70" t="n">
        <x:v>46241.77155799769</x:v>
      </x:c>
      <x:c r="D1617" s="50" t="str">
        <x:v>SWING_SETUP</x:v>
      </x:c>
      <x:c r="E1617" s="50" t="str">
        <x:v>DE SWING SETUP</x:v>
      </x:c>
      <x:c r="F1617" s="50" t="str">
        <x:v>WATCH</x:v>
      </x:c>
      <x:c r="G1617" s="50"/>
      <x:c r="H1617" s="50" t="str">
        <x:v>LONG</x:v>
      </x:c>
      <x:c r="I1617" s="71" t="n">
        <x:v>622.67</x:v>
      </x:c>
      <x:c r="J1617" s="76" t="str">
        <x:v>SIP</x:v>
      </x:c>
    </x:row>
    <x:row r="1618">
      <x:c r="A1618" s="50" t="str">
        <x:v>019fdd7e-31ca-7a7a-aaff-7297ae957ad3</x:v>
      </x:c>
      <x:c r="B1618" s="50" t="str">
        <x:v>RTX</x:v>
      </x:c>
      <x:c r="C1618" s="70" t="n">
        <x:v>46241.77156085648</x:v>
      </x:c>
      <x:c r="D1618" s="50" t="str">
        <x:v>SWING_SETUP</x:v>
      </x:c>
      <x:c r="E1618" s="50" t="str">
        <x:v>RTX SWING SETUP</x:v>
      </x:c>
      <x:c r="F1618" s="50" t="str">
        <x:v>WATCH</x:v>
      </x:c>
      <x:c r="G1618" s="50"/>
      <x:c r="H1618" s="50" t="str">
        <x:v>LONG</x:v>
      </x:c>
      <x:c r="I1618" s="71" t="n">
        <x:v>222.41</x:v>
      </x:c>
      <x:c r="J1618" s="76" t="str">
        <x:v>SIP</x:v>
      </x:c>
    </x:row>
    <x:row r="1619">
      <x:c r="A1619" s="50" t="str">
        <x:v>019fdd7f-1a61-7db0-83d5-699c1e603137</x:v>
      </x:c>
      <x:c r="B1619" s="50" t="str">
        <x:v>CROX</x:v>
      </x:c>
      <x:c r="C1619" s="70" t="n">
        <x:v>46241.77225001157</x:v>
      </x:c>
      <x:c r="D1619" s="50" t="str">
        <x:v>SWING_SETUP</x:v>
      </x:c>
      <x:c r="E1619" s="50" t="str">
        <x:v>CROX SWING SETUP</x:v>
      </x:c>
      <x:c r="F1619" s="50" t="str">
        <x:v>WATCH</x:v>
      </x:c>
      <x:c r="G1619" s="50"/>
      <x:c r="H1619" s="50" t="str">
        <x:v>LONG</x:v>
      </x:c>
      <x:c r="I1619" s="71" t="n">
        <x:v>138.265</x:v>
      </x:c>
      <x:c r="J1619" s="76" t="str">
        <x:v>SIP</x:v>
      </x:c>
    </x:row>
    <x:row r="1620">
      <x:c r="A1620" s="50" t="str">
        <x:v>019fdd7f-1e3e-7490-93a9-c88c50ea759f</x:v>
      </x:c>
      <x:c r="B1620" s="50" t="str">
        <x:v>WFC</x:v>
      </x:c>
      <x:c r="C1620" s="70" t="n">
        <x:v>46241.77226145833</x:v>
      </x:c>
      <x:c r="D1620" s="50" t="str">
        <x:v>SWING_SETUP</x:v>
      </x:c>
      <x:c r="E1620" s="50" t="str">
        <x:v>WFC SWING SETUP</x:v>
      </x:c>
      <x:c r="F1620" s="50" t="str">
        <x:v>WATCH</x:v>
      </x:c>
      <x:c r="G1620" s="50"/>
      <x:c r="H1620" s="50" t="str">
        <x:v>LONG</x:v>
      </x:c>
      <x:c r="I1620" s="71" t="n">
        <x:v>87</x:v>
      </x:c>
      <x:c r="J1620" s="76" t="str">
        <x:v>SIP</x:v>
      </x:c>
    </x:row>
    <x:row r="1621">
      <x:c r="A1621" s="50" t="str">
        <x:v>019fdd7f-1e74-772b-9258-792513646055</x:v>
      </x:c>
      <x:c r="B1621" s="50" t="str">
        <x:v>AMGN</x:v>
      </x:c>
      <x:c r="C1621" s="70" t="n">
        <x:v>46241.77226208333</x:v>
      </x:c>
      <x:c r="D1621" s="50" t="str">
        <x:v>SWING_SETUP</x:v>
      </x:c>
      <x:c r="E1621" s="50" t="str">
        <x:v>AMGN SWING SETUP</x:v>
      </x:c>
      <x:c r="F1621" s="50" t="str">
        <x:v>WATCH</x:v>
      </x:c>
      <x:c r="G1621" s="50"/>
      <x:c r="H1621" s="50" t="str">
        <x:v>LONG</x:v>
      </x:c>
      <x:c r="I1621" s="71" t="n">
        <x:v>407.815</x:v>
      </x:c>
      <x:c r="J1621" s="76" t="str">
        <x:v>SIP</x:v>
      </x:c>
    </x:row>
    <x:row r="1622">
      <x:c r="A1622" s="50" t="str">
        <x:v>019fdd7f-1ebf-70b6-affd-7e41a30df3e0</x:v>
      </x:c>
      <x:c r="B1622" s="50" t="str">
        <x:v>BLFS</x:v>
      </x:c>
      <x:c r="C1622" s="70" t="n">
        <x:v>46241.77226295139</x:v>
      </x:c>
      <x:c r="D1622" s="50" t="str">
        <x:v>SWING_SETUP</x:v>
      </x:c>
      <x:c r="E1622" s="50" t="str">
        <x:v>BLFS SWING SETUP</x:v>
      </x:c>
      <x:c r="F1622" s="50" t="str">
        <x:v>WATCH</x:v>
      </x:c>
      <x:c r="G1622" s="50"/>
      <x:c r="H1622" s="50" t="str">
        <x:v>LONG</x:v>
      </x:c>
      <x:c r="I1622" s="71" t="n">
        <x:v>34.47</x:v>
      </x:c>
      <x:c r="J1622" s="76" t="str">
        <x:v>SIP</x:v>
      </x:c>
    </x:row>
    <x:row r="1623">
      <x:c r="A1623" s="50" t="str">
        <x:v>019fdd7f-1f05-7e83-a342-c55c368a33df</x:v>
      </x:c>
      <x:c r="B1623" s="50" t="str">
        <x:v>BABA</x:v>
      </x:c>
      <x:c r="C1623" s="70" t="n">
        <x:v>46241.77226376157</x:v>
      </x:c>
      <x:c r="D1623" s="50" t="str">
        <x:v>SWING_SETUP</x:v>
      </x:c>
      <x:c r="E1623" s="50" t="str">
        <x:v>BABA SWING SETUP</x:v>
      </x:c>
      <x:c r="F1623" s="50" t="str">
        <x:v>WATCH</x:v>
      </x:c>
      <x:c r="G1623" s="50"/>
      <x:c r="H1623" s="50" t="str">
        <x:v>LONG</x:v>
      </x:c>
      <x:c r="I1623" s="71" t="n">
        <x:v>128.375</x:v>
      </x:c>
      <x:c r="J1623" s="76" t="str">
        <x:v>SIP</x:v>
      </x:c>
    </x:row>
    <x:row r="1624">
      <x:c r="A1624" s="50" t="str">
        <x:v>019fdd7f-1fe4-728b-ad7f-3bdbd3a6073a</x:v>
      </x:c>
      <x:c r="B1624" s="50" t="str">
        <x:v>TGT</x:v>
      </x:c>
      <x:c r="C1624" s="70" t="n">
        <x:v>46241.772266342596</x:v>
      </x:c>
      <x:c r="D1624" s="50" t="str">
        <x:v>SWING_SETUP</x:v>
      </x:c>
      <x:c r="E1624" s="50" t="str">
        <x:v>TGT SWING SETUP</x:v>
      </x:c>
      <x:c r="F1624" s="50" t="str">
        <x:v>WATCH</x:v>
      </x:c>
      <x:c r="G1624" s="50"/>
      <x:c r="H1624" s="50" t="str">
        <x:v>LONG</x:v>
      </x:c>
      <x:c r="I1624" s="71" t="n">
        <x:v>148.625</x:v>
      </x:c>
      <x:c r="J1624" s="76" t="str">
        <x:v>SIP</x:v>
      </x:c>
    </x:row>
    <x:row r="1625">
      <x:c r="A1625" s="50" t="str">
        <x:v>019fdd7f-2541-73bb-a702-138ca85d71c9</x:v>
      </x:c>
      <x:c r="B1625" s="50" t="str">
        <x:v>OXY</x:v>
      </x:c>
      <x:c r="C1625" s="70" t="n">
        <x:v>46241.7722822338</x:v>
      </x:c>
      <x:c r="D1625" s="50" t="str">
        <x:v>LONG_BUY_ZONE</x:v>
      </x:c>
      <x:c r="E1625" s="50" t="str">
        <x:v>OXY LONG BUY ZONE</x:v>
      </x:c>
      <x:c r="F1625" s="50" t="str">
        <x:v>WATCH</x:v>
      </x:c>
      <x:c r="G1625" s="50"/>
      <x:c r="H1625" s="50" t="str">
        <x:v>LONG</x:v>
      </x:c>
      <x:c r="I1625" s="71" t="n">
        <x:v>56.32</x:v>
      </x:c>
      <x:c r="J1625" s="76" t="str">
        <x:v>SIP</x:v>
      </x:c>
    </x:row>
    <x:row r="1626">
      <x:c r="A1626" s="50" t="str">
        <x:v>019fdd7f-263b-71ca-922a-a16b20b529c3</x:v>
      </x:c>
      <x:c r="B1626" s="50" t="str">
        <x:v>VZ</x:v>
      </x:c>
      <x:c r="C1626" s="70" t="n">
        <x:v>46241.772285127314</x:v>
      </x:c>
      <x:c r="D1626" s="50" t="str">
        <x:v>LONG_BUY_ZONE</x:v>
      </x:c>
      <x:c r="E1626" s="50" t="str">
        <x:v>VZ LONG BUY ZONE</x:v>
      </x:c>
      <x:c r="F1626" s="50" t="str">
        <x:v>WATCH</x:v>
      </x:c>
      <x:c r="G1626" s="50"/>
      <x:c r="H1626" s="50" t="str">
        <x:v>LONG</x:v>
      </x:c>
      <x:c r="I1626" s="71" t="n">
        <x:v>46.91</x:v>
      </x:c>
      <x:c r="J1626" s="76" t="str">
        <x:v>SIP</x:v>
      </x:c>
    </x:row>
    <x:row r="1627">
      <x:c r="A1627" s="50" t="str">
        <x:v>019fdd80-08dd-7c03-8f16-1c6d81b1750c</x:v>
      </x:c>
      <x:c r="B1627" s="50" t="str">
        <x:v>NOVT</x:v>
      </x:c>
      <x:c r="C1627" s="70" t="n">
        <x:v>46241.77295663195</x:v>
      </x:c>
      <x:c r="D1627" s="50" t="str">
        <x:v>SWING_SETUP</x:v>
      </x:c>
      <x:c r="E1627" s="50" t="str">
        <x:v>NOVT SWING SETUP</x:v>
      </x:c>
      <x:c r="F1627" s="50" t="str">
        <x:v>WATCH</x:v>
      </x:c>
      <x:c r="G1627" s="50"/>
      <x:c r="H1627" s="50" t="str">
        <x:v>LONG</x:v>
      </x:c>
      <x:c r="I1627" s="71" t="n">
        <x:v>169.33</x:v>
      </x:c>
      <x:c r="J1627" s="76" t="str">
        <x:v>SIP</x:v>
      </x:c>
    </x:row>
    <x:row r="1628">
      <x:c r="A1628" s="50" t="str">
        <x:v>019fdd80-f13c-717b-a24e-4ce049f8b0f6</x:v>
      </x:c>
      <x:c r="B1628" s="50" t="str">
        <x:v>RIOT</x:v>
      </x:c>
      <x:c r="C1628" s="70" t="n">
        <x:v>46241.773645127316</x:v>
      </x:c>
      <x:c r="D1628" s="50" t="str">
        <x:v>ENTRY_WATCH</x:v>
      </x:c>
      <x:c r="E1628" s="50" t="str">
        <x:v>RIOT ENTRY BREAKAWAY WATCH</x:v>
      </x:c>
      <x:c r="F1628" s="50" t="str">
        <x:v>WATCH</x:v>
      </x:c>
      <x:c r="G1628" s="50"/>
      <x:c r="H1628" s="50" t="str">
        <x:v>LONG</x:v>
      </x:c>
      <x:c r="I1628" s="71" t="n">
        <x:v>20.645</x:v>
      </x:c>
      <x:c r="J1628" s="76" t="str">
        <x:v>SIP</x:v>
      </x:c>
    </x:row>
    <x:row r="1629">
      <x:c r="A1629" s="50" t="str">
        <x:v>019fdd81-db1e-77ae-92a9-c11a59f630bb</x:v>
      </x:c>
      <x:c r="B1629" s="50" t="str">
        <x:v>AMZN</x:v>
      </x:c>
      <x:c r="C1629" s="70" t="n">
        <x:v>46241.774338125</x:v>
      </x:c>
      <x:c r="D1629" s="50" t="str">
        <x:v>SWING_SETUP</x:v>
      </x:c>
      <x:c r="E1629" s="50" t="str">
        <x:v>AMZN SWING SETUP</x:v>
      </x:c>
      <x:c r="F1629" s="50" t="str">
        <x:v>WATCH</x:v>
      </x:c>
      <x:c r="G1629" s="50"/>
      <x:c r="H1629" s="50" t="str">
        <x:v>LONG</x:v>
      </x:c>
      <x:c r="I1629" s="71" t="n">
        <x:v>275.168</x:v>
      </x:c>
      <x:c r="J1629" s="76" t="str">
        <x:v>SIP</x:v>
      </x:c>
    </x:row>
    <x:row r="1630">
      <x:c r="A1630" s="50" t="str">
        <x:v>019fdd81-dc1e-751c-8022-d9f6744181f6</x:v>
      </x:c>
      <x:c r="B1630" s="50" t="str">
        <x:v>MRK</x:v>
      </x:c>
      <x:c r="C1630" s="70" t="n">
        <x:v>46241.77434108796</x:v>
      </x:c>
      <x:c r="D1630" s="50" t="str">
        <x:v>SWING_SETUP</x:v>
      </x:c>
      <x:c r="E1630" s="50" t="str">
        <x:v>MRK SWING SETUP</x:v>
      </x:c>
      <x:c r="F1630" s="50" t="str">
        <x:v>WATCH</x:v>
      </x:c>
      <x:c r="G1630" s="50"/>
      <x:c r="H1630" s="50" t="str">
        <x:v>LONG</x:v>
      </x:c>
      <x:c r="I1630" s="71" t="n">
        <x:v>128.37</x:v>
      </x:c>
      <x:c r="J1630" s="76" t="str">
        <x:v>SIP</x:v>
      </x:c>
    </x:row>
    <x:row r="1631">
      <x:c r="A1631" s="50" t="str">
        <x:v>019fdd81-dee3-7a02-ba05-25ca850391c6</x:v>
      </x:c>
      <x:c r="B1631" s="50" t="str">
        <x:v>SNOW</x:v>
      </x:c>
      <x:c r="C1631" s="70" t="n">
        <x:v>46241.774349293984</x:v>
      </x:c>
      <x:c r="D1631" s="50" t="str">
        <x:v>SWING_SETUP</x:v>
      </x:c>
      <x:c r="E1631" s="50" t="str">
        <x:v>SNOW SWING SETUP</x:v>
      </x:c>
      <x:c r="F1631" s="50" t="str">
        <x:v>WATCH</x:v>
      </x:c>
      <x:c r="G1631" s="50"/>
      <x:c r="H1631" s="50" t="str">
        <x:v>LONG</x:v>
      </x:c>
      <x:c r="I1631" s="71" t="n">
        <x:v>326.42</x:v>
      </x:c>
      <x:c r="J1631" s="76" t="str">
        <x:v>SIP</x:v>
      </x:c>
    </x:row>
    <x:row r="1632">
      <x:c r="A1632" s="50" t="str">
        <x:v>019fdd81-e353-7f21-a5d2-afee9dbdb2b1</x:v>
      </x:c>
      <x:c r="B1632" s="50" t="str">
        <x:v>RIOT</x:v>
      </x:c>
      <x:c r="C1632" s="70" t="n">
        <x:v>46241.77436244213</x:v>
      </x:c>
      <x:c r="D1632" s="50" t="str">
        <x:v>ENTRY_WATCH</x:v>
      </x:c>
      <x:c r="E1632" s="50" t="str">
        <x:v>RIOT ENTRY IN_ZONE EARLY WATCH</x:v>
      </x:c>
      <x:c r="F1632" s="50" t="str">
        <x:v>WATCH</x:v>
      </x:c>
      <x:c r="G1632" s="50"/>
      <x:c r="H1632" s="50" t="str">
        <x:v>LONG</x:v>
      </x:c>
      <x:c r="I1632" s="71" t="n">
        <x:v>20.61</x:v>
      </x:c>
      <x:c r="J1632" s="76" t="str">
        <x:v>SIP</x:v>
      </x:c>
    </x:row>
    <x:row r="1633">
      <x:c r="A1633" s="50" t="str">
        <x:v>019fdd81-e3be-74c5-88f4-39378bde3266</x:v>
      </x:c>
      <x:c r="B1633" s="50" t="str">
        <x:v>KDP</x:v>
      </x:c>
      <x:c r="C1633" s="70" t="n">
        <x:v>46241.77436368055</x:v>
      </x:c>
      <x:c r="D1633" s="50" t="str">
        <x:v>LONG_BUY_ZONE</x:v>
      </x:c>
      <x:c r="E1633" s="50" t="str">
        <x:v>KDP LONG BUY ZONE</x:v>
      </x:c>
      <x:c r="F1633" s="50" t="str">
        <x:v>WATCH</x:v>
      </x:c>
      <x:c r="G1633" s="50"/>
      <x:c r="H1633" s="50" t="str">
        <x:v>LONG</x:v>
      </x:c>
      <x:c r="I1633" s="71" t="n">
        <x:v>30.065</x:v>
      </x:c>
      <x:c r="J1633" s="76" t="str">
        <x:v>SIP</x:v>
      </x:c>
    </x:row>
    <x:row r="1634">
      <x:c r="A1634" s="50" t="str">
        <x:v>019fdd82-c5ab-748c-835a-802b16526f49</x:v>
      </x:c>
      <x:c r="B1634" s="50" t="str">
        <x:v>XOM</x:v>
      </x:c>
      <x:c r="C1634" s="70" t="n">
        <x:v>46241.77503309028</x:v>
      </x:c>
      <x:c r="D1634" s="50" t="str">
        <x:v>SWING_SETUP</x:v>
      </x:c>
      <x:c r="E1634" s="50" t="str">
        <x:v>XOM SWING SETUP</x:v>
      </x:c>
      <x:c r="F1634" s="50" t="str">
        <x:v>WATCH</x:v>
      </x:c>
      <x:c r="G1634" s="50"/>
      <x:c r="H1634" s="50" t="str">
        <x:v>LONG</x:v>
      </x:c>
      <x:c r="I1634" s="71" t="n">
        <x:v>153.17</x:v>
      </x:c>
      <x:c r="J1634" s="76" t="str">
        <x:v>SIP</x:v>
      </x:c>
    </x:row>
    <x:row r="1635">
      <x:c r="A1635" s="50" t="str">
        <x:v>019fdd82-c609-71f3-a796-39c395d15cd7</x:v>
      </x:c>
      <x:c r="B1635" s="50" t="str">
        <x:v>DE</x:v>
      </x:c>
      <x:c r="C1635" s="70" t="n">
        <x:v>46241.77503417824</x:v>
      </x:c>
      <x:c r="D1635" s="50" t="str">
        <x:v>LONG_BUY_ZONE</x:v>
      </x:c>
      <x:c r="E1635" s="50" t="str">
        <x:v>DE LONG BUY ZONE</x:v>
      </x:c>
      <x:c r="F1635" s="50" t="str">
        <x:v>WATCH</x:v>
      </x:c>
      <x:c r="G1635" s="50"/>
      <x:c r="H1635" s="50" t="str">
        <x:v>LONG</x:v>
      </x:c>
      <x:c r="I1635" s="71" t="n">
        <x:v>622.81</x:v>
      </x:c>
      <x:c r="J1635" s="76" t="str">
        <x:v>SIP</x:v>
      </x:c>
    </x:row>
    <x:row r="1636">
      <x:c r="A1636" s="50" t="str">
        <x:v>019fdd82-c88d-717c-8b63-7b6b2f7fc80e</x:v>
      </x:c>
      <x:c r="B1636" s="50" t="str">
        <x:v>RDW</x:v>
      </x:c>
      <x:c r="C1636" s="70" t="n">
        <x:v>46241.77504163195</x:v>
      </x:c>
      <x:c r="D1636" s="50" t="str">
        <x:v>SWING_SETUP</x:v>
      </x:c>
      <x:c r="E1636" s="50" t="str">
        <x:v>RDW SWING SETUP</x:v>
      </x:c>
      <x:c r="F1636" s="50" t="str">
        <x:v>WATCH</x:v>
      </x:c>
      <x:c r="G1636" s="50"/>
      <x:c r="H1636" s="50" t="str">
        <x:v>LONG</x:v>
      </x:c>
      <x:c r="I1636" s="71" t="n">
        <x:v>13.53</x:v>
      </x:c>
      <x:c r="J1636" s="76" t="str">
        <x:v>SIP</x:v>
      </x:c>
    </x:row>
    <x:row r="1637">
      <x:c r="A1637" s="50" t="str">
        <x:v>019fdd82-c9ae-7cb7-9cb7-cb8de1d9a366</x:v>
      </x:c>
      <x:c r="B1637" s="50" t="str">
        <x:v>ABNB</x:v>
      </x:c>
      <x:c r="C1637" s="70" t="n">
        <x:v>46241.77504497685</x:v>
      </x:c>
      <x:c r="D1637" s="50" t="str">
        <x:v>SWING_SETUP</x:v>
      </x:c>
      <x:c r="E1637" s="50" t="str">
        <x:v>ABNB SWING SETUP</x:v>
      </x:c>
      <x:c r="F1637" s="50" t="str">
        <x:v>WATCH</x:v>
      </x:c>
      <x:c r="G1637" s="50"/>
      <x:c r="H1637" s="50" t="str">
        <x:v>LONG</x:v>
      </x:c>
      <x:c r="I1637" s="71" t="n">
        <x:v>175.07</x:v>
      </x:c>
      <x:c r="J1637" s="76" t="str">
        <x:v>SIP</x:v>
      </x:c>
    </x:row>
    <x:row r="1638">
      <x:c r="A1638" s="50" t="str">
        <x:v>019fdd83-b1e6-782a-8667-047aacfafade</x:v>
      </x:c>
      <x:c r="B1638" s="50" t="str">
        <x:v>RIOT</x:v>
      </x:c>
      <x:c r="C1638" s="70" t="n">
        <x:v>46241.77573303241</x:v>
      </x:c>
      <x:c r="D1638" s="50" t="str">
        <x:v>ENTRY_WATCH</x:v>
      </x:c>
      <x:c r="E1638" s="50" t="str">
        <x:v>RIOT ENTRY BREAKAWAY WATCH</x:v>
      </x:c>
      <x:c r="F1638" s="50" t="str">
        <x:v>WATCH</x:v>
      </x:c>
      <x:c r="G1638" s="50"/>
      <x:c r="H1638" s="50" t="str">
        <x:v>LONG</x:v>
      </x:c>
      <x:c r="I1638" s="71" t="n">
        <x:v>20.635</x:v>
      </x:c>
      <x:c r="J1638" s="76" t="str">
        <x:v>SIP</x:v>
      </x:c>
    </x:row>
    <x:row r="1639">
      <x:c r="A1639" s="50" t="str">
        <x:v>019fdd84-9880-741a-aedb-763633c7fcb0</x:v>
      </x:c>
      <x:c r="B1639" s="50" t="str">
        <x:v>APH</x:v>
      </x:c>
      <x:c r="C1639" s="70" t="n">
        <x:v>46241.7764162963</x:v>
      </x:c>
      <x:c r="D1639" s="50" t="str">
        <x:v>LONG_BUY_ZONE</x:v>
      </x:c>
      <x:c r="E1639" s="50" t="str">
        <x:v>APH LONG BUY ZONE</x:v>
      </x:c>
      <x:c r="F1639" s="50" t="str">
        <x:v>WATCH</x:v>
      </x:c>
      <x:c r="G1639" s="50"/>
      <x:c r="H1639" s="50" t="str">
        <x:v>LONG</x:v>
      </x:c>
      <x:c r="I1639" s="71" t="n">
        <x:v>168.12</x:v>
      </x:c>
      <x:c r="J1639" s="76" t="str">
        <x:v>SIP</x:v>
      </x:c>
    </x:row>
    <x:row r="1640">
      <x:c r="A1640" s="50" t="str">
        <x:v>019fdd84-98f8-7a73-a874-78da8bb9023e</x:v>
      </x:c>
      <x:c r="B1640" s="50" t="str">
        <x:v>NOC</x:v>
      </x:c>
      <x:c r="C1640" s="70" t="n">
        <x:v>46241.776417685185</x:v>
      </x:c>
      <x:c r="D1640" s="50" t="str">
        <x:v>SWING_SETUP</x:v>
      </x:c>
      <x:c r="E1640" s="50" t="str">
        <x:v>NOC SWING SETUP</x:v>
      </x:c>
      <x:c r="F1640" s="50" t="str">
        <x:v>WATCH</x:v>
      </x:c>
      <x:c r="G1640" s="50"/>
      <x:c r="H1640" s="50" t="str">
        <x:v>LONG</x:v>
      </x:c>
      <x:c r="I1640" s="71" t="n">
        <x:v>570.23</x:v>
      </x:c>
      <x:c r="J1640" s="76" t="str">
        <x:v>SIP</x:v>
      </x:c>
    </x:row>
    <x:row r="1641">
      <x:c r="A1641" s="50" t="str">
        <x:v>019fdd84-99bb-769d-bf80-b31ccdd00950</x:v>
      </x:c>
      <x:c r="B1641" s="50" t="str">
        <x:v>PSX</x:v>
      </x:c>
      <x:c r="C1641" s="70" t="n">
        <x:v>46241.77641994213</x:v>
      </x:c>
      <x:c r="D1641" s="50" t="str">
        <x:v>SWING_SETUP</x:v>
      </x:c>
      <x:c r="E1641" s="50" t="str">
        <x:v>PSX SWING SETUP</x:v>
      </x:c>
      <x:c r="F1641" s="50" t="str">
        <x:v>WATCH</x:v>
      </x:c>
      <x:c r="G1641" s="50"/>
      <x:c r="H1641" s="50" t="str">
        <x:v>LONG</x:v>
      </x:c>
      <x:c r="I1641" s="71" t="n">
        <x:v>204.465</x:v>
      </x:c>
      <x:c r="J1641" s="76" t="str">
        <x:v>SIP</x:v>
      </x:c>
    </x:row>
    <x:row r="1642">
      <x:c r="A1642" s="50" t="str">
        <x:v>019fdd85-84e2-7dba-8e1d-02d5365f10c1</x:v>
      </x:c>
      <x:c r="B1642" s="50" t="str">
        <x:v>RIOT</x:v>
      </x:c>
      <x:c r="C1642" s="70" t="n">
        <x:v>46241.77711668982</x:v>
      </x:c>
      <x:c r="D1642" s="50" t="str">
        <x:v>ENTRY_WATCH</x:v>
      </x:c>
      <x:c r="E1642" s="50" t="str">
        <x:v>RIOT ENTRY IN_ZONE EARLY WATCH</x:v>
      </x:c>
      <x:c r="F1642" s="50" t="str">
        <x:v>WATCH</x:v>
      </x:c>
      <x:c r="G1642" s="50"/>
      <x:c r="H1642" s="50" t="str">
        <x:v>LONG</x:v>
      </x:c>
      <x:c r="I1642" s="71" t="n">
        <x:v>20.63</x:v>
      </x:c>
      <x:c r="J1642" s="76" t="str">
        <x:v>SIP</x:v>
      </x:c>
    </x:row>
    <x:row r="1643">
      <x:c r="A1643" s="50" t="str">
        <x:v>019fdd85-869a-737d-be77-c5aa239d9604</x:v>
      </x:c>
      <x:c r="B1643" s="50" t="str">
        <x:v>INTU</x:v>
      </x:c>
      <x:c r="C1643" s="70" t="n">
        <x:v>46241.777121782405</x:v>
      </x:c>
      <x:c r="D1643" s="50" t="str">
        <x:v>SWING_SETUP</x:v>
      </x:c>
      <x:c r="E1643" s="50" t="str">
        <x:v>INTU SWING SETUP</x:v>
      </x:c>
      <x:c r="F1643" s="50" t="str">
        <x:v>WATCH</x:v>
      </x:c>
      <x:c r="G1643" s="50"/>
      <x:c r="H1643" s="50" t="str">
        <x:v>LONG</x:v>
      </x:c>
      <x:c r="I1643" s="71" t="n">
        <x:v>326.635</x:v>
      </x:c>
      <x:c r="J1643" s="76" t="str">
        <x:v>SIP</x:v>
      </x:c>
    </x:row>
    <x:row r="1644">
      <x:c r="A1644" s="50" t="str">
        <x:v>019fdd85-8761-740e-8599-46d28aab67f2</x:v>
      </x:c>
      <x:c r="B1644" s="50" t="str">
        <x:v>SBUX</x:v>
      </x:c>
      <x:c r="C1644" s="70" t="n">
        <x:v>46241.777124085645</x:v>
      </x:c>
      <x:c r="D1644" s="50" t="str">
        <x:v>SWING_SETUP</x:v>
      </x:c>
      <x:c r="E1644" s="50" t="str">
        <x:v>SBUX SWING SETUP</x:v>
      </x:c>
      <x:c r="F1644" s="50" t="str">
        <x:v>WATCH</x:v>
      </x:c>
      <x:c r="G1644" s="50"/>
      <x:c r="H1644" s="50" t="str">
        <x:v>LONG</x:v>
      </x:c>
      <x:c r="I1644" s="71" t="n">
        <x:v>106.2</x:v>
      </x:c>
      <x:c r="J1644" s="76" t="str">
        <x:v>SIP</x:v>
      </x:c>
    </x:row>
    <x:row r="1645">
      <x:c r="A1645" s="50" t="str">
        <x:v>019fdd85-8772-7e0a-98b9-62b28746430e</x:v>
      </x:c>
      <x:c r="B1645" s="50" t="str">
        <x:v>MDLZ</x:v>
      </x:c>
      <x:c r="C1645" s="70" t="n">
        <x:v>46241.77712428241</x:v>
      </x:c>
      <x:c r="D1645" s="50" t="str">
        <x:v>SWING_SETUP</x:v>
      </x:c>
      <x:c r="E1645" s="50" t="str">
        <x:v>MDLZ SWING SETUP</x:v>
      </x:c>
      <x:c r="F1645" s="50" t="str">
        <x:v>WATCH</x:v>
      </x:c>
      <x:c r="G1645" s="50"/>
      <x:c r="H1645" s="50" t="str">
        <x:v>LONG</x:v>
      </x:c>
      <x:c r="I1645" s="71" t="n">
        <x:v>62.89</x:v>
      </x:c>
      <x:c r="J1645" s="76" t="str">
        <x:v>SIP</x:v>
      </x:c>
    </x:row>
    <x:row r="1646">
      <x:c r="A1646" s="50" t="str">
        <x:v>019fdd85-8779-7493-9c49-26cb4e185e48</x:v>
      </x:c>
      <x:c r="B1646" s="50" t="str">
        <x:v>VZ</x:v>
      </x:c>
      <x:c r="C1646" s="70" t="n">
        <x:v>46241.77712436343</x:v>
      </x:c>
      <x:c r="D1646" s="50" t="str">
        <x:v>SWING_SETUP</x:v>
      </x:c>
      <x:c r="E1646" s="50" t="str">
        <x:v>VZ SWING SETUP</x:v>
      </x:c>
      <x:c r="F1646" s="50" t="str">
        <x:v>WATCH</x:v>
      </x:c>
      <x:c r="G1646" s="50"/>
      <x:c r="H1646" s="50" t="str">
        <x:v>LONG</x:v>
      </x:c>
      <x:c r="I1646" s="71" t="n">
        <x:v>46.915</x:v>
      </x:c>
      <x:c r="J1646" s="76" t="str">
        <x:v>SIP</x:v>
      </x:c>
    </x:row>
    <x:row r="1647">
      <x:c r="A1647" s="50" t="str">
        <x:v>019fdd85-8789-7e8a-8479-0dcb6cd8cb8e</x:v>
      </x:c>
      <x:c r="B1647" s="50" t="str">
        <x:v>UNP</x:v>
      </x:c>
      <x:c r="C1647" s="70" t="n">
        <x:v>46241.777124548615</x:v>
      </x:c>
      <x:c r="D1647" s="50" t="str">
        <x:v>SWING_SETUP</x:v>
      </x:c>
      <x:c r="E1647" s="50" t="str">
        <x:v>UNP SWING SETUP</x:v>
      </x:c>
      <x:c r="F1647" s="50" t="str">
        <x:v>WATCH</x:v>
      </x:c>
      <x:c r="G1647" s="50"/>
      <x:c r="H1647" s="50" t="str">
        <x:v>LONG</x:v>
      </x:c>
      <x:c r="I1647" s="71" t="n">
        <x:v>294.59</x:v>
      </x:c>
      <x:c r="J1647" s="76" t="str">
        <x:v>SIP</x:v>
      </x:c>
    </x:row>
    <x:row r="1648">
      <x:c r="A1648" s="50" t="str">
        <x:v>019fdd85-8794-7608-a1ad-08cfa8655714</x:v>
      </x:c>
      <x:c r="B1648" s="50" t="str">
        <x:v>OXY</x:v>
      </x:c>
      <x:c r="C1648" s="70" t="n">
        <x:v>46241.77712467593</x:v>
      </x:c>
      <x:c r="D1648" s="50" t="str">
        <x:v>SWING_SETUP</x:v>
      </x:c>
      <x:c r="E1648" s="50" t="str">
        <x:v>OXY SWING SETUP</x:v>
      </x:c>
      <x:c r="F1648" s="50" t="str">
        <x:v>WATCH</x:v>
      </x:c>
      <x:c r="G1648" s="50"/>
      <x:c r="H1648" s="50" t="str">
        <x:v>LONG</x:v>
      </x:c>
      <x:c r="I1648" s="71" t="n">
        <x:v>56.29</x:v>
      </x:c>
      <x:c r="J1648" s="76" t="str">
        <x:v>SIP</x:v>
      </x:c>
    </x:row>
    <x:row r="1649">
      <x:c r="A1649" s="50" t="str">
        <x:v>019fdd85-87a9-79bf-aab2-7512fbeb21ca</x:v>
      </x:c>
      <x:c r="B1649" s="50" t="str">
        <x:v>COP</x:v>
      </x:c>
      <x:c r="C1649" s="70" t="n">
        <x:v>46241.77712491898</x:v>
      </x:c>
      <x:c r="D1649" s="50" t="str">
        <x:v>SWING_SETUP</x:v>
      </x:c>
      <x:c r="E1649" s="50" t="str">
        <x:v>COP SWING SETUP</x:v>
      </x:c>
      <x:c r="F1649" s="50" t="str">
        <x:v>WATCH</x:v>
      </x:c>
      <x:c r="G1649" s="50"/>
      <x:c r="H1649" s="50" t="str">
        <x:v>LONG</x:v>
      </x:c>
      <x:c r="I1649" s="71" t="n">
        <x:v>118.15</x:v>
      </x:c>
      <x:c r="J1649" s="76" t="str">
        <x:v>SIP</x:v>
      </x:c>
    </x:row>
    <x:row r="1650">
      <x:c r="A1650" s="50" t="str">
        <x:v>019fdd85-8eea-7e8a-9f5a-435983ae8266</x:v>
      </x:c>
      <x:c r="B1650" s="50" t="str">
        <x:v>SBUX</x:v>
      </x:c>
      <x:c r="C1650" s="70" t="n">
        <x:v>46241.77714641204</x:v>
      </x:c>
      <x:c r="D1650" s="50" t="str">
        <x:v>LONG_BUY_ZONE</x:v>
      </x:c>
      <x:c r="E1650" s="50" t="str">
        <x:v>SBUX LONG BUY ZONE</x:v>
      </x:c>
      <x:c r="F1650" s="50" t="str">
        <x:v>WATCH</x:v>
      </x:c>
      <x:c r="G1650" s="50"/>
      <x:c r="H1650" s="50" t="str">
        <x:v>LONG</x:v>
      </x:c>
      <x:c r="I1650" s="71" t="n">
        <x:v>106.18</x:v>
      </x:c>
      <x:c r="J1650" s="76" t="str">
        <x:v>SIP</x:v>
      </x:c>
    </x:row>
    <x:row r="1651">
      <x:c r="A1651" s="50" t="str">
        <x:v>019fdd86-7990-7373-9aa8-2e9f47454b51</x:v>
      </x:c>
      <x:c r="B1651" s="50" t="str">
        <x:v>ABBV</x:v>
      </x:c>
      <x:c r="C1651" s="70" t="n">
        <x:v>46241.77784166667</x:v>
      </x:c>
      <x:c r="D1651" s="50" t="str">
        <x:v>LONG_BUY_ZONE</x:v>
      </x:c>
      <x:c r="E1651" s="50" t="str">
        <x:v>ABBV LONG BUY ZONE</x:v>
      </x:c>
      <x:c r="F1651" s="50" t="str">
        <x:v>WATCH</x:v>
      </x:c>
      <x:c r="G1651" s="50"/>
      <x:c r="H1651" s="50" t="str">
        <x:v>LONG</x:v>
      </x:c>
      <x:c r="I1651" s="71" t="n">
        <x:v>245.18</x:v>
      </x:c>
      <x:c r="J1651" s="76" t="str">
        <x:v>SIP</x:v>
      </x:c>
    </x:row>
    <x:row r="1652">
      <x:c r="A1652" s="50" t="str">
        <x:v>019fdd87-5926-7efe-a4ef-c3436dc20a4a</x:v>
      </x:c>
      <x:c r="B1652" s="50" t="str">
        <x:v>LMT</x:v>
      </x:c>
      <x:c r="C1652" s="70" t="n">
        <x:v>46241.77850414352</x:v>
      </x:c>
      <x:c r="D1652" s="50" t="str">
        <x:v>SWING_SETUP</x:v>
      </x:c>
      <x:c r="E1652" s="50" t="str">
        <x:v>LMT SWING SETUP</x:v>
      </x:c>
      <x:c r="F1652" s="50" t="str">
        <x:v>WATCH</x:v>
      </x:c>
      <x:c r="G1652" s="50"/>
      <x:c r="H1652" s="50" t="str">
        <x:v>LONG</x:v>
      </x:c>
      <x:c r="I1652" s="71" t="n">
        <x:v>586.3</x:v>
      </x:c>
      <x:c r="J1652" s="76" t="str">
        <x:v>SIP</x:v>
      </x:c>
    </x:row>
    <x:row r="1653">
      <x:c r="A1653" s="50" t="str">
        <x:v>019fdd87-5965-7d01-85fa-77e3d6a6cc8d</x:v>
      </x:c>
      <x:c r="B1653" s="50" t="str">
        <x:v>DASH</x:v>
      </x:c>
      <x:c r="C1653" s="70" t="n">
        <x:v>46241.77850487269</x:v>
      </x:c>
      <x:c r="D1653" s="50" t="str">
        <x:v>SWING_SETUP</x:v>
      </x:c>
      <x:c r="E1653" s="50" t="str">
        <x:v>DASH SWING SETUP</x:v>
      </x:c>
      <x:c r="F1653" s="50" t="str">
        <x:v>WATCH</x:v>
      </x:c>
      <x:c r="G1653" s="50"/>
      <x:c r="H1653" s="50" t="str">
        <x:v>LONG</x:v>
      </x:c>
      <x:c r="I1653" s="71" t="n">
        <x:v>219.12</x:v>
      </x:c>
      <x:c r="J1653" s="76" t="str">
        <x:v>SIP</x:v>
      </x:c>
    </x:row>
    <x:row r="1654">
      <x:c r="A1654" s="50" t="str">
        <x:v>019fdd87-598b-7cc2-a610-1237e24fce44</x:v>
      </x:c>
      <x:c r="B1654" s="50" t="str">
        <x:v>DLR</x:v>
      </x:c>
      <x:c r="C1654" s="70" t="n">
        <x:v>46241.7785053125</x:v>
      </x:c>
      <x:c r="D1654" s="50" t="str">
        <x:v>SWING_SETUP</x:v>
      </x:c>
      <x:c r="E1654" s="50" t="str">
        <x:v>DLR SWING SETUP</x:v>
      </x:c>
      <x:c r="F1654" s="50" t="str">
        <x:v>WATCH</x:v>
      </x:c>
      <x:c r="G1654" s="50"/>
      <x:c r="H1654" s="50" t="str">
        <x:v>LONG</x:v>
      </x:c>
      <x:c r="I1654" s="71" t="n">
        <x:v>193.1</x:v>
      </x:c>
      <x:c r="J1654" s="76" t="str">
        <x:v>SIP</x:v>
      </x:c>
    </x:row>
    <x:row r="1655">
      <x:c r="A1655" s="50" t="str">
        <x:v>019fdd87-59cb-7c5e-90fa-f71b77125f2d</x:v>
      </x:c>
      <x:c r="B1655" s="50" t="str">
        <x:v>APA</x:v>
      </x:c>
      <x:c r="C1655" s="70" t="n">
        <x:v>46241.77850605324</x:v>
      </x:c>
      <x:c r="D1655" s="50" t="str">
        <x:v>SWING_SETUP</x:v>
      </x:c>
      <x:c r="E1655" s="50" t="str">
        <x:v>APA SWING SETUP</x:v>
      </x:c>
      <x:c r="F1655" s="50" t="str">
        <x:v>WATCH</x:v>
      </x:c>
      <x:c r="G1655" s="50"/>
      <x:c r="H1655" s="50" t="str">
        <x:v>LONG</x:v>
      </x:c>
      <x:c r="I1655" s="71" t="n">
        <x:v>37.69</x:v>
      </x:c>
      <x:c r="J1655" s="76" t="str">
        <x:v>SIP</x:v>
      </x:c>
    </x:row>
    <x:row r="1656">
      <x:c r="A1656" s="50" t="str">
        <x:v>019fdd87-59d3-7725-b444-89b01426317c</x:v>
      </x:c>
      <x:c r="B1656" s="50" t="str">
        <x:v>WELL</x:v>
      </x:c>
      <x:c r="C1656" s="70" t="n">
        <x:v>46241.778506145834</x:v>
      </x:c>
      <x:c r="D1656" s="50" t="str">
        <x:v>SWING_SETUP</x:v>
      </x:c>
      <x:c r="E1656" s="50" t="str">
        <x:v>WELL SWING SETUP</x:v>
      </x:c>
      <x:c r="F1656" s="50" t="str">
        <x:v>WATCH</x:v>
      </x:c>
      <x:c r="G1656" s="50"/>
      <x:c r="H1656" s="50" t="str">
        <x:v>LONG</x:v>
      </x:c>
      <x:c r="I1656" s="71" t="n">
        <x:v>236.59</x:v>
      </x:c>
      <x:c r="J1656" s="76" t="str">
        <x:v>SIP</x:v>
      </x:c>
    </x:row>
    <x:row r="1657">
      <x:c r="A1657" s="50" t="str">
        <x:v>019fdd87-5aac-7f65-915f-874bc0b74df3</x:v>
      </x:c>
      <x:c r="B1657" s="50" t="str">
        <x:v>ANET</x:v>
      </x:c>
      <x:c r="C1657" s="70" t="n">
        <x:v>46241.77850865741</x:v>
      </x:c>
      <x:c r="D1657" s="50" t="str">
        <x:v>SWING_SETUP</x:v>
      </x:c>
      <x:c r="E1657" s="50" t="str">
        <x:v>ANET SWING SETUP</x:v>
      </x:c>
      <x:c r="F1657" s="50" t="str">
        <x:v>WATCH</x:v>
      </x:c>
      <x:c r="G1657" s="50"/>
      <x:c r="H1657" s="50" t="str">
        <x:v>LONG</x:v>
      </x:c>
      <x:c r="I1657" s="71" t="n">
        <x:v>188.5</x:v>
      </x:c>
      <x:c r="J1657" s="76" t="str">
        <x:v>SIP</x:v>
      </x:c>
    </x:row>
    <x:row r="1658">
      <x:c r="A1658" s="50" t="str">
        <x:v>019fdd87-5cf4-740a-bb54-7f975bb56a30</x:v>
      </x:c>
      <x:c r="B1658" s="50" t="str">
        <x:v>BMY</x:v>
      </x:c>
      <x:c r="C1658" s="70" t="n">
        <x:v>46241.77851541666</x:v>
      </x:c>
      <x:c r="D1658" s="50" t="str">
        <x:v>SWING_SETUP</x:v>
      </x:c>
      <x:c r="E1658" s="50" t="str">
        <x:v>BMY SWING SETUP</x:v>
      </x:c>
      <x:c r="F1658" s="50" t="str">
        <x:v>WATCH</x:v>
      </x:c>
      <x:c r="G1658" s="50"/>
      <x:c r="H1658" s="50" t="str">
        <x:v>LONG</x:v>
      </x:c>
      <x:c r="I1658" s="71" t="n">
        <x:v>64.22</x:v>
      </x:c>
      <x:c r="J1658" s="76" t="str">
        <x:v>SIP</x:v>
      </x:c>
    </x:row>
    <x:row r="1659">
      <x:c r="A1659" s="50" t="str">
        <x:v>019fdd87-5dc6-73c5-83a9-7c6482bdb5d2</x:v>
      </x:c>
      <x:c r="B1659" s="50" t="str">
        <x:v>PLTR</x:v>
      </x:c>
      <x:c r="C1659" s="70" t="n">
        <x:v>46241.77851783565</x:v>
      </x:c>
      <x:c r="D1659" s="50" t="str">
        <x:v>SWING_SETUP</x:v>
      </x:c>
      <x:c r="E1659" s="50" t="str">
        <x:v>PLTR SWING SETUP</x:v>
      </x:c>
      <x:c r="F1659" s="50" t="str">
        <x:v>WATCH</x:v>
      </x:c>
      <x:c r="G1659" s="50"/>
      <x:c r="H1659" s="50" t="str">
        <x:v>LONG</x:v>
      </x:c>
      <x:c r="I1659" s="71" t="n">
        <x:v>170.845</x:v>
      </x:c>
      <x:c r="J1659" s="76" t="str">
        <x:v>SIP</x:v>
      </x:c>
    </x:row>
    <x:row r="1660">
      <x:c r="A1660" s="50" t="str">
        <x:v>019fdd88-4407-7bc8-94eb-712cb2e671a9</x:v>
      </x:c>
      <x:c r="B1660" s="50" t="str">
        <x:v>RIOT</x:v>
      </x:c>
      <x:c r="C1660" s="70" t="n">
        <x:v>46241.779200081015</x:v>
      </x:c>
      <x:c r="D1660" s="50" t="str">
        <x:v>ENTRY_WATCH</x:v>
      </x:c>
      <x:c r="E1660" s="50" t="str">
        <x:v>RIOT ENTRY BREAKAWAY WATCH</x:v>
      </x:c>
      <x:c r="F1660" s="50" t="str">
        <x:v>WATCH</x:v>
      </x:c>
      <x:c r="G1660" s="50"/>
      <x:c r="H1660" s="50" t="str">
        <x:v>LONG</x:v>
      </x:c>
      <x:c r="I1660" s="71" t="n">
        <x:v>20.645</x:v>
      </x:c>
      <x:c r="J1660" s="76" t="str">
        <x:v>SIP</x:v>
      </x:c>
    </x:row>
    <x:row r="1661">
      <x:c r="A1661" s="50" t="str">
        <x:v>019fdd88-4b39-79bf-8335-98e1bbec3656</x:v>
      </x:c>
      <x:c r="B1661" s="50" t="str">
        <x:v>PM</x:v>
      </x:c>
      <x:c r="C1661" s="70" t="n">
        <x:v>46241.779221400466</x:v>
      </x:c>
      <x:c r="D1661" s="50" t="str">
        <x:v>LONG_BUY_ZONE</x:v>
      </x:c>
      <x:c r="E1661" s="50" t="str">
        <x:v>PM LONG BUY ZONE</x:v>
      </x:c>
      <x:c r="F1661" s="50" t="str">
        <x:v>WATCH</x:v>
      </x:c>
      <x:c r="G1661" s="50"/>
      <x:c r="H1661" s="50" t="str">
        <x:v>LONG</x:v>
      </x:c>
      <x:c r="I1661" s="71" t="n">
        <x:v>189.3</x:v>
      </x:c>
      <x:c r="J1661" s="76" t="str">
        <x:v>SIP</x:v>
      </x:c>
    </x:row>
    <x:row r="1662">
      <x:c r="A1662" s="50" t="str">
        <x:v>019fdd88-4c2e-7267-a34e-7e49c0214dd8</x:v>
      </x:c>
      <x:c r="B1662" s="50" t="str">
        <x:v>ECL</x:v>
      </x:c>
      <x:c r="C1662" s="70" t="n">
        <x:v>46241.77922423611</x:v>
      </x:c>
      <x:c r="D1662" s="50" t="str">
        <x:v>LONG_BUY_ZONE</x:v>
      </x:c>
      <x:c r="E1662" s="50" t="str">
        <x:v>ECL LONG BUY ZONE</x:v>
      </x:c>
      <x:c r="F1662" s="50" t="str">
        <x:v>WATCH</x:v>
      </x:c>
      <x:c r="G1662" s="50"/>
      <x:c r="H1662" s="50" t="str">
        <x:v>LONG</x:v>
      </x:c>
      <x:c r="I1662" s="71" t="n">
        <x:v>284.345</x:v>
      </x:c>
      <x:c r="J1662" s="76" t="str">
        <x:v>SIP</x:v>
      </x:c>
    </x:row>
    <x:row r="1663">
      <x:c r="A1663" s="50" t="str">
        <x:v>019fdd89-2d7a-7fd7-8c9f-93ae5fa81e36</x:v>
      </x:c>
      <x:c r="B1663" s="50" t="str">
        <x:v>BLK</x:v>
      </x:c>
      <x:c r="C1663" s="70" t="n">
        <x:v>46241.779891782404</x:v>
      </x:c>
      <x:c r="D1663" s="50" t="str">
        <x:v>SWING_SETUP</x:v>
      </x:c>
      <x:c r="E1663" s="50" t="str">
        <x:v>BLK SWING SETUP</x:v>
      </x:c>
      <x:c r="F1663" s="50" t="str">
        <x:v>WATCH</x:v>
      </x:c>
      <x:c r="G1663" s="50"/>
      <x:c r="H1663" s="50" t="str">
        <x:v>LONG</x:v>
      </x:c>
      <x:c r="I1663" s="71" t="n">
        <x:v>1138.84</x:v>
      </x:c>
      <x:c r="J1663" s="76" t="str">
        <x:v>SIP</x:v>
      </x:c>
    </x:row>
    <x:row r="1664">
      <x:c r="A1664" s="50" t="str">
        <x:v>019fdd89-2e0a-7d77-ba11-7fb585ae3b41</x:v>
      </x:c>
      <x:c r="B1664" s="50" t="str">
        <x:v>RCL</x:v>
      </x:c>
      <x:c r="C1664" s="70" t="n">
        <x:v>46241.77989344907</x:v>
      </x:c>
      <x:c r="D1664" s="50" t="str">
        <x:v>SWING_SETUP</x:v>
      </x:c>
      <x:c r="E1664" s="50" t="str">
        <x:v>RCL SWING SETUP</x:v>
      </x:c>
      <x:c r="F1664" s="50" t="str">
        <x:v>WATCH</x:v>
      </x:c>
      <x:c r="G1664" s="50"/>
      <x:c r="H1664" s="50" t="str">
        <x:v>LONG</x:v>
      </x:c>
      <x:c r="I1664" s="71" t="n">
        <x:v>320.33</x:v>
      </x:c>
      <x:c r="J1664" s="76" t="str">
        <x:v>SIP</x:v>
      </x:c>
    </x:row>
    <x:row r="1665">
      <x:c r="A1665" s="50" t="str">
        <x:v>019fdd89-2e8d-7201-b2e0-ad207d5af968</x:v>
      </x:c>
      <x:c r="B1665" s="50" t="str">
        <x:v>RIOT</x:v>
      </x:c>
      <x:c r="C1665" s="70" t="n">
        <x:v>46241.77989496528</x:v>
      </x:c>
      <x:c r="D1665" s="50" t="str">
        <x:v>ENTRY_WATCH</x:v>
      </x:c>
      <x:c r="E1665" s="50" t="str">
        <x:v>RIOT ENTRY IN_ZONE EARLY WATCH</x:v>
      </x:c>
      <x:c r="F1665" s="50" t="str">
        <x:v>WATCH</x:v>
      </x:c>
      <x:c r="G1665" s="50"/>
      <x:c r="H1665" s="50" t="str">
        <x:v>LONG</x:v>
      </x:c>
      <x:c r="I1665" s="71" t="n">
        <x:v>20.6261</x:v>
      </x:c>
      <x:c r="J1665" s="76" t="str">
        <x:v>SIP</x:v>
      </x:c>
    </x:row>
    <x:row r="1666">
      <x:c r="A1666" s="50" t="str">
        <x:v>019fdd89-2f3b-7123-899d-002364fd1870</x:v>
      </x:c>
      <x:c r="B1666" s="50" t="str">
        <x:v>PFE</x:v>
      </x:c>
      <x:c r="C1666" s="70" t="n">
        <x:v>46241.77989697917</x:v>
      </x:c>
      <x:c r="D1666" s="50" t="str">
        <x:v>SWING_SETUP</x:v>
      </x:c>
      <x:c r="E1666" s="50" t="str">
        <x:v>PFE SWING SETUP</x:v>
      </x:c>
      <x:c r="F1666" s="50" t="str">
        <x:v>WATCH</x:v>
      </x:c>
      <x:c r="G1666" s="50"/>
      <x:c r="H1666" s="50" t="str">
        <x:v>LONG</x:v>
      </x:c>
      <x:c r="I1666" s="71" t="n">
        <x:v>26.465</x:v>
      </x:c>
      <x:c r="J1666" s="76" t="str">
        <x:v>SIP</x:v>
      </x:c>
    </x:row>
    <x:row r="1667">
      <x:c r="A1667" s="50" t="str">
        <x:v>019fdd89-2f5a-78ac-9b91-36a18a3a877f</x:v>
      </x:c>
      <x:c r="B1667" s="50" t="str">
        <x:v>JD</x:v>
      </x:c>
      <x:c r="C1667" s="70" t="n">
        <x:v>46241.77989733796</x:v>
      </x:c>
      <x:c r="D1667" s="50" t="str">
        <x:v>SWING_SETUP</x:v>
      </x:c>
      <x:c r="E1667" s="50" t="str">
        <x:v>JD SWING SETUP</x:v>
      </x:c>
      <x:c r="F1667" s="50" t="str">
        <x:v>WATCH</x:v>
      </x:c>
      <x:c r="G1667" s="50"/>
      <x:c r="H1667" s="50" t="str">
        <x:v>LONG</x:v>
      </x:c>
      <x:c r="I1667" s="71" t="n">
        <x:v>32.895</x:v>
      </x:c>
      <x:c r="J1667" s="76" t="str">
        <x:v>SIP</x:v>
      </x:c>
    </x:row>
    <x:row r="1668">
      <x:c r="A1668" s="50" t="str">
        <x:v>019fdd89-2f7e-716b-9a51-e4a865c062f8</x:v>
      </x:c>
      <x:c r="B1668" s="50" t="str">
        <x:v>BAC</x:v>
      </x:c>
      <x:c r="C1668" s="70" t="n">
        <x:v>46241.779897754626</x:v>
      </x:c>
      <x:c r="D1668" s="50" t="str">
        <x:v>SWING_SETUP</x:v>
      </x:c>
      <x:c r="E1668" s="50" t="str">
        <x:v>BAC SWING SETUP</x:v>
      </x:c>
      <x:c r="F1668" s="50" t="str">
        <x:v>WATCH</x:v>
      </x:c>
      <x:c r="G1668" s="50"/>
      <x:c r="H1668" s="50" t="str">
        <x:v>LONG</x:v>
      </x:c>
      <x:c r="I1668" s="71" t="n">
        <x:v>63.0499</x:v>
      </x:c>
      <x:c r="J1668" s="76" t="str">
        <x:v>SIP</x:v>
      </x:c>
    </x:row>
    <x:row r="1669">
      <x:c r="A1669" s="50" t="str">
        <x:v>019fdd89-2f8f-772a-a598-89b5dc72caaf</x:v>
      </x:c>
      <x:c r="B1669" s="50" t="str">
        <x:v>JPM</x:v>
      </x:c>
      <x:c r="C1669" s="70" t="n">
        <x:v>46241.77989795139</x:v>
      </x:c>
      <x:c r="D1669" s="50" t="str">
        <x:v>SWING_SETUP</x:v>
      </x:c>
      <x:c r="E1669" s="50" t="str">
        <x:v>JPM SWING SETUP</x:v>
      </x:c>
      <x:c r="F1669" s="50" t="str">
        <x:v>WATCH</x:v>
      </x:c>
      <x:c r="G1669" s="50"/>
      <x:c r="H1669" s="50" t="str">
        <x:v>LONG</x:v>
      </x:c>
      <x:c r="I1669" s="71" t="n">
        <x:v>357.7</x:v>
      </x:c>
      <x:c r="J1669" s="76" t="str">
        <x:v>SIP</x:v>
      </x:c>
    </x:row>
    <x:row r="1670">
      <x:c r="A1670" s="50" t="str">
        <x:v>019fdd89-2fcf-7528-a8bb-594a7e2a8c33</x:v>
      </x:c>
      <x:c r="B1670" s="50" t="str">
        <x:v>ETHA</x:v>
      </x:c>
      <x:c r="C1670" s="70" t="n">
        <x:v>46241.779898692126</x:v>
      </x:c>
      <x:c r="D1670" s="50" t="str">
        <x:v>SWING_SETUP</x:v>
      </x:c>
      <x:c r="E1670" s="50" t="str">
        <x:v>ETHA SWING SETUP</x:v>
      </x:c>
      <x:c r="F1670" s="50" t="str">
        <x:v>WATCH</x:v>
      </x:c>
      <x:c r="G1670" s="50"/>
      <x:c r="H1670" s="50" t="str">
        <x:v>LONG</x:v>
      </x:c>
      <x:c r="I1670" s="71" t="n">
        <x:v>14.425</x:v>
      </x:c>
      <x:c r="J1670" s="76" t="str">
        <x:v>SIP</x:v>
      </x:c>
    </x:row>
    <x:row r="1671">
      <x:c r="A1671" s="50" t="str">
        <x:v>019fdd89-2fdd-77d4-a47d-9832c999301f</x:v>
      </x:c>
      <x:c r="B1671" s="50" t="str">
        <x:v>TMDX</x:v>
      </x:c>
      <x:c r="C1671" s="70" t="n">
        <x:v>46241.77989885417</x:v>
      </x:c>
      <x:c r="D1671" s="50" t="str">
        <x:v>SWING_SETUP</x:v>
      </x:c>
      <x:c r="E1671" s="50" t="str">
        <x:v>TMDX SWING SETUP</x:v>
      </x:c>
      <x:c r="F1671" s="50" t="str">
        <x:v>WATCH</x:v>
      </x:c>
      <x:c r="G1671" s="50"/>
      <x:c r="H1671" s="50" t="str">
        <x:v>LONG</x:v>
      </x:c>
      <x:c r="I1671" s="71" t="n">
        <x:v>81.54</x:v>
      </x:c>
      <x:c r="J1671" s="76" t="str">
        <x:v>SIP</x:v>
      </x:c>
    </x:row>
    <x:row r="1672">
      <x:c r="A1672" s="50" t="str">
        <x:v>019fdd89-3056-7ba8-a17b-d11b811d5921</x:v>
      </x:c>
      <x:c r="B1672" s="50" t="str">
        <x:v>KO</x:v>
      </x:c>
      <x:c r="C1672" s="70" t="n">
        <x:v>46241.77990025463</x:v>
      </x:c>
      <x:c r="D1672" s="50" t="str">
        <x:v>SWING_SETUP</x:v>
      </x:c>
      <x:c r="E1672" s="50" t="str">
        <x:v>KO SWING SETUP</x:v>
      </x:c>
      <x:c r="F1672" s="50" t="str">
        <x:v>WATCH</x:v>
      </x:c>
      <x:c r="G1672" s="50"/>
      <x:c r="H1672" s="50" t="str">
        <x:v>LONG</x:v>
      </x:c>
      <x:c r="I1672" s="71" t="n">
        <x:v>87.1172</x:v>
      </x:c>
      <x:c r="J1672" s="76" t="str">
        <x:v>SIP</x:v>
      </x:c>
    </x:row>
    <x:row r="1673">
      <x:c r="A1673" s="50" t="str">
        <x:v>019fdd89-307b-7071-82f2-120d234e73da</x:v>
      </x:c>
      <x:c r="B1673" s="50" t="str">
        <x:v>CEG</x:v>
      </x:c>
      <x:c r="C1673" s="70" t="n">
        <x:v>46241.77990068287</x:v>
      </x:c>
      <x:c r="D1673" s="50" t="str">
        <x:v>SWING_SETUP</x:v>
      </x:c>
      <x:c r="E1673" s="50" t="str">
        <x:v>CEG SWING SETUP</x:v>
      </x:c>
      <x:c r="F1673" s="50" t="str">
        <x:v>WATCH</x:v>
      </x:c>
      <x:c r="G1673" s="50"/>
      <x:c r="H1673" s="50" t="str">
        <x:v>LONG</x:v>
      </x:c>
      <x:c r="I1673" s="71" t="n">
        <x:v>270.1625</x:v>
      </x:c>
      <x:c r="J1673" s="76" t="str">
        <x:v>SIP</x:v>
      </x:c>
    </x:row>
    <x:row r="1674">
      <x:c r="A1674" s="50" t="str">
        <x:v>019fdd89-30d7-7a84-8c78-762074103a67</x:v>
      </x:c>
      <x:c r="B1674" s="50" t="str">
        <x:v>SHW</x:v>
      </x:c>
      <x:c r="C1674" s="70" t="n">
        <x:v>46241.77990174769</x:v>
      </x:c>
      <x:c r="D1674" s="50" t="str">
        <x:v>SWING_SETUP</x:v>
      </x:c>
      <x:c r="E1674" s="50" t="str">
        <x:v>SHW SWING SETUP</x:v>
      </x:c>
      <x:c r="F1674" s="50" t="str">
        <x:v>WATCH</x:v>
      </x:c>
      <x:c r="G1674" s="50"/>
      <x:c r="H1674" s="50" t="str">
        <x:v>LONG</x:v>
      </x:c>
      <x:c r="I1674" s="71" t="n">
        <x:v>368.805</x:v>
      </x:c>
      <x:c r="J1674" s="76" t="str">
        <x:v>SIP</x:v>
      </x:c>
    </x:row>
    <x:row r="1675">
      <x:c r="A1675" s="50" t="str">
        <x:v>019fdd89-31a0-7281-ac23-a0dac489d039</x:v>
      </x:c>
      <x:c r="B1675" s="50" t="str">
        <x:v>HRL</x:v>
      </x:c>
      <x:c r="C1675" s="70" t="n">
        <x:v>46241.77990407407</x:v>
      </x:c>
      <x:c r="D1675" s="50" t="str">
        <x:v>LONG_BUY_ZONE</x:v>
      </x:c>
      <x:c r="E1675" s="50" t="str">
        <x:v>HRL LONG BUY ZONE</x:v>
      </x:c>
      <x:c r="F1675" s="50" t="str">
        <x:v>WATCH</x:v>
      </x:c>
      <x:c r="G1675" s="50"/>
      <x:c r="H1675" s="50" t="str">
        <x:v>LONG</x:v>
      </x:c>
      <x:c r="I1675" s="71" t="n">
        <x:v>25.07</x:v>
      </x:c>
      <x:c r="J1675" s="76" t="str">
        <x:v>SIP</x:v>
      </x:c>
    </x:row>
    <x:row r="1676">
      <x:c r="A1676" s="50" t="str">
        <x:v>019fdd89-321a-7764-afff-def24350ef4e</x:v>
      </x:c>
      <x:c r="B1676" s="50" t="str">
        <x:v>PM</x:v>
      </x:c>
      <x:c r="C1676" s="70" t="n">
        <x:v>46241.779905474534</x:v>
      </x:c>
      <x:c r="D1676" s="50" t="str">
        <x:v>SWING_SETUP</x:v>
      </x:c>
      <x:c r="E1676" s="50" t="str">
        <x:v>PM SWING SETUP</x:v>
      </x:c>
      <x:c r="F1676" s="50" t="str">
        <x:v>WATCH</x:v>
      </x:c>
      <x:c r="G1676" s="50"/>
      <x:c r="H1676" s="50" t="str">
        <x:v>LONG</x:v>
      </x:c>
      <x:c r="I1676" s="71" t="n">
        <x:v>189.27</x:v>
      </x:c>
      <x:c r="J1676" s="76" t="str">
        <x:v>SIP</x:v>
      </x:c>
    </x:row>
    <x:row r="1677">
      <x:c r="A1677" s="50" t="str">
        <x:v>019fdd89-3291-7acc-a178-0f747d3f1e2d</x:v>
      </x:c>
      <x:c r="B1677" s="50" t="str">
        <x:v>MMM</x:v>
      </x:c>
      <x:c r="C1677" s="70" t="n">
        <x:v>46241.77990686343</x:v>
      </x:c>
      <x:c r="D1677" s="50" t="str">
        <x:v>SWING_SETUP</x:v>
      </x:c>
      <x:c r="E1677" s="50" t="str">
        <x:v>MMM SWING SETUP</x:v>
      </x:c>
      <x:c r="F1677" s="50" t="str">
        <x:v>WATCH</x:v>
      </x:c>
      <x:c r="G1677" s="50"/>
      <x:c r="H1677" s="50" t="str">
        <x:v>LONG</x:v>
      </x:c>
      <x:c r="I1677" s="71" t="n">
        <x:v>182.82</x:v>
      </x:c>
      <x:c r="J1677" s="76" t="str">
        <x:v>SIP</x:v>
      </x:c>
    </x:row>
    <x:row r="1678">
      <x:c r="A1678" s="50" t="str">
        <x:v>019fdd89-3298-7333-bf30-16a4e6433e1e</x:v>
      </x:c>
      <x:c r="B1678" s="50" t="str">
        <x:v>ABT</x:v>
      </x:c>
      <x:c r="C1678" s="70" t="n">
        <x:v>46241.779906944445</x:v>
      </x:c>
      <x:c r="D1678" s="50" t="str">
        <x:v>SWING_SETUP</x:v>
      </x:c>
      <x:c r="E1678" s="50" t="str">
        <x:v>ABT SWING SETUP</x:v>
      </x:c>
      <x:c r="F1678" s="50" t="str">
        <x:v>WATCH</x:v>
      </x:c>
      <x:c r="G1678" s="50"/>
      <x:c r="H1678" s="50" t="str">
        <x:v>LONG</x:v>
      </x:c>
      <x:c r="I1678" s="71" t="n">
        <x:v>107.345</x:v>
      </x:c>
      <x:c r="J1678" s="76" t="str">
        <x:v>SIP</x:v>
      </x:c>
    </x:row>
    <x:row r="1679">
      <x:c r="A1679" s="50" t="str">
        <x:v>019fdd89-32f1-7088-974b-7fa078def3b4</x:v>
      </x:c>
      <x:c r="B1679" s="50" t="str">
        <x:v>GS</x:v>
      </x:c>
      <x:c r="C1679" s="70" t="n">
        <x:v>46241.77990797454</x:v>
      </x:c>
      <x:c r="D1679" s="50" t="str">
        <x:v>LONG_BUY_ZONE</x:v>
      </x:c>
      <x:c r="E1679" s="50" t="str">
        <x:v>GS LONG BUY ZONE</x:v>
      </x:c>
      <x:c r="F1679" s="50" t="str">
        <x:v>WATCH</x:v>
      </x:c>
      <x:c r="G1679" s="50"/>
      <x:c r="H1679" s="50" t="str">
        <x:v>LONG</x:v>
      </x:c>
      <x:c r="I1679" s="71" t="n">
        <x:v>1038.225</x:v>
      </x:c>
      <x:c r="J1679" s="76" t="str">
        <x:v>SIP</x:v>
      </x:c>
    </x:row>
    <x:row r="1680">
      <x:c r="A1680" s="50" t="str">
        <x:v>019fdd8a-177a-79b9-b672-c42f6965c3c3</x:v>
      </x:c>
      <x:c r="B1680" s="50" t="str">
        <x:v>RCL</x:v>
      </x:c>
      <x:c r="C1680" s="70" t="n">
        <x:v>46241.78058511574</x:v>
      </x:c>
      <x:c r="D1680" s="50" t="str">
        <x:v>LONG_BUY_ZONE</x:v>
      </x:c>
      <x:c r="E1680" s="50" t="str">
        <x:v>RCL LONG BUY ZONE</x:v>
      </x:c>
      <x:c r="F1680" s="50" t="str">
        <x:v>WATCH</x:v>
      </x:c>
      <x:c r="G1680" s="50"/>
      <x:c r="H1680" s="50" t="str">
        <x:v>LONG</x:v>
      </x:c>
      <x:c r="I1680" s="71" t="n">
        <x:v>320.495</x:v>
      </x:c>
      <x:c r="J1680" s="76" t="str">
        <x:v>SIP</x:v>
      </x:c>
    </x:row>
    <x:row r="1681">
      <x:c r="A1681" s="50" t="str">
        <x:v>019fdd8b-050d-7eef-829a-96d0f9c7fc0c</x:v>
      </x:c>
      <x:c r="B1681" s="50" t="str">
        <x:v>ECL</x:v>
      </x:c>
      <x:c r="C1681" s="70" t="n">
        <x:v>46241.781289039354</x:v>
      </x:c>
      <x:c r="D1681" s="50" t="str">
        <x:v>SWING_SETUP</x:v>
      </x:c>
      <x:c r="E1681" s="50" t="str">
        <x:v>ECL SWING SETUP</x:v>
      </x:c>
      <x:c r="F1681" s="50" t="str">
        <x:v>WATCH</x:v>
      </x:c>
      <x:c r="G1681" s="50"/>
      <x:c r="H1681" s="50" t="str">
        <x:v>LONG</x:v>
      </x:c>
      <x:c r="I1681" s="71" t="n">
        <x:v>284.36</x:v>
      </x:c>
      <x:c r="J1681" s="76" t="str">
        <x:v>SIP</x:v>
      </x:c>
    </x:row>
    <x:row r="1682">
      <x:c r="A1682" s="50" t="str">
        <x:v>019fdd8b-0960-7ad8-9ab8-b36e7d47b7c7</x:v>
      </x:c>
      <x:c r="B1682" s="50" t="str">
        <x:v>JNJ</x:v>
      </x:c>
      <x:c r="C1682" s="70" t="n">
        <x:v>46241.78130185185</x:v>
      </x:c>
      <x:c r="D1682" s="50" t="str">
        <x:v>LONG_BUY_ZONE</x:v>
      </x:c>
      <x:c r="E1682" s="50" t="str">
        <x:v>JNJ LONG BUY ZONE</x:v>
      </x:c>
      <x:c r="F1682" s="50" t="str">
        <x:v>WATCH</x:v>
      </x:c>
      <x:c r="G1682" s="50"/>
      <x:c r="H1682" s="50" t="str">
        <x:v>LONG</x:v>
      </x:c>
      <x:c r="I1682" s="71" t="n">
        <x:v>256.55</x:v>
      </x:c>
      <x:c r="J1682" s="76" t="str">
        <x:v>SIP</x:v>
      </x:c>
    </x:row>
    <x:row r="1683">
      <x:c r="A1683" s="50" t="str">
        <x:v>019fdd8b-eee2-7aa9-8197-2d99b0f81ce1</x:v>
      </x:c>
      <x:c r="B1683" s="50" t="str">
        <x:v>SNOW</x:v>
      </x:c>
      <x:c r="C1683" s="70" t="n">
        <x:v>46241.78198186342</x:v>
      </x:c>
      <x:c r="D1683" s="50" t="str">
        <x:v>ENTRY_CONFIRMED</x:v>
      </x:c>
      <x:c r="E1683" s="50" t="str">
        <x:v>SNOW ENTRY CONFIRMED</x:v>
      </x:c>
      <x:c r="F1683" s="50" t="str">
        <x:v>ACTION</x:v>
      </x:c>
      <x:c r="G1683" s="50" t="str">
        <x:v>L2_SWING_CONFIRMED</x:v>
      </x:c>
      <x:c r="H1683" s="50" t="str">
        <x:v>LONG</x:v>
      </x:c>
      <x:c r="I1683" s="71" t="n">
        <x:v>326.94</x:v>
      </x:c>
      <x:c r="J1683" s="76" t="str">
        <x:v>SIP</x:v>
      </x:c>
    </x:row>
    <x:row r="1684">
      <x:c r="A1684" s="50" t="str">
        <x:v>019fdd8b-ef63-7607-aad5-2ea688cf9161</x:v>
      </x:c>
      <x:c r="B1684" s="50" t="str">
        <x:v>RTX</x:v>
      </x:c>
      <x:c r="C1684" s="70" t="n">
        <x:v>46241.78198335648</x:v>
      </x:c>
      <x:c r="D1684" s="50" t="str">
        <x:v>SWING_SETUP</x:v>
      </x:c>
      <x:c r="E1684" s="50" t="str">
        <x:v>RTX SWING SETUP</x:v>
      </x:c>
      <x:c r="F1684" s="50" t="str">
        <x:v>WATCH</x:v>
      </x:c>
      <x:c r="G1684" s="50"/>
      <x:c r="H1684" s="50" t="str">
        <x:v>LONG</x:v>
      </x:c>
      <x:c r="I1684" s="71" t="n">
        <x:v>222.57</x:v>
      </x:c>
      <x:c r="J1684" s="76" t="str">
        <x:v>SIP</x:v>
      </x:c>
    </x:row>
    <x:row r="1685">
      <x:c r="A1685" s="50" t="str">
        <x:v>019fdd8b-f07c-74b7-9963-6a568968157e</x:v>
      </x:c>
      <x:c r="B1685" s="50" t="str">
        <x:v>DE</x:v>
      </x:c>
      <x:c r="C1685" s="70" t="n">
        <x:v>46241.78198662037</x:v>
      </x:c>
      <x:c r="D1685" s="50" t="str">
        <x:v>SWING_SETUP</x:v>
      </x:c>
      <x:c r="E1685" s="50" t="str">
        <x:v>DE SWING SETUP</x:v>
      </x:c>
      <x:c r="F1685" s="50" t="str">
        <x:v>WATCH</x:v>
      </x:c>
      <x:c r="G1685" s="50"/>
      <x:c r="H1685" s="50" t="str">
        <x:v>LONG</x:v>
      </x:c>
      <x:c r="I1685" s="71" t="n">
        <x:v>622.595</x:v>
      </x:c>
      <x:c r="J1685" s="76" t="str">
        <x:v>SIP</x:v>
      </x:c>
    </x:row>
    <x:row r="1686">
      <x:c r="A1686" s="50" t="str">
        <x:v>019fdd8c-d67b-776b-8ee5-52279718e52e</x:v>
      </x:c>
      <x:c r="B1686" s="50" t="str">
        <x:v>ONTO</x:v>
      </x:c>
      <x:c r="C1686" s="70" t="n">
        <x:v>46241.78266809028</x:v>
      </x:c>
      <x:c r="D1686" s="50" t="str">
        <x:v>SWING_SETUP</x:v>
      </x:c>
      <x:c r="E1686" s="50" t="str">
        <x:v>ONTO SWING SETUP</x:v>
      </x:c>
      <x:c r="F1686" s="50" t="str">
        <x:v>WATCH</x:v>
      </x:c>
      <x:c r="G1686" s="50"/>
      <x:c r="H1686" s="50" t="str">
        <x:v>LONG</x:v>
      </x:c>
      <x:c r="I1686" s="71" t="n">
        <x:v>302.4175</x:v>
      </x:c>
      <x:c r="J1686" s="76" t="str">
        <x:v>SIP</x:v>
      </x:c>
    </x:row>
    <x:row r="1687">
      <x:c r="A1687" s="50" t="str">
        <x:v>019fdd8c-d71d-7d47-a03a-fc3f1091702a</x:v>
      </x:c>
      <x:c r="B1687" s="50" t="str">
        <x:v>CROX</x:v>
      </x:c>
      <x:c r="C1687" s="70" t="n">
        <x:v>46241.78266996528</x:v>
      </x:c>
      <x:c r="D1687" s="50" t="str">
        <x:v>SWING_SETUP</x:v>
      </x:c>
      <x:c r="E1687" s="50" t="str">
        <x:v>CROX SWING SETUP</x:v>
      </x:c>
      <x:c r="F1687" s="50" t="str">
        <x:v>WATCH</x:v>
      </x:c>
      <x:c r="G1687" s="50"/>
      <x:c r="H1687" s="50" t="str">
        <x:v>LONG</x:v>
      </x:c>
      <x:c r="I1687" s="71" t="n">
        <x:v>138.265</x:v>
      </x:c>
      <x:c r="J1687" s="76" t="str">
        <x:v>SIP</x:v>
      </x:c>
    </x:row>
    <x:row r="1688">
      <x:c r="A1688" s="50" t="str">
        <x:v>019fdd8c-da65-7fed-840e-165c3d643ac8</x:v>
      </x:c>
      <x:c r="B1688" s="50" t="str">
        <x:v>WFC</x:v>
      </x:c>
      <x:c r="C1688" s="70" t="n">
        <x:v>46241.7826796875</x:v>
      </x:c>
      <x:c r="D1688" s="50" t="str">
        <x:v>SWING_SETUP</x:v>
      </x:c>
      <x:c r="E1688" s="50" t="str">
        <x:v>WFC SWING SETUP</x:v>
      </x:c>
      <x:c r="F1688" s="50" t="str">
        <x:v>WATCH</x:v>
      </x:c>
      <x:c r="G1688" s="50"/>
      <x:c r="H1688" s="50" t="str">
        <x:v>LONG</x:v>
      </x:c>
      <x:c r="I1688" s="71" t="n">
        <x:v>87.01</x:v>
      </x:c>
      <x:c r="J1688" s="76" t="str">
        <x:v>SIP</x:v>
      </x:c>
    </x:row>
    <x:row r="1689">
      <x:c r="A1689" s="50" t="str">
        <x:v>019fdd8c-daae-7f9d-a486-5d4c7be40441</x:v>
      </x:c>
      <x:c r="B1689" s="50" t="str">
        <x:v>AMGN</x:v>
      </x:c>
      <x:c r="C1689" s="70" t="n">
        <x:v>46241.78268053241</x:v>
      </x:c>
      <x:c r="D1689" s="50" t="str">
        <x:v>SWING_SETUP</x:v>
      </x:c>
      <x:c r="E1689" s="50" t="str">
        <x:v>AMGN SWING SETUP</x:v>
      </x:c>
      <x:c r="F1689" s="50" t="str">
        <x:v>WATCH</x:v>
      </x:c>
      <x:c r="G1689" s="50"/>
      <x:c r="H1689" s="50" t="str">
        <x:v>LONG</x:v>
      </x:c>
      <x:c r="I1689" s="71" t="n">
        <x:v>407.86</x:v>
      </x:c>
      <x:c r="J1689" s="76" t="str">
        <x:v>SIP</x:v>
      </x:c>
    </x:row>
    <x:row r="1690">
      <x:c r="A1690" s="50" t="str">
        <x:v>019fdd8c-dafd-7a4a-8f06-3479e914322a</x:v>
      </x:c>
      <x:c r="B1690" s="50" t="str">
        <x:v>BLFS</x:v>
      </x:c>
      <x:c r="C1690" s="70" t="n">
        <x:v>46241.78268144676</x:v>
      </x:c>
      <x:c r="D1690" s="50" t="str">
        <x:v>SWING_SETUP</x:v>
      </x:c>
      <x:c r="E1690" s="50" t="str">
        <x:v>BLFS SWING SETUP</x:v>
      </x:c>
      <x:c r="F1690" s="50" t="str">
        <x:v>WATCH</x:v>
      </x:c>
      <x:c r="G1690" s="50"/>
      <x:c r="H1690" s="50" t="str">
        <x:v>LONG</x:v>
      </x:c>
      <x:c r="I1690" s="71" t="n">
        <x:v>34.5</x:v>
      </x:c>
      <x:c r="J1690" s="76" t="str">
        <x:v>SIP</x:v>
      </x:c>
    </x:row>
    <x:row r="1691">
      <x:c r="A1691" s="50" t="str">
        <x:v>019fdd8c-db48-7b74-901c-dc6f168c9ffb</x:v>
      </x:c>
      <x:c r="B1691" s="50" t="str">
        <x:v>BABA</x:v>
      </x:c>
      <x:c r="C1691" s="70" t="n">
        <x:v>46241.78268231481</x:v>
      </x:c>
      <x:c r="D1691" s="50" t="str">
        <x:v>SWING_SETUP</x:v>
      </x:c>
      <x:c r="E1691" s="50" t="str">
        <x:v>BABA SWING SETUP</x:v>
      </x:c>
      <x:c r="F1691" s="50" t="str">
        <x:v>WATCH</x:v>
      </x:c>
      <x:c r="G1691" s="50"/>
      <x:c r="H1691" s="50" t="str">
        <x:v>LONG</x:v>
      </x:c>
      <x:c r="I1691" s="71" t="n">
        <x:v>128.36</x:v>
      </x:c>
      <x:c r="J1691" s="76" t="str">
        <x:v>SIP</x:v>
      </x:c>
    </x:row>
    <x:row r="1692">
      <x:c r="A1692" s="50" t="str">
        <x:v>019fdd8c-dc1b-7d7f-87b3-299f1fb16682</x:v>
      </x:c>
      <x:c r="B1692" s="50" t="str">
        <x:v>TGT</x:v>
      </x:c>
      <x:c r="C1692" s="70" t="n">
        <x:v>46241.782684756945</x:v>
      </x:c>
      <x:c r="D1692" s="50" t="str">
        <x:v>SWING_SETUP</x:v>
      </x:c>
      <x:c r="E1692" s="50" t="str">
        <x:v>TGT SWING SETUP</x:v>
      </x:c>
      <x:c r="F1692" s="50" t="str">
        <x:v>WATCH</x:v>
      </x:c>
      <x:c r="G1692" s="50"/>
      <x:c r="H1692" s="50" t="str">
        <x:v>LONG</x:v>
      </x:c>
      <x:c r="I1692" s="71" t="n">
        <x:v>148.7</x:v>
      </x:c>
      <x:c r="J1692" s="76" t="str">
        <x:v>SIP</x:v>
      </x:c>
    </x:row>
    <x:row r="1693">
      <x:c r="A1693" s="50" t="str">
        <x:v>019fdd8d-c01d-7787-aaf2-dad03e8a5a50</x:v>
      </x:c>
      <x:c r="B1693" s="50" t="str">
        <x:v>VZ</x:v>
      </x:c>
      <x:c r="C1693" s="70" t="n">
        <x:v>46241.78336033565</x:v>
      </x:c>
      <x:c r="D1693" s="50" t="str">
        <x:v>LONG_BUY_ZONE</x:v>
      </x:c>
      <x:c r="E1693" s="50" t="str">
        <x:v>VZ LONG BUY ZONE</x:v>
      </x:c>
      <x:c r="F1693" s="50" t="str">
        <x:v>WATCH</x:v>
      </x:c>
      <x:c r="G1693" s="50"/>
      <x:c r="H1693" s="50" t="str">
        <x:v>LONG</x:v>
      </x:c>
      <x:c r="I1693" s="71" t="n">
        <x:v>46.865</x:v>
      </x:c>
      <x:c r="J1693" s="76" t="str">
        <x:v>SIP</x:v>
      </x:c>
    </x:row>
    <x:row r="1694">
      <x:c r="A1694" s="50" t="str">
        <x:v>019fdd8d-c3e3-72af-9bdc-c0a84c3e512a</x:v>
      </x:c>
      <x:c r="B1694" s="50" t="str">
        <x:v>OXY</x:v>
      </x:c>
      <x:c r="C1694" s="70" t="n">
        <x:v>46241.783371516205</x:v>
      </x:c>
      <x:c r="D1694" s="50" t="str">
        <x:v>LONG_BUY_ZONE</x:v>
      </x:c>
      <x:c r="E1694" s="50" t="str">
        <x:v>OXY LONG BUY ZONE</x:v>
      </x:c>
      <x:c r="F1694" s="50" t="str">
        <x:v>WATCH</x:v>
      </x:c>
      <x:c r="G1694" s="50"/>
      <x:c r="H1694" s="50" t="str">
        <x:v>LONG</x:v>
      </x:c>
      <x:c r="I1694" s="71" t="n">
        <x:v>56.14</x:v>
      </x:c>
      <x:c r="J1694" s="76" t="str">
        <x:v>SIP</x:v>
      </x:c>
    </x:row>
    <x:row r="1695">
      <x:c r="A1695" s="50" t="str">
        <x:v>019fdd8e-ac3b-7186-8f0a-bb06321c61ac</x:v>
      </x:c>
      <x:c r="B1695" s="50" t="str">
        <x:v>NOVT</x:v>
      </x:c>
      <x:c r="C1695" s="70" t="n">
        <x:v>46241.78405994213</x:v>
      </x:c>
      <x:c r="D1695" s="50" t="str">
        <x:v>SWING_SETUP</x:v>
      </x:c>
      <x:c r="E1695" s="50" t="str">
        <x:v>NOVT SWING SETUP</x:v>
      </x:c>
      <x:c r="F1695" s="50" t="str">
        <x:v>WATCH</x:v>
      </x:c>
      <x:c r="G1695" s="50"/>
      <x:c r="H1695" s="50" t="str">
        <x:v>LONG</x:v>
      </x:c>
      <x:c r="I1695" s="71" t="n">
        <x:v>169.7</x:v>
      </x:c>
      <x:c r="J1695" s="76" t="str">
        <x:v>SIP</x:v>
      </x:c>
    </x:row>
    <x:row r="1696">
      <x:c r="A1696" s="50" t="str">
        <x:v>019fdd8f-99e7-7502-847a-6bcc69733867</x:v>
      </x:c>
      <x:c r="B1696" s="50" t="str">
        <x:v>AMZN</x:v>
      </x:c>
      <x:c r="C1696" s="70" t="n">
        <x:v>46241.78476415509</x:v>
      </x:c>
      <x:c r="D1696" s="50" t="str">
        <x:v>SWING_SETUP</x:v>
      </x:c>
      <x:c r="E1696" s="50" t="str">
        <x:v>AMZN SWING SETUP</x:v>
      </x:c>
      <x:c r="F1696" s="50" t="str">
        <x:v>WATCH</x:v>
      </x:c>
      <x:c r="G1696" s="50"/>
      <x:c r="H1696" s="50" t="str">
        <x:v>LONG</x:v>
      </x:c>
      <x:c r="I1696" s="71" t="n">
        <x:v>274.18</x:v>
      </x:c>
      <x:c r="J1696" s="76" t="str">
        <x:v>SIP</x:v>
      </x:c>
    </x:row>
    <x:row r="1697">
      <x:c r="A1697" s="50" t="str">
        <x:v>019fdd8f-9af0-7e72-8385-9035b22cfb4e</x:v>
      </x:c>
      <x:c r="B1697" s="50" t="str">
        <x:v>MRK</x:v>
      </x:c>
      <x:c r="C1697" s="70" t="n">
        <x:v>46241.78476721065</x:v>
      </x:c>
      <x:c r="D1697" s="50" t="str">
        <x:v>SWING_SETUP</x:v>
      </x:c>
      <x:c r="E1697" s="50" t="str">
        <x:v>MRK SWING SETUP</x:v>
      </x:c>
      <x:c r="F1697" s="50" t="str">
        <x:v>WATCH</x:v>
      </x:c>
      <x:c r="G1697" s="50"/>
      <x:c r="H1697" s="50" t="str">
        <x:v>LONG</x:v>
      </x:c>
      <x:c r="I1697" s="71" t="n">
        <x:v>128.53</x:v>
      </x:c>
      <x:c r="J1697" s="76" t="str">
        <x:v>SIP</x:v>
      </x:c>
    </x:row>
    <x:row r="1698">
      <x:c r="A1698" s="50" t="str">
        <x:v>019fdd8f-a0df-7e83-b2fb-a7316f00e5cf</x:v>
      </x:c>
      <x:c r="B1698" s="50" t="str">
        <x:v>KDP</x:v>
      </x:c>
      <x:c r="C1698" s="70" t="n">
        <x:v>46241.78478480324</x:v>
      </x:c>
      <x:c r="D1698" s="50" t="str">
        <x:v>LONG_BUY_ZONE</x:v>
      </x:c>
      <x:c r="E1698" s="50" t="str">
        <x:v>KDP LONG BUY ZONE</x:v>
      </x:c>
      <x:c r="F1698" s="50" t="str">
        <x:v>WATCH</x:v>
      </x:c>
      <x:c r="G1698" s="50"/>
      <x:c r="H1698" s="50" t="str">
        <x:v>LONG</x:v>
      </x:c>
      <x:c r="I1698" s="71" t="n">
        <x:v>30.075</x:v>
      </x:c>
      <x:c r="J1698" s="76" t="str">
        <x:v>SIP</x:v>
      </x:c>
    </x:row>
    <x:row r="1699">
      <x:c r="A1699" s="50" t="str">
        <x:v>019fdd90-8157-7f32-b658-d7585ff3b1bf</x:v>
      </x:c>
      <x:c r="B1699" s="50" t="str">
        <x:v>RIOT</x:v>
      </x:c>
      <x:c r="C1699" s="70" t="n">
        <x:v>46241.78544989583</x:v>
      </x:c>
      <x:c r="D1699" s="50" t="str">
        <x:v>ENTRY_WATCH</x:v>
      </x:c>
      <x:c r="E1699" s="50" t="str">
        <x:v>RIOT ENTRY BREAKAWAY WATCH</x:v>
      </x:c>
      <x:c r="F1699" s="50" t="str">
        <x:v>WATCH</x:v>
      </x:c>
      <x:c r="G1699" s="50"/>
      <x:c r="H1699" s="50" t="str">
        <x:v>LONG</x:v>
      </x:c>
      <x:c r="I1699" s="71" t="n">
        <x:v>20.64</x:v>
      </x:c>
      <x:c r="J1699" s="76" t="str">
        <x:v>SIP</x:v>
      </x:c>
    </x:row>
    <x:row r="1700">
      <x:c r="A1700" s="50" t="str">
        <x:v>019fdd90-8430-7636-8c9b-bc19a5b485bc</x:v>
      </x:c>
      <x:c r="B1700" s="50" t="str">
        <x:v>SNOW</x:v>
      </x:c>
      <x:c r="C1700" s="70" t="n">
        <x:v>46241.78545833333</x:v>
      </x:c>
      <x:c r="D1700" s="50" t="str">
        <x:v>SWING_SETUP</x:v>
      </x:c>
      <x:c r="E1700" s="50" t="str">
        <x:v>SNOW SWING SETUP</x:v>
      </x:c>
      <x:c r="F1700" s="50" t="str">
        <x:v>WATCH</x:v>
      </x:c>
      <x:c r="G1700" s="50"/>
      <x:c r="H1700" s="50" t="str">
        <x:v>LONG</x:v>
      </x:c>
      <x:c r="I1700" s="71" t="n">
        <x:v>326.48</x:v>
      </x:c>
      <x:c r="J1700" s="76" t="str">
        <x:v>SIP</x:v>
      </x:c>
    </x:row>
    <x:row r="1701">
      <x:c r="A1701" s="50" t="str">
        <x:v>019fdd90-8502-7232-9f9d-93f018c7cb75</x:v>
      </x:c>
      <x:c r="B1701" s="50" t="str">
        <x:v>RDW</x:v>
      </x:c>
      <x:c r="C1701" s="70" t="n">
        <x:v>46241.78546076389</x:v>
      </x:c>
      <x:c r="D1701" s="50" t="str">
        <x:v>SWING_SETUP</x:v>
      </x:c>
      <x:c r="E1701" s="50" t="str">
        <x:v>RDW SWING SETUP</x:v>
      </x:c>
      <x:c r="F1701" s="50" t="str">
        <x:v>WATCH</x:v>
      </x:c>
      <x:c r="G1701" s="50"/>
      <x:c r="H1701" s="50" t="str">
        <x:v>LONG</x:v>
      </x:c>
      <x:c r="I1701" s="71" t="n">
        <x:v>13.575</x:v>
      </x:c>
      <x:c r="J1701" s="76" t="str">
        <x:v>SIP</x:v>
      </x:c>
    </x:row>
    <x:row r="1702">
      <x:c r="A1702" s="50" t="str">
        <x:v>019fdd90-8627-7750-98bd-11a6f5505cef</x:v>
      </x:c>
      <x:c r="B1702" s="50" t="str">
        <x:v>ABNB</x:v>
      </x:c>
      <x:c r="C1702" s="70" t="n">
        <x:v>46241.785464155095</x:v>
      </x:c>
      <x:c r="D1702" s="50" t="str">
        <x:v>SWING_SETUP</x:v>
      </x:c>
      <x:c r="E1702" s="50" t="str">
        <x:v>ABNB SWING SETUP</x:v>
      </x:c>
      <x:c r="F1702" s="50" t="str">
        <x:v>WATCH</x:v>
      </x:c>
      <x:c r="G1702" s="50"/>
      <x:c r="H1702" s="50" t="str">
        <x:v>LONG</x:v>
      </x:c>
      <x:c r="I1702" s="71" t="n">
        <x:v>174.615</x:v>
      </x:c>
      <x:c r="J1702" s="76" t="str">
        <x:v>SIP</x:v>
      </x:c>
    </x:row>
    <x:row r="1703">
      <x:c r="A1703" s="50" t="str">
        <x:v>019fdd90-8924-7456-9f5d-8a747cab41f0</x:v>
      </x:c>
      <x:c r="B1703" s="50" t="str">
        <x:v>DE</x:v>
      </x:c>
      <x:c r="C1703" s="70" t="n">
        <x:v>46241.78547300926</x:v>
      </x:c>
      <x:c r="D1703" s="50" t="str">
        <x:v>LONG_BUY_ZONE</x:v>
      </x:c>
      <x:c r="E1703" s="50" t="str">
        <x:v>DE LONG BUY ZONE</x:v>
      </x:c>
      <x:c r="F1703" s="50" t="str">
        <x:v>WATCH</x:v>
      </x:c>
      <x:c r="G1703" s="50"/>
      <x:c r="H1703" s="50" t="str">
        <x:v>LONG</x:v>
      </x:c>
      <x:c r="I1703" s="71" t="n">
        <x:v>622.0375</x:v>
      </x:c>
      <x:c r="J1703" s="76" t="str">
        <x:v>SIP</x:v>
      </x:c>
    </x:row>
    <x:row r="1704">
      <x:c r="A1704" s="50" t="str">
        <x:v>019fdd92-556a-7c26-9d92-854994fdbf25</x:v>
      </x:c>
      <x:c r="B1704" s="50" t="str">
        <x:v>NOC</x:v>
      </x:c>
      <x:c r="C1704" s="70" t="n">
        <x:v>46241.786836782405</x:v>
      </x:c>
      <x:c r="D1704" s="50" t="str">
        <x:v>SWING_SETUP</x:v>
      </x:c>
      <x:c r="E1704" s="50" t="str">
        <x:v>NOC SWING SETUP</x:v>
      </x:c>
      <x:c r="F1704" s="50" t="str">
        <x:v>WATCH</x:v>
      </x:c>
      <x:c r="G1704" s="50"/>
      <x:c r="H1704" s="50" t="str">
        <x:v>LONG</x:v>
      </x:c>
      <x:c r="I1704" s="71" t="n">
        <x:v>570.445</x:v>
      </x:c>
      <x:c r="J1704" s="76" t="str">
        <x:v>SIP</x:v>
      </x:c>
    </x:row>
    <x:row r="1705">
      <x:c r="A1705" s="50" t="str">
        <x:v>019fdd92-55a7-7b45-935b-2980810afc54</x:v>
      </x:c>
      <x:c r="B1705" s="50" t="str">
        <x:v>PSX</x:v>
      </x:c>
      <x:c r="C1705" s="70" t="n">
        <x:v>46241.78683748843</x:v>
      </x:c>
      <x:c r="D1705" s="50" t="str">
        <x:v>SWING_SETUP</x:v>
      </x:c>
      <x:c r="E1705" s="50" t="str">
        <x:v>PSX SWING SETUP</x:v>
      </x:c>
      <x:c r="F1705" s="50" t="str">
        <x:v>WATCH</x:v>
      </x:c>
      <x:c r="G1705" s="50"/>
      <x:c r="H1705" s="50" t="str">
        <x:v>LONG</x:v>
      </x:c>
      <x:c r="I1705" s="71" t="n">
        <x:v>204.23</x:v>
      </x:c>
      <x:c r="J1705" s="76" t="str">
        <x:v>SIP</x:v>
      </x:c>
    </x:row>
    <x:row r="1706">
      <x:c r="A1706" s="50" t="str">
        <x:v>019fdd92-5ae9-703d-91af-e1c9b2cf3a6a</x:v>
      </x:c>
      <x:c r="B1706" s="50" t="str">
        <x:v>APH</x:v>
      </x:c>
      <x:c r="C1706" s="70" t="n">
        <x:v>46241.78685306713</x:v>
      </x:c>
      <x:c r="D1706" s="50" t="str">
        <x:v>LONG_BUY_ZONE</x:v>
      </x:c>
      <x:c r="E1706" s="50" t="str">
        <x:v>APH LONG BUY ZONE</x:v>
      </x:c>
      <x:c r="F1706" s="50" t="str">
        <x:v>WATCH</x:v>
      </x:c>
      <x:c r="G1706" s="50"/>
      <x:c r="H1706" s="50" t="str">
        <x:v>LONG</x:v>
      </x:c>
      <x:c r="I1706" s="71" t="n">
        <x:v>168.35</x:v>
      </x:c>
      <x:c r="J1706" s="76" t="str">
        <x:v>SIP</x:v>
      </x:c>
    </x:row>
    <x:row r="1707">
      <x:c r="A1707" s="50" t="str">
        <x:v>019fdd92-5f76-73e9-b2c0-1d69c56cec51</x:v>
      </x:c>
      <x:c r="B1707" s="50" t="str">
        <x:v>RIOT</x:v>
      </x:c>
      <x:c r="C1707" s="70" t="n">
        <x:v>46241.78686655092</x:v>
      </x:c>
      <x:c r="D1707" s="50" t="str">
        <x:v>ENTRY_WATCH</x:v>
      </x:c>
      <x:c r="E1707" s="50" t="str">
        <x:v>RIOT ENTRY IN_ZONE EARLY WATCH</x:v>
      </x:c>
      <x:c r="F1707" s="50" t="str">
        <x:v>WATCH</x:v>
      </x:c>
      <x:c r="G1707" s="50"/>
      <x:c r="H1707" s="50" t="str">
        <x:v>LONG</x:v>
      </x:c>
      <x:c r="I1707" s="71" t="n">
        <x:v>20.625</x:v>
      </x:c>
      <x:c r="J1707" s="76" t="str">
        <x:v>SIP</x:v>
      </x:c>
    </x:row>
    <x:row r="1708">
      <x:c r="A1708" s="50" t="str">
        <x:v>019fdd94-2a62-758b-a6f1-bb442001c4f5</x:v>
      </x:c>
      <x:c r="B1708" s="50" t="str">
        <x:v>INTU</x:v>
      </x:c>
      <x:c r="C1708" s="70" t="n">
        <x:v>46241.78822631945</x:v>
      </x:c>
      <x:c r="D1708" s="50" t="str">
        <x:v>SWING_SETUP</x:v>
      </x:c>
      <x:c r="E1708" s="50" t="str">
        <x:v>INTU SWING SETUP</x:v>
      </x:c>
      <x:c r="F1708" s="50" t="str">
        <x:v>WATCH</x:v>
      </x:c>
      <x:c r="G1708" s="50"/>
      <x:c r="H1708" s="50" t="str">
        <x:v>LONG</x:v>
      </x:c>
      <x:c r="I1708" s="71" t="n">
        <x:v>325.82</x:v>
      </x:c>
      <x:c r="J1708" s="76" t="str">
        <x:v>SIP</x:v>
      </x:c>
    </x:row>
    <x:row r="1709">
      <x:c r="A1709" s="50" t="str">
        <x:v>019fdd94-2b60-712e-96d1-d543ead10445</x:v>
      </x:c>
      <x:c r="B1709" s="50" t="str">
        <x:v>MDLZ</x:v>
      </x:c>
      <x:c r="C1709" s="70" t="n">
        <x:v>46241.78822925926</x:v>
      </x:c>
      <x:c r="D1709" s="50" t="str">
        <x:v>SWING_SETUP</x:v>
      </x:c>
      <x:c r="E1709" s="50" t="str">
        <x:v>MDLZ SWING SETUP</x:v>
      </x:c>
      <x:c r="F1709" s="50" t="str">
        <x:v>WATCH</x:v>
      </x:c>
      <x:c r="G1709" s="50"/>
      <x:c r="H1709" s="50" t="str">
        <x:v>LONG</x:v>
      </x:c>
      <x:c r="I1709" s="71" t="n">
        <x:v>62.77</x:v>
      </x:c>
      <x:c r="J1709" s="76" t="str">
        <x:v>SIP</x:v>
      </x:c>
    </x:row>
    <x:row r="1710">
      <x:c r="A1710" s="50" t="str">
        <x:v>019fdd94-2b69-7ae3-bf90-7edddebbd83a</x:v>
      </x:c>
      <x:c r="B1710" s="50" t="str">
        <x:v>VZ</x:v>
      </x:c>
      <x:c r="C1710" s="70" t="n">
        <x:v>46241.788229363425</x:v>
      </x:c>
      <x:c r="D1710" s="50" t="str">
        <x:v>SWING_SETUP</x:v>
      </x:c>
      <x:c r="E1710" s="50" t="str">
        <x:v>VZ SWING SETUP</x:v>
      </x:c>
      <x:c r="F1710" s="50" t="str">
        <x:v>WATCH</x:v>
      </x:c>
      <x:c r="G1710" s="50"/>
      <x:c r="H1710" s="50" t="str">
        <x:v>LONG</x:v>
      </x:c>
      <x:c r="I1710" s="71" t="n">
        <x:v>46.8403</x:v>
      </x:c>
      <x:c r="J1710" s="76" t="str">
        <x:v>SIP</x:v>
      </x:c>
    </x:row>
    <x:row r="1711">
      <x:c r="A1711" s="50" t="str">
        <x:v>019fdd94-2b7a-71b5-8561-517b06d1a2c6</x:v>
      </x:c>
      <x:c r="B1711" s="50" t="str">
        <x:v>UNP</x:v>
      </x:c>
      <x:c r="C1711" s="70" t="n">
        <x:v>46241.78822956019</x:v>
      </x:c>
      <x:c r="D1711" s="50" t="str">
        <x:v>SWING_SETUP</x:v>
      </x:c>
      <x:c r="E1711" s="50" t="str">
        <x:v>UNP SWING SETUP</x:v>
      </x:c>
      <x:c r="F1711" s="50" t="str">
        <x:v>WATCH</x:v>
      </x:c>
      <x:c r="G1711" s="50"/>
      <x:c r="H1711" s="50" t="str">
        <x:v>LONG</x:v>
      </x:c>
      <x:c r="I1711" s="71" t="n">
        <x:v>294.215</x:v>
      </x:c>
      <x:c r="J1711" s="76" t="str">
        <x:v>SIP</x:v>
      </x:c>
    </x:row>
    <x:row r="1712">
      <x:c r="A1712" s="50" t="str">
        <x:v>019fdd94-2b85-7f0f-92b2-3e5b72cbd32c</x:v>
      </x:c>
      <x:c r="B1712" s="50" t="str">
        <x:v>OXY</x:v>
      </x:c>
      <x:c r="C1712" s="70" t="n">
        <x:v>46241.7882296875</x:v>
      </x:c>
      <x:c r="D1712" s="50" t="str">
        <x:v>SWING_SETUP</x:v>
      </x:c>
      <x:c r="E1712" s="50" t="str">
        <x:v>OXY SWING SETUP</x:v>
      </x:c>
      <x:c r="F1712" s="50" t="str">
        <x:v>WATCH</x:v>
      </x:c>
      <x:c r="G1712" s="50"/>
      <x:c r="H1712" s="50" t="str">
        <x:v>LONG</x:v>
      </x:c>
      <x:c r="I1712" s="71" t="n">
        <x:v>56.125</x:v>
      </x:c>
      <x:c r="J1712" s="76" t="str">
        <x:v>SIP</x:v>
      </x:c>
    </x:row>
    <x:row r="1713">
      <x:c r="A1713" s="50" t="str">
        <x:v>019fdd94-2b9b-7025-98a4-5e58a1dfad38</x:v>
      </x:c>
      <x:c r="B1713" s="50" t="str">
        <x:v>COP</x:v>
      </x:c>
      <x:c r="C1713" s="70" t="n">
        <x:v>46241.78822994213</x:v>
      </x:c>
      <x:c r="D1713" s="50" t="str">
        <x:v>SWING_SETUP</x:v>
      </x:c>
      <x:c r="E1713" s="50" t="str">
        <x:v>COP SWING SETUP</x:v>
      </x:c>
      <x:c r="F1713" s="50" t="str">
        <x:v>WATCH</x:v>
      </x:c>
      <x:c r="G1713" s="50"/>
      <x:c r="H1713" s="50" t="str">
        <x:v>LONG</x:v>
      </x:c>
      <x:c r="I1713" s="71" t="n">
        <x:v>117.87</x:v>
      </x:c>
      <x:c r="J1713" s="76" t="str">
        <x:v>SIP</x:v>
      </x:c>
    </x:row>
    <x:row r="1714">
      <x:c r="A1714" s="50" t="str">
        <x:v>019fdd94-2bbd-7882-ae39-417795bef84d</x:v>
      </x:c>
      <x:c r="B1714" s="50" t="str">
        <x:v>SBUX</x:v>
      </x:c>
      <x:c r="C1714" s="70" t="n">
        <x:v>46241.788230335645</x:v>
      </x:c>
      <x:c r="D1714" s="50" t="str">
        <x:v>SWING_SETUP</x:v>
      </x:c>
      <x:c r="E1714" s="50" t="str">
        <x:v>SBUX SWING SETUP</x:v>
      </x:c>
      <x:c r="F1714" s="50" t="str">
        <x:v>WATCH</x:v>
      </x:c>
      <x:c r="G1714" s="50"/>
      <x:c r="H1714" s="50" t="str">
        <x:v>LONG</x:v>
      </x:c>
      <x:c r="I1714" s="71" t="n">
        <x:v>106.305</x:v>
      </x:c>
      <x:c r="J1714" s="76" t="str">
        <x:v>SIP</x:v>
      </x:c>
    </x:row>
    <x:row r="1715">
      <x:c r="A1715" s="50" t="str">
        <x:v>019fdd94-2e1f-7ce3-90c6-fd3f57614258</x:v>
      </x:c>
      <x:c r="B1715" s="50" t="str">
        <x:v>SBUX</x:v>
      </x:c>
      <x:c r="C1715" s="70" t="n">
        <x:v>46241.788237395835</x:v>
      </x:c>
      <x:c r="D1715" s="50" t="str">
        <x:v>LONG_BUY_ZONE</x:v>
      </x:c>
      <x:c r="E1715" s="50" t="str">
        <x:v>SBUX LONG BUY ZONE</x:v>
      </x:c>
      <x:c r="F1715" s="50" t="str">
        <x:v>WATCH</x:v>
      </x:c>
      <x:c r="G1715" s="50"/>
      <x:c r="H1715" s="50" t="str">
        <x:v>LONG</x:v>
      </x:c>
      <x:c r="I1715" s="71" t="n">
        <x:v>106.39</x:v>
      </x:c>
      <x:c r="J1715" s="76" t="str">
        <x:v>SIP</x:v>
      </x:c>
    </x:row>
    <x:row r="1716">
      <x:c r="A1716" s="50" t="str">
        <x:v>019fdd95-16e8-73a9-bf46-0a695a50896d</x:v>
      </x:c>
      <x:c r="B1716" s="50" t="str">
        <x:v>NXE</x:v>
      </x:c>
      <x:c r="C1716" s="70" t="n">
        <x:v>46241.78892712963</x:v>
      </x:c>
      <x:c r="D1716" s="50" t="str">
        <x:v>SWING_SETUP</x:v>
      </x:c>
      <x:c r="E1716" s="50" t="str">
        <x:v>NXE SWING SETUP</x:v>
      </x:c>
      <x:c r="F1716" s="50" t="str">
        <x:v>WATCH</x:v>
      </x:c>
      <x:c r="G1716" s="50"/>
      <x:c r="H1716" s="50" t="str">
        <x:v>LONG</x:v>
      </x:c>
      <x:c r="I1716" s="71" t="n">
        <x:v>10.465</x:v>
      </x:c>
      <x:c r="J1716" s="76" t="str">
        <x:v>SIP</x:v>
      </x:c>
    </x:row>
    <x:row r="1717">
      <x:c r="A1717" s="50" t="str">
        <x:v>019fdd95-1ebc-7c7c-a0a5-4fcb76ba4e4a</x:v>
      </x:c>
      <x:c r="B1717" s="50" t="str">
        <x:v>ABBV</x:v>
      </x:c>
      <x:c r="C1717" s="70" t="n">
        <x:v>46241.78895032407</x:v>
      </x:c>
      <x:c r="D1717" s="50" t="str">
        <x:v>LONG_BUY_ZONE</x:v>
      </x:c>
      <x:c r="E1717" s="50" t="str">
        <x:v>ABBV LONG BUY ZONE</x:v>
      </x:c>
      <x:c r="F1717" s="50" t="str">
        <x:v>WATCH</x:v>
      </x:c>
      <x:c r="G1717" s="50"/>
      <x:c r="H1717" s="50" t="str">
        <x:v>LONG</x:v>
      </x:c>
      <x:c r="I1717" s="71" t="n">
        <x:v>244.725</x:v>
      </x:c>
      <x:c r="J1717" s="76" t="str">
        <x:v>SIP</x:v>
      </x:c>
    </x:row>
    <x:row r="1718">
      <x:c r="A1718" s="50" t="str">
        <x:v>019fdd95-ff91-7f59-a0dc-670e4588ca05</x:v>
      </x:c>
      <x:c r="B1718" s="50" t="str">
        <x:v>LMT</x:v>
      </x:c>
      <x:c r="C1718" s="70" t="n">
        <x:v>46241.78961649306</x:v>
      </x:c>
      <x:c r="D1718" s="50" t="str">
        <x:v>SWING_SETUP</x:v>
      </x:c>
      <x:c r="E1718" s="50" t="str">
        <x:v>LMT SWING SETUP</x:v>
      </x:c>
      <x:c r="F1718" s="50" t="str">
        <x:v>WATCH</x:v>
      </x:c>
      <x:c r="G1718" s="50"/>
      <x:c r="H1718" s="50" t="str">
        <x:v>LONG</x:v>
      </x:c>
      <x:c r="I1718" s="71" t="n">
        <x:v>586.84</x:v>
      </x:c>
      <x:c r="J1718" s="76" t="str">
        <x:v>SIP</x:v>
      </x:c>
    </x:row>
    <x:row r="1719">
      <x:c r="A1719" s="50" t="str">
        <x:v>019fdd96-0068-70c3-9039-41da8acb63f6</x:v>
      </x:c>
      <x:c r="B1719" s="50" t="str">
        <x:v>APA</x:v>
      </x:c>
      <x:c r="C1719" s="70" t="n">
        <x:v>46241.78961898148</x:v>
      </x:c>
      <x:c r="D1719" s="50" t="str">
        <x:v>SWING_SETUP</x:v>
      </x:c>
      <x:c r="E1719" s="50" t="str">
        <x:v>APA SWING SETUP</x:v>
      </x:c>
      <x:c r="F1719" s="50" t="str">
        <x:v>WATCH</x:v>
      </x:c>
      <x:c r="G1719" s="50"/>
      <x:c r="H1719" s="50" t="str">
        <x:v>LONG</x:v>
      </x:c>
      <x:c r="I1719" s="71" t="n">
        <x:v>37.635</x:v>
      </x:c>
      <x:c r="J1719" s="76" t="str">
        <x:v>SIP</x:v>
      </x:c>
    </x:row>
    <x:row r="1720">
      <x:c r="A1720" s="50" t="str">
        <x:v>019fdd96-0072-7cfc-85ae-d278db7ba9af</x:v>
      </x:c>
      <x:c r="B1720" s="50" t="str">
        <x:v>WELL</x:v>
      </x:c>
      <x:c r="C1720" s="70" t="n">
        <x:v>46241.789619097224</x:v>
      </x:c>
      <x:c r="D1720" s="50" t="str">
        <x:v>SWING_SETUP</x:v>
      </x:c>
      <x:c r="E1720" s="50" t="str">
        <x:v>WELL SWING SETUP</x:v>
      </x:c>
      <x:c r="F1720" s="50" t="str">
        <x:v>WATCH</x:v>
      </x:c>
      <x:c r="G1720" s="50"/>
      <x:c r="H1720" s="50" t="str">
        <x:v>LONG</x:v>
      </x:c>
      <x:c r="I1720" s="71" t="n">
        <x:v>236.475</x:v>
      </x:c>
      <x:c r="J1720" s="76" t="str">
        <x:v>SIP</x:v>
      </x:c>
    </x:row>
    <x:row r="1721">
      <x:c r="A1721" s="50" t="str">
        <x:v>019fdd96-0168-7e7f-b532-cb14ad14b661</x:v>
      </x:c>
      <x:c r="B1721" s="50" t="str">
        <x:v>ANET</x:v>
      </x:c>
      <x:c r="C1721" s="70" t="n">
        <x:v>46241.78962193287</x:v>
      </x:c>
      <x:c r="D1721" s="50" t="str">
        <x:v>SWING_SETUP</x:v>
      </x:c>
      <x:c r="E1721" s="50" t="str">
        <x:v>ANET SWING SETUP</x:v>
      </x:c>
      <x:c r="F1721" s="50" t="str">
        <x:v>WATCH</x:v>
      </x:c>
      <x:c r="G1721" s="50"/>
      <x:c r="H1721" s="50" t="str">
        <x:v>LONG</x:v>
      </x:c>
      <x:c r="I1721" s="71" t="n">
        <x:v>188.89</x:v>
      </x:c>
      <x:c r="J1721" s="76" t="str">
        <x:v>SIP</x:v>
      </x:c>
    </x:row>
    <x:row r="1722">
      <x:c r="A1722" s="50" t="str">
        <x:v>019fdd96-03d3-7ff8-81c9-e7451da70619</x:v>
      </x:c>
      <x:c r="B1722" s="50" t="str">
        <x:v>BMY</x:v>
      </x:c>
      <x:c r="C1722" s="70" t="n">
        <x:v>46241.789629108796</x:v>
      </x:c>
      <x:c r="D1722" s="50" t="str">
        <x:v>SWING_SETUP</x:v>
      </x:c>
      <x:c r="E1722" s="50" t="str">
        <x:v>BMY SWING SETUP</x:v>
      </x:c>
      <x:c r="F1722" s="50" t="str">
        <x:v>WATCH</x:v>
      </x:c>
      <x:c r="G1722" s="50"/>
      <x:c r="H1722" s="50" t="str">
        <x:v>LONG</x:v>
      </x:c>
      <x:c r="I1722" s="71" t="n">
        <x:v>64.345</x:v>
      </x:c>
      <x:c r="J1722" s="76" t="str">
        <x:v>SIP</x:v>
      </x:c>
    </x:row>
    <x:row r="1723">
      <x:c r="A1723" s="50" t="str">
        <x:v>019fdd96-0495-7e4a-800a-1bd5ee3dc538</x:v>
      </x:c>
      <x:c r="B1723" s="50" t="str">
        <x:v>PLTR</x:v>
      </x:c>
      <x:c r="C1723" s="70" t="n">
        <x:v>46241.789631354164</x:v>
      </x:c>
      <x:c r="D1723" s="50" t="str">
        <x:v>SWING_SETUP</x:v>
      </x:c>
      <x:c r="E1723" s="50" t="str">
        <x:v>PLTR SWING SETUP</x:v>
      </x:c>
      <x:c r="F1723" s="50" t="str">
        <x:v>WATCH</x:v>
      </x:c>
      <x:c r="G1723" s="50"/>
      <x:c r="H1723" s="50" t="str">
        <x:v>LONG</x:v>
      </x:c>
      <x:c r="I1723" s="71" t="n">
        <x:v>170.1</x:v>
      </x:c>
      <x:c r="J1723" s="76" t="str">
        <x:v>SIP</x:v>
      </x:c>
    </x:row>
    <x:row r="1724">
      <x:c r="A1724" s="50" t="str">
        <x:v>019fdd96-093c-7f61-b412-cf0eeb37c111</x:v>
      </x:c>
      <x:c r="B1724" s="50" t="str">
        <x:v>PM</x:v>
      </x:c>
      <x:c r="C1724" s="70" t="n">
        <x:v>46241.78964512731</x:v>
      </x:c>
      <x:c r="D1724" s="50" t="str">
        <x:v>LONG_BUY_ZONE</x:v>
      </x:c>
      <x:c r="E1724" s="50" t="str">
        <x:v>PM LONG BUY ZONE</x:v>
      </x:c>
      <x:c r="F1724" s="50" t="str">
        <x:v>WATCH</x:v>
      </x:c>
      <x:c r="G1724" s="50"/>
      <x:c r="H1724" s="50" t="str">
        <x:v>LONG</x:v>
      </x:c>
      <x:c r="I1724" s="71" t="n">
        <x:v>189.2625</x:v>
      </x:c>
      <x:c r="J1724" s="76" t="str">
        <x:v>SIP</x:v>
      </x:c>
    </x:row>
    <x:row r="1725">
      <x:c r="A1725" s="50" t="str">
        <x:v>019fdd96-0ade-72bd-a116-d70e65405715</x:v>
      </x:c>
      <x:c r="B1725" s="50" t="str">
        <x:v>ECL</x:v>
      </x:c>
      <x:c r="C1725" s="70" t="n">
        <x:v>46241.789649976854</x:v>
      </x:c>
      <x:c r="D1725" s="50" t="str">
        <x:v>LONG_BUY_ZONE</x:v>
      </x:c>
      <x:c r="E1725" s="50" t="str">
        <x:v>ECL LONG BUY ZONE</x:v>
      </x:c>
      <x:c r="F1725" s="50" t="str">
        <x:v>WATCH</x:v>
      </x:c>
      <x:c r="G1725" s="50"/>
      <x:c r="H1725" s="50" t="str">
        <x:v>LONG</x:v>
      </x:c>
      <x:c r="I1725" s="71" t="n">
        <x:v>284.4225</x:v>
      </x:c>
      <x:c r="J1725" s="76" t="str">
        <x:v>SIP</x:v>
      </x:c>
    </x:row>
    <x:row r="1726">
      <x:c r="A1726" s="50" t="str">
        <x:v>019fdd96-ebd5-7427-8138-f6290f75c4de</x:v>
      </x:c>
      <x:c r="B1726" s="50" t="str">
        <x:v>MRK</x:v>
      </x:c>
      <x:c r="C1726" s="70" t="n">
        <x:v>46241.79031653935</x:v>
      </x:c>
      <x:c r="D1726" s="50" t="str">
        <x:v>LONG_BUY_ZONE</x:v>
      </x:c>
      <x:c r="E1726" s="50" t="str">
        <x:v>MRK LONG BUY ZONE</x:v>
      </x:c>
      <x:c r="F1726" s="50" t="str">
        <x:v>WATCH</x:v>
      </x:c>
      <x:c r="G1726" s="50"/>
      <x:c r="H1726" s="50" t="str">
        <x:v>LONG</x:v>
      </x:c>
      <x:c r="I1726" s="71" t="n">
        <x:v>128.36</x:v>
      </x:c>
      <x:c r="J1726" s="76" t="str">
        <x:v>SIP</x:v>
      </x:c>
    </x:row>
    <x:row r="1727">
      <x:c r="A1727" s="50" t="str">
        <x:v>019fdd96-ed42-72fe-84c2-32d4b904debb</x:v>
      </x:c>
      <x:c r="B1727" s="50" t="str">
        <x:v>BLK</x:v>
      </x:c>
      <x:c r="C1727" s="70" t="n">
        <x:v>46241.79032076389</x:v>
      </x:c>
      <x:c r="D1727" s="50" t="str">
        <x:v>SWING_SETUP</x:v>
      </x:c>
      <x:c r="E1727" s="50" t="str">
        <x:v>BLK SWING SETUP</x:v>
      </x:c>
      <x:c r="F1727" s="50" t="str">
        <x:v>WATCH</x:v>
      </x:c>
      <x:c r="G1727" s="50"/>
      <x:c r="H1727" s="50" t="str">
        <x:v>LONG</x:v>
      </x:c>
      <x:c r="I1727" s="71" t="n">
        <x:v>1141.3</x:v>
      </x:c>
      <x:c r="J1727" s="76" t="str">
        <x:v>SIP</x:v>
      </x:c>
    </x:row>
    <x:row r="1728">
      <x:c r="A1728" s="50" t="str">
        <x:v>019fdd96-ee0d-74a3-a13e-b6427183807f</x:v>
      </x:c>
      <x:c r="B1728" s="50" t="str">
        <x:v>RCL</x:v>
      </x:c>
      <x:c r="C1728" s="70" t="n">
        <x:v>46241.790323113426</x:v>
      </x:c>
      <x:c r="D1728" s="50" t="str">
        <x:v>SWING_SETUP</x:v>
      </x:c>
      <x:c r="E1728" s="50" t="str">
        <x:v>RCL SWING SETUP</x:v>
      </x:c>
      <x:c r="F1728" s="50" t="str">
        <x:v>WATCH</x:v>
      </x:c>
      <x:c r="G1728" s="50"/>
      <x:c r="H1728" s="50" t="str">
        <x:v>LONG</x:v>
      </x:c>
      <x:c r="I1728" s="71" t="n">
        <x:v>320.48</x:v>
      </x:c>
      <x:c r="J1728" s="76" t="str">
        <x:v>SIP</x:v>
      </x:c>
    </x:row>
    <x:row r="1729">
      <x:c r="A1729" s="50" t="str">
        <x:v>019fdd96-ef8d-7f35-af40-a7b21e9d0c50</x:v>
      </x:c>
      <x:c r="B1729" s="50" t="str">
        <x:v>HRL</x:v>
      </x:c>
      <x:c r="C1729" s="70" t="n">
        <x:v>46241.790327546296</x:v>
      </x:c>
      <x:c r="D1729" s="50" t="str">
        <x:v>LONG_BUY_ZONE</x:v>
      </x:c>
      <x:c r="E1729" s="50" t="str">
        <x:v>HRL LONG BUY ZONE</x:v>
      </x:c>
      <x:c r="F1729" s="50" t="str">
        <x:v>WATCH</x:v>
      </x:c>
      <x:c r="G1729" s="50"/>
      <x:c r="H1729" s="50" t="str">
        <x:v>LONG</x:v>
      </x:c>
      <x:c r="I1729" s="71" t="n">
        <x:v>25.055</x:v>
      </x:c>
      <x:c r="J1729" s="76" t="str">
        <x:v>SIP</x:v>
      </x:c>
    </x:row>
    <x:row r="1730">
      <x:c r="A1730" s="50" t="str">
        <x:v>019fdd97-d45c-76ee-ad67-5b6783df0845</x:v>
      </x:c>
      <x:c r="B1730" s="50" t="str">
        <x:v>GS</x:v>
      </x:c>
      <x:c r="C1730" s="70" t="n">
        <x:v>46241.79100550926</x:v>
      </x:c>
      <x:c r="D1730" s="50" t="str">
        <x:v>LONG_BUY_ZONE</x:v>
      </x:c>
      <x:c r="E1730" s="50" t="str">
        <x:v>GS LONG BUY ZONE</x:v>
      </x:c>
      <x:c r="F1730" s="50" t="str">
        <x:v>WATCH</x:v>
      </x:c>
      <x:c r="G1730" s="50"/>
      <x:c r="H1730" s="50" t="str">
        <x:v>LONG</x:v>
      </x:c>
      <x:c r="I1730" s="71" t="n">
        <x:v>1038.11</x:v>
      </x:c>
      <x:c r="J1730" s="76" t="str">
        <x:v>SIP</x:v>
      </x:c>
    </x:row>
    <x:row r="1731">
      <x:c r="A1731" s="50" t="str">
        <x:v>019fdd97-d476-7e63-880a-ab81db8d49ae</x:v>
      </x:c>
      <x:c r="B1731" s="50" t="str">
        <x:v>JD</x:v>
      </x:c>
      <x:c r="C1731" s="70" t="n">
        <x:v>46241.791005810184</x:v>
      </x:c>
      <x:c r="D1731" s="50" t="str">
        <x:v>SWING_SETUP</x:v>
      </x:c>
      <x:c r="E1731" s="50" t="str">
        <x:v>JD SWING SETUP</x:v>
      </x:c>
      <x:c r="F1731" s="50" t="str">
        <x:v>WATCH</x:v>
      </x:c>
      <x:c r="G1731" s="50"/>
      <x:c r="H1731" s="50" t="str">
        <x:v>LONG</x:v>
      </x:c>
      <x:c r="I1731" s="71" t="n">
        <x:v>32.91</x:v>
      </x:c>
      <x:c r="J1731" s="76" t="str">
        <x:v>SIP</x:v>
      </x:c>
    </x:row>
    <x:row r="1732">
      <x:c r="A1732" s="50" t="str">
        <x:v>019fdd97-d49e-7e20-8277-0ef9213cd859</x:v>
      </x:c>
      <x:c r="B1732" s="50" t="str">
        <x:v>BAC</x:v>
      </x:c>
      <x:c r="C1732" s="70" t="n">
        <x:v>46241.791006273146</x:v>
      </x:c>
      <x:c r="D1732" s="50" t="str">
        <x:v>SWING_SETUP</x:v>
      </x:c>
      <x:c r="E1732" s="50" t="str">
        <x:v>BAC SWING SETUP</x:v>
      </x:c>
      <x:c r="F1732" s="50" t="str">
        <x:v>WATCH</x:v>
      </x:c>
      <x:c r="G1732" s="50"/>
      <x:c r="H1732" s="50" t="str">
        <x:v>LONG</x:v>
      </x:c>
      <x:c r="I1732" s="71" t="n">
        <x:v>63.0848</x:v>
      </x:c>
      <x:c r="J1732" s="76" t="str">
        <x:v>SIP</x:v>
      </x:c>
    </x:row>
    <x:row r="1733">
      <x:c r="A1733" s="50" t="str">
        <x:v>019fdd97-d4ae-795e-8a86-5a4f5fe4f92e</x:v>
      </x:c>
      <x:c r="B1733" s="50" t="str">
        <x:v>JPM</x:v>
      </x:c>
      <x:c r="C1733" s="70" t="n">
        <x:v>46241.791006458334</x:v>
      </x:c>
      <x:c r="D1733" s="50" t="str">
        <x:v>SWING_SETUP</x:v>
      </x:c>
      <x:c r="E1733" s="50" t="str">
        <x:v>JPM SWING SETUP</x:v>
      </x:c>
      <x:c r="F1733" s="50" t="str">
        <x:v>WATCH</x:v>
      </x:c>
      <x:c r="G1733" s="50"/>
      <x:c r="H1733" s="50" t="str">
        <x:v>LONG</x:v>
      </x:c>
      <x:c r="I1733" s="71" t="n">
        <x:v>357.835</x:v>
      </x:c>
      <x:c r="J1733" s="76" t="str">
        <x:v>SIP</x:v>
      </x:c>
    </x:row>
    <x:row r="1734">
      <x:c r="A1734" s="50" t="str">
        <x:v>019fdd97-d4d0-7f98-a4d5-74e89315b38b</x:v>
      </x:c>
      <x:c r="B1734" s="50" t="str">
        <x:v>PFE</x:v>
      </x:c>
      <x:c r="C1734" s="70" t="n">
        <x:v>46241.791006851854</x:v>
      </x:c>
      <x:c r="D1734" s="50" t="str">
        <x:v>SWING_SETUP</x:v>
      </x:c>
      <x:c r="E1734" s="50" t="str">
        <x:v>PFE SWING SETUP</x:v>
      </x:c>
      <x:c r="F1734" s="50" t="str">
        <x:v>WATCH</x:v>
      </x:c>
      <x:c r="G1734" s="50"/>
      <x:c r="H1734" s="50" t="str">
        <x:v>LONG</x:v>
      </x:c>
      <x:c r="I1734" s="71" t="n">
        <x:v>26.536</x:v>
      </x:c>
      <x:c r="J1734" s="76" t="str">
        <x:v>SIP</x:v>
      </x:c>
    </x:row>
    <x:row r="1735">
      <x:c r="A1735" s="50" t="str">
        <x:v>019fdd97-d50b-7c09-a5ae-1b0373c93060</x:v>
      </x:c>
      <x:c r="B1735" s="50" t="str">
        <x:v>ETHA</x:v>
      </x:c>
      <x:c r="C1735" s="70" t="n">
        <x:v>46241.791007534724</x:v>
      </x:c>
      <x:c r="D1735" s="50" t="str">
        <x:v>SWING_SETUP</x:v>
      </x:c>
      <x:c r="E1735" s="50" t="str">
        <x:v>ETHA SWING SETUP</x:v>
      </x:c>
      <x:c r="F1735" s="50" t="str">
        <x:v>WATCH</x:v>
      </x:c>
      <x:c r="G1735" s="50"/>
      <x:c r="H1735" s="50" t="str">
        <x:v>LONG</x:v>
      </x:c>
      <x:c r="I1735" s="71" t="n">
        <x:v>14.39</x:v>
      </x:c>
      <x:c r="J1735" s="76" t="str">
        <x:v>SIP</x:v>
      </x:c>
    </x:row>
    <x:row r="1736">
      <x:c r="A1736" s="50" t="str">
        <x:v>019fdd97-d518-75af-801d-a0819461707c</x:v>
      </x:c>
      <x:c r="B1736" s="50" t="str">
        <x:v>TMDX</x:v>
      </x:c>
      <x:c r="C1736" s="70" t="n">
        <x:v>46241.791007685184</x:v>
      </x:c>
      <x:c r="D1736" s="50" t="str">
        <x:v>SWING_SETUP</x:v>
      </x:c>
      <x:c r="E1736" s="50" t="str">
        <x:v>TMDX SWING SETUP</x:v>
      </x:c>
      <x:c r="F1736" s="50" t="str">
        <x:v>WATCH</x:v>
      </x:c>
      <x:c r="G1736" s="50"/>
      <x:c r="H1736" s="50" t="str">
        <x:v>LONG</x:v>
      </x:c>
      <x:c r="I1736" s="71" t="n">
        <x:v>81.62</x:v>
      </x:c>
      <x:c r="J1736" s="76" t="str">
        <x:v>SIP</x:v>
      </x:c>
    </x:row>
    <x:row r="1737">
      <x:c r="A1737" s="50" t="str">
        <x:v>019fdd97-d5a3-71de-bdc6-7e18f815060a</x:v>
      </x:c>
      <x:c r="B1737" s="50" t="str">
        <x:v>KO</x:v>
      </x:c>
      <x:c r="C1737" s="70" t="n">
        <x:v>46241.79100929398</x:v>
      </x:c>
      <x:c r="D1737" s="50" t="str">
        <x:v>SWING_SETUP</x:v>
      </x:c>
      <x:c r="E1737" s="50" t="str">
        <x:v>KO SWING SETUP</x:v>
      </x:c>
      <x:c r="F1737" s="50" t="str">
        <x:v>WATCH</x:v>
      </x:c>
      <x:c r="G1737" s="50"/>
      <x:c r="H1737" s="50" t="str">
        <x:v>LONG</x:v>
      </x:c>
      <x:c r="I1737" s="71" t="n">
        <x:v>87.055</x:v>
      </x:c>
      <x:c r="J1737" s="76" t="str">
        <x:v>SIP</x:v>
      </x:c>
    </x:row>
    <x:row r="1738">
      <x:c r="A1738" s="50" t="str">
        <x:v>019fdd97-d5d7-7612-b1b0-3e84e44e430e</x:v>
      </x:c>
      <x:c r="B1738" s="50" t="str">
        <x:v>CEG</x:v>
      </x:c>
      <x:c r="C1738" s="70" t="n">
        <x:v>46241.79100989583</x:v>
      </x:c>
      <x:c r="D1738" s="50" t="str">
        <x:v>SWING_SETUP</x:v>
      </x:c>
      <x:c r="E1738" s="50" t="str">
        <x:v>CEG SWING SETUP</x:v>
      </x:c>
      <x:c r="F1738" s="50" t="str">
        <x:v>WATCH</x:v>
      </x:c>
      <x:c r="G1738" s="50"/>
      <x:c r="H1738" s="50" t="str">
        <x:v>LONG</x:v>
      </x:c>
      <x:c r="I1738" s="71" t="n">
        <x:v>268.2</x:v>
      </x:c>
      <x:c r="J1738" s="76" t="str">
        <x:v>SIP</x:v>
      </x:c>
    </x:row>
    <x:row r="1739">
      <x:c r="A1739" s="50" t="str">
        <x:v>019fdd97-d625-7f7a-ac41-267403695918</x:v>
      </x:c>
      <x:c r="B1739" s="50" t="str">
        <x:v>SHW</x:v>
      </x:c>
      <x:c r="C1739" s="70" t="n">
        <x:v>46241.79101079861</x:v>
      </x:c>
      <x:c r="D1739" s="50" t="str">
        <x:v>SWING_SETUP</x:v>
      </x:c>
      <x:c r="E1739" s="50" t="str">
        <x:v>SHW SWING SETUP</x:v>
      </x:c>
      <x:c r="F1739" s="50" t="str">
        <x:v>WATCH</x:v>
      </x:c>
      <x:c r="G1739" s="50"/>
      <x:c r="H1739" s="50" t="str">
        <x:v>LONG</x:v>
      </x:c>
      <x:c r="I1739" s="71" t="n">
        <x:v>368.335</x:v>
      </x:c>
      <x:c r="J1739" s="76" t="str">
        <x:v>SIP</x:v>
      </x:c>
    </x:row>
    <x:row r="1740">
      <x:c r="A1740" s="50" t="str">
        <x:v>019fdd97-d754-7d14-b551-e09b0aae470f</x:v>
      </x:c>
      <x:c r="B1740" s="50" t="str">
        <x:v>PM</x:v>
      </x:c>
      <x:c r="C1740" s="70" t="n">
        <x:v>46241.791014305556</x:v>
      </x:c>
      <x:c r="D1740" s="50" t="str">
        <x:v>SWING_SETUP</x:v>
      </x:c>
      <x:c r="E1740" s="50" t="str">
        <x:v>PM SWING SETUP</x:v>
      </x:c>
      <x:c r="F1740" s="50" t="str">
        <x:v>WATCH</x:v>
      </x:c>
      <x:c r="G1740" s="50"/>
      <x:c r="H1740" s="50" t="str">
        <x:v>LONG</x:v>
      </x:c>
      <x:c r="I1740" s="71" t="n">
        <x:v>189.27</x:v>
      </x:c>
      <x:c r="J1740" s="76" t="str">
        <x:v>SIP</x:v>
      </x:c>
    </x:row>
    <x:row r="1741">
      <x:c r="A1741" s="50" t="str">
        <x:v>019fdd97-d7b5-7311-ac6e-a28b17ea50fc</x:v>
      </x:c>
      <x:c r="B1741" s="50" t="str">
        <x:v>MMM</x:v>
      </x:c>
      <x:c r="C1741" s="70" t="n">
        <x:v>46241.79101542824</x:v>
      </x:c>
      <x:c r="D1741" s="50" t="str">
        <x:v>SWING_SETUP</x:v>
      </x:c>
      <x:c r="E1741" s="50" t="str">
        <x:v>MMM SWING SETUP</x:v>
      </x:c>
      <x:c r="F1741" s="50" t="str">
        <x:v>WATCH</x:v>
      </x:c>
      <x:c r="G1741" s="50"/>
      <x:c r="H1741" s="50" t="str">
        <x:v>LONG</x:v>
      </x:c>
      <x:c r="I1741" s="71" t="n">
        <x:v>183.01</x:v>
      </x:c>
      <x:c r="J1741" s="76" t="str">
        <x:v>SIP</x:v>
      </x:c>
    </x:row>
    <x:row r="1742">
      <x:c r="A1742" s="50" t="str">
        <x:v>019fdd97-d7bd-7574-a973-e104e58b8da6</x:v>
      </x:c>
      <x:c r="B1742" s="50" t="str">
        <x:v>ABT</x:v>
      </x:c>
      <x:c r="C1742" s="70" t="n">
        <x:v>46241.79101552083</x:v>
      </x:c>
      <x:c r="D1742" s="50" t="str">
        <x:v>SWING_SETUP</x:v>
      </x:c>
      <x:c r="E1742" s="50" t="str">
        <x:v>ABT SWING SETUP</x:v>
      </x:c>
      <x:c r="F1742" s="50" t="str">
        <x:v>WATCH</x:v>
      </x:c>
      <x:c r="G1742" s="50"/>
      <x:c r="H1742" s="50" t="str">
        <x:v>LONG</x:v>
      </x:c>
      <x:c r="I1742" s="71" t="n">
        <x:v>107.18</x:v>
      </x:c>
      <x:c r="J1742" s="76" t="str">
        <x:v>SIP</x:v>
      </x:c>
    </x:row>
    <x:row r="1743">
      <x:c r="A1743" s="50" t="str">
        <x:v>019fdd97-dabe-70bd-bdf6-74766b74a383</x:v>
      </x:c>
      <x:c r="B1743" s="50" t="str">
        <x:v>RCL</x:v>
      </x:c>
      <x:c r="C1743" s="70" t="n">
        <x:v>46241.7910244213</x:v>
      </x:c>
      <x:c r="D1743" s="50" t="str">
        <x:v>LONG_BUY_ZONE</x:v>
      </x:c>
      <x:c r="E1743" s="50" t="str">
        <x:v>RCL LONG BUY ZONE</x:v>
      </x:c>
      <x:c r="F1743" s="50" t="str">
        <x:v>WATCH</x:v>
      </x:c>
      <x:c r="G1743" s="50"/>
      <x:c r="H1743" s="50" t="str">
        <x:v>LONG</x:v>
      </x:c>
      <x:c r="I1743" s="71" t="n">
        <x:v>320.86</x:v>
      </x:c>
      <x:c r="J1743" s="76" t="str">
        <x:v>SIP</x:v>
      </x:c>
    </x:row>
    <x:row r="1744">
      <x:c r="A1744" s="50" t="str">
        <x:v>019fdd97-dba2-7308-81d2-33f87f80a7a1</x:v>
      </x:c>
      <x:c r="B1744" s="50" t="str">
        <x:v>RIOT</x:v>
      </x:c>
      <x:c r="C1744" s="70" t="n">
        <x:v>46241.791027060186</x:v>
      </x:c>
      <x:c r="D1744" s="50" t="str">
        <x:v>ENTRY_WATCH</x:v>
      </x:c>
      <x:c r="E1744" s="50" t="str">
        <x:v>RIOT ENTRY BREAKAWAY WATCH</x:v>
      </x:c>
      <x:c r="F1744" s="50" t="str">
        <x:v>WATCH</x:v>
      </x:c>
      <x:c r="G1744" s="50"/>
      <x:c r="H1744" s="50" t="str">
        <x:v>LONG</x:v>
      </x:c>
      <x:c r="I1744" s="71" t="n">
        <x:v>20.64</x:v>
      </x:c>
      <x:c r="J1744" s="76" t="str">
        <x:v>SIP</x:v>
      </x:c>
    </x:row>
    <x:row r="1745">
      <x:c r="A1745" s="50" t="str">
        <x:v>019fdd98-c084-739b-a360-4b226d0dc75f</x:v>
      </x:c>
      <x:c r="B1745" s="50" t="str">
        <x:v>RIOT</x:v>
      </x:c>
      <x:c r="C1745" s="70" t="n">
        <x:v>46241.79170523148</x:v>
      </x:c>
      <x:c r="D1745" s="50" t="str">
        <x:v>ENTRY_WATCH</x:v>
      </x:c>
      <x:c r="E1745" s="50" t="str">
        <x:v>RIOT ENTRY IN_ZONE EARLY WATCH</x:v>
      </x:c>
      <x:c r="F1745" s="50" t="str">
        <x:v>WATCH</x:v>
      </x:c>
      <x:c r="G1745" s="50"/>
      <x:c r="H1745" s="50" t="str">
        <x:v>LONG</x:v>
      </x:c>
      <x:c r="I1745" s="71" t="n">
        <x:v>20.61</x:v>
      </x:c>
      <x:c r="J1745" s="76" t="str">
        <x:v>SIP</x:v>
      </x:c>
    </x:row>
    <x:row r="1746">
      <x:c r="A1746" s="50" t="str">
        <x:v>019fdd98-c225-7918-bea4-3124da8c470d</x:v>
      </x:c>
      <x:c r="B1746" s="50" t="str">
        <x:v>ECL</x:v>
      </x:c>
      <x:c r="C1746" s="70" t="n">
        <x:v>46241.79171005787</x:v>
      </x:c>
      <x:c r="D1746" s="50" t="str">
        <x:v>SWING_SETUP</x:v>
      </x:c>
      <x:c r="E1746" s="50" t="str">
        <x:v>ECL SWING SETUP</x:v>
      </x:c>
      <x:c r="F1746" s="50" t="str">
        <x:v>WATCH</x:v>
      </x:c>
      <x:c r="G1746" s="50"/>
      <x:c r="H1746" s="50" t="str">
        <x:v>LONG</x:v>
      </x:c>
      <x:c r="I1746" s="71" t="n">
        <x:v>284.14</x:v>
      </x:c>
      <x:c r="J1746" s="76" t="str">
        <x:v>SIP</x:v>
      </x:c>
    </x:row>
    <x:row r="1747">
      <x:c r="A1747" s="50" t="str">
        <x:v>019fdd99-acbc-7427-a98d-7b5f96042d92</x:v>
      </x:c>
      <x:c r="B1747" s="50" t="str">
        <x:v>SCHW</x:v>
      </x:c>
      <x:c r="C1747" s="70" t="n">
        <x:v>46241.79240513889</x:v>
      </x:c>
      <x:c r="D1747" s="50" t="str">
        <x:v>SWING_SETUP</x:v>
      </x:c>
      <x:c r="E1747" s="50" t="str">
        <x:v>SCHW SWING SETUP</x:v>
      </x:c>
      <x:c r="F1747" s="50" t="str">
        <x:v>WATCH</x:v>
      </x:c>
      <x:c r="G1747" s="50"/>
      <x:c r="H1747" s="50" t="str">
        <x:v>LONG</x:v>
      </x:c>
      <x:c r="I1747" s="71" t="n">
        <x:v>107.41</x:v>
      </x:c>
      <x:c r="J1747" s="76" t="str">
        <x:v>SIP</x:v>
      </x:c>
    </x:row>
    <x:row r="1748">
      <x:c r="A1748" s="50" t="str">
        <x:v>019fdd99-ae29-7f26-9d61-c188b2d34305</x:v>
      </x:c>
      <x:c r="B1748" s="50" t="str">
        <x:v>ACHV</x:v>
      </x:c>
      <x:c r="C1748" s="70" t="n">
        <x:v>46241.79240936343</x:v>
      </x:c>
      <x:c r="D1748" s="50" t="str">
        <x:v>SWING_SETUP</x:v>
      </x:c>
      <x:c r="E1748" s="50" t="str">
        <x:v>ACHV SWING SETUP</x:v>
      </x:c>
      <x:c r="F1748" s="50" t="str">
        <x:v>WATCH</x:v>
      </x:c>
      <x:c r="G1748" s="50"/>
      <x:c r="H1748" s="50" t="str">
        <x:v>LONG</x:v>
      </x:c>
      <x:c r="I1748" s="71" t="n">
        <x:v>6.555</x:v>
      </x:c>
      <x:c r="J1748" s="76" t="str">
        <x:v>SIP</x:v>
      </x:c>
    </x:row>
    <x:row r="1749">
      <x:c r="A1749" s="50" t="str">
        <x:v>019fdd99-af12-7312-b5c6-348bfae08bb1</x:v>
      </x:c>
      <x:c r="B1749" s="50" t="str">
        <x:v>GRAB</x:v>
      </x:c>
      <x:c r="C1749" s="70" t="n">
        <x:v>46241.79241206018</x:v>
      </x:c>
      <x:c r="D1749" s="50" t="str">
        <x:v>SWING_SETUP</x:v>
      </x:c>
      <x:c r="E1749" s="50" t="str">
        <x:v>GRAB SWING SETUP</x:v>
      </x:c>
      <x:c r="F1749" s="50" t="str">
        <x:v>WATCH</x:v>
      </x:c>
      <x:c r="G1749" s="50"/>
      <x:c r="H1749" s="50" t="str">
        <x:v>LONG</x:v>
      </x:c>
      <x:c r="I1749" s="71" t="n">
        <x:v>3.665</x:v>
      </x:c>
      <x:c r="J1749" s="76" t="str">
        <x:v>SIP</x:v>
      </x:c>
    </x:row>
    <x:row r="1750">
      <x:c r="A1750" s="50" t="str">
        <x:v>019fdd99-af7e-7bc0-a1a6-55bb19325f43</x:v>
      </x:c>
      <x:c r="B1750" s="50" t="str">
        <x:v>DE</x:v>
      </x:c>
      <x:c r="C1750" s="70" t="n">
        <x:v>46241.792413310184</x:v>
      </x:c>
      <x:c r="D1750" s="50" t="str">
        <x:v>SWING_SETUP</x:v>
      </x:c>
      <x:c r="E1750" s="50" t="str">
        <x:v>DE SWING SETUP</x:v>
      </x:c>
      <x:c r="F1750" s="50" t="str">
        <x:v>WATCH</x:v>
      </x:c>
      <x:c r="G1750" s="50"/>
      <x:c r="H1750" s="50" t="str">
        <x:v>LONG</x:v>
      </x:c>
      <x:c r="I1750" s="71" t="n">
        <x:v>622.75</x:v>
      </x:c>
      <x:c r="J1750" s="76" t="str">
        <x:v>SIP</x:v>
      </x:c>
    </x:row>
    <x:row r="1751">
      <x:c r="A1751" s="50" t="str">
        <x:v>019fdd99-b1a0-7211-a92c-d1ba6cf0b3ac</x:v>
      </x:c>
      <x:c r="B1751" s="50" t="str">
        <x:v>RTX</x:v>
      </x:c>
      <x:c r="C1751" s="70" t="n">
        <x:v>46241.79241962963</x:v>
      </x:c>
      <x:c r="D1751" s="50" t="str">
        <x:v>SWING_SETUP</x:v>
      </x:c>
      <x:c r="E1751" s="50" t="str">
        <x:v>RTX SWING SETUP</x:v>
      </x:c>
      <x:c r="F1751" s="50" t="str">
        <x:v>WATCH</x:v>
      </x:c>
      <x:c r="G1751" s="50"/>
      <x:c r="H1751" s="50" t="str">
        <x:v>LONG</x:v>
      </x:c>
      <x:c r="I1751" s="71" t="n">
        <x:v>222.48</x:v>
      </x:c>
      <x:c r="J1751" s="76" t="str">
        <x:v>SIP</x:v>
      </x:c>
    </x:row>
    <x:row r="1752">
      <x:c r="A1752" s="50" t="str">
        <x:v>019fdd9a-9621-79c6-b367-4ec0ced66de5</x:v>
      </x:c>
      <x:c r="B1752" s="50" t="str">
        <x:v>ONTO</x:v>
      </x:c>
      <x:c r="C1752" s="70" t="n">
        <x:v>46241.793096678244</x:v>
      </x:c>
      <x:c r="D1752" s="50" t="str">
        <x:v>SWING_SETUP</x:v>
      </x:c>
      <x:c r="E1752" s="50" t="str">
        <x:v>ONTO SWING SETUP</x:v>
      </x:c>
      <x:c r="F1752" s="50" t="str">
        <x:v>WATCH</x:v>
      </x:c>
      <x:c r="G1752" s="50"/>
      <x:c r="H1752" s="50" t="str">
        <x:v>LONG</x:v>
      </x:c>
      <x:c r="I1752" s="71" t="n">
        <x:v>302.4175</x:v>
      </x:c>
      <x:c r="J1752" s="76" t="str">
        <x:v>SIP</x:v>
      </x:c>
    </x:row>
    <x:row r="1753">
      <x:c r="A1753" s="50" t="str">
        <x:v>019fdd9a-9802-73db-9fc4-600627c9f5ee</x:v>
      </x:c>
      <x:c r="B1753" s="50" t="str">
        <x:v>CROX</x:v>
      </x:c>
      <x:c r="C1753" s="70" t="n">
        <x:v>46241.79310224537</x:v>
      </x:c>
      <x:c r="D1753" s="50" t="str">
        <x:v>SWING_SETUP</x:v>
      </x:c>
      <x:c r="E1753" s="50" t="str">
        <x:v>CROX SWING SETUP</x:v>
      </x:c>
      <x:c r="F1753" s="50" t="str">
        <x:v>WATCH</x:v>
      </x:c>
      <x:c r="G1753" s="50"/>
      <x:c r="H1753" s="50" t="str">
        <x:v>LONG</x:v>
      </x:c>
      <x:c r="I1753" s="71" t="n">
        <x:v>137.96</x:v>
      </x:c>
      <x:c r="J1753" s="76" t="str">
        <x:v>SIP</x:v>
      </x:c>
    </x:row>
    <x:row r="1754">
      <x:c r="A1754" s="50" t="str">
        <x:v>019fdd9a-9adf-7b48-bd2f-28ff1837190b</x:v>
      </x:c>
      <x:c r="B1754" s="50" t="str">
        <x:v>XOM</x:v>
      </x:c>
      <x:c r="C1754" s="70" t="n">
        <x:v>46241.79311071759</x:v>
      </x:c>
      <x:c r="D1754" s="50" t="str">
        <x:v>ENTRY_WATCH</x:v>
      </x:c>
      <x:c r="E1754" s="50" t="str">
        <x:v>XOM ENTRY IN_ZONE EARLY WATCH</x:v>
      </x:c>
      <x:c r="F1754" s="50" t="str">
        <x:v>WATCH</x:v>
      </x:c>
      <x:c r="G1754" s="50"/>
      <x:c r="H1754" s="50" t="str">
        <x:v>LONG</x:v>
      </x:c>
      <x:c r="I1754" s="71" t="n">
        <x:v>152.39</x:v>
      </x:c>
      <x:c r="J1754" s="76" t="str">
        <x:v>SIP</x:v>
      </x:c>
    </x:row>
    <x:row r="1755">
      <x:c r="A1755" s="50" t="str">
        <x:v>019fdd9a-9c34-7f52-a6fe-463c239168a2</x:v>
      </x:c>
      <x:c r="B1755" s="50" t="str">
        <x:v>XOM</x:v>
      </x:c>
      <x:c r="C1755" s="70" t="n">
        <x:v>46241.79311467593</x:v>
      </x:c>
      <x:c r="D1755" s="50" t="str">
        <x:v>LONG_BUY_ZONE</x:v>
      </x:c>
      <x:c r="E1755" s="50" t="str">
        <x:v>XOM LONG BUY ZONE</x:v>
      </x:c>
      <x:c r="F1755" s="50" t="str">
        <x:v>WATCH</x:v>
      </x:c>
      <x:c r="G1755" s="50"/>
      <x:c r="H1755" s="50" t="str">
        <x:v>LONG</x:v>
      </x:c>
      <x:c r="I1755" s="71" t="n">
        <x:v>152.39</x:v>
      </x:c>
      <x:c r="J1755" s="76" t="str">
        <x:v>SIP</x:v>
      </x:c>
    </x:row>
    <x:row r="1756">
      <x:c r="A1756" s="50" t="str">
        <x:v>019fdd9b-7e0f-75b0-bdd9-765fcb6166b4</x:v>
      </x:c>
      <x:c r="B1756" s="50" t="str">
        <x:v>WFC</x:v>
      </x:c>
      <x:c r="C1756" s="70" t="n">
        <x:v>46241.793783877314</x:v>
      </x:c>
      <x:c r="D1756" s="50" t="str">
        <x:v>SWING_SETUP</x:v>
      </x:c>
      <x:c r="E1756" s="50" t="str">
        <x:v>WFC SWING SETUP</x:v>
      </x:c>
      <x:c r="F1756" s="50" t="str">
        <x:v>WATCH</x:v>
      </x:c>
      <x:c r="G1756" s="50"/>
      <x:c r="H1756" s="50" t="str">
        <x:v>LONG</x:v>
      </x:c>
      <x:c r="I1756" s="71" t="n">
        <x:v>87.12</x:v>
      </x:c>
      <x:c r="J1756" s="76" t="str">
        <x:v>SIP</x:v>
      </x:c>
    </x:row>
    <x:row r="1757">
      <x:c r="A1757" s="50" t="str">
        <x:v>019fdd9b-7e5a-77cf-adf4-b690c8f91859</x:v>
      </x:c>
      <x:c r="B1757" s="50" t="str">
        <x:v>AMGN</x:v>
      </x:c>
      <x:c r="C1757" s="70" t="n">
        <x:v>46241.79378474537</x:v>
      </x:c>
      <x:c r="D1757" s="50" t="str">
        <x:v>SWING_SETUP</x:v>
      </x:c>
      <x:c r="E1757" s="50" t="str">
        <x:v>AMGN SWING SETUP</x:v>
      </x:c>
      <x:c r="F1757" s="50" t="str">
        <x:v>WATCH</x:v>
      </x:c>
      <x:c r="G1757" s="50"/>
      <x:c r="H1757" s="50" t="str">
        <x:v>LONG</x:v>
      </x:c>
      <x:c r="I1757" s="71" t="n">
        <x:v>408.01</x:v>
      </x:c>
      <x:c r="J1757" s="76" t="str">
        <x:v>SIP</x:v>
      </x:c>
    </x:row>
    <x:row r="1758">
      <x:c r="A1758" s="50" t="str">
        <x:v>019fdd9b-7e83-7b78-ad97-0ec5f80685d2</x:v>
      </x:c>
      <x:c r="B1758" s="50" t="str">
        <x:v>BABA</x:v>
      </x:c>
      <x:c r="C1758" s="70" t="n">
        <x:v>46241.79378521991</x:v>
      </x:c>
      <x:c r="D1758" s="50" t="str">
        <x:v>SWING_SETUP</x:v>
      </x:c>
      <x:c r="E1758" s="50" t="str">
        <x:v>BABA SWING SETUP</x:v>
      </x:c>
      <x:c r="F1758" s="50" t="str">
        <x:v>WATCH</x:v>
      </x:c>
      <x:c r="G1758" s="50"/>
      <x:c r="H1758" s="50" t="str">
        <x:v>LONG</x:v>
      </x:c>
      <x:c r="I1758" s="71" t="n">
        <x:v>128.34</x:v>
      </x:c>
      <x:c r="J1758" s="76" t="str">
        <x:v>SIP</x:v>
      </x:c>
    </x:row>
    <x:row r="1759">
      <x:c r="A1759" s="50" t="str">
        <x:v>019fdd9b-7eb7-7db5-9f3a-100a2823c555</x:v>
      </x:c>
      <x:c r="B1759" s="50" t="str">
        <x:v>BLFS</x:v>
      </x:c>
      <x:c r="C1759" s="70" t="n">
        <x:v>46241.79378582176</x:v>
      </x:c>
      <x:c r="D1759" s="50" t="str">
        <x:v>SWING_SETUP</x:v>
      </x:c>
      <x:c r="E1759" s="50" t="str">
        <x:v>BLFS SWING SETUP</x:v>
      </x:c>
      <x:c r="F1759" s="50" t="str">
        <x:v>WATCH</x:v>
      </x:c>
      <x:c r="G1759" s="50"/>
      <x:c r="H1759" s="50" t="str">
        <x:v>LONG</x:v>
      </x:c>
      <x:c r="I1759" s="71" t="n">
        <x:v>34.53</x:v>
      </x:c>
      <x:c r="J1759" s="76" t="str">
        <x:v>SIP</x:v>
      </x:c>
    </x:row>
    <x:row r="1760">
      <x:c r="A1760" s="50" t="str">
        <x:v>019fdd9b-7fd8-7a79-bcf7-fa0b019c75b5</x:v>
      </x:c>
      <x:c r="B1760" s="50" t="str">
        <x:v>TGT</x:v>
      </x:c>
      <x:c r="C1760" s="70" t="n">
        <x:v>46241.793789166666</x:v>
      </x:c>
      <x:c r="D1760" s="50" t="str">
        <x:v>SWING_SETUP</x:v>
      </x:c>
      <x:c r="E1760" s="50" t="str">
        <x:v>TGT SWING SETUP</x:v>
      </x:c>
      <x:c r="F1760" s="50" t="str">
        <x:v>WATCH</x:v>
      </x:c>
      <x:c r="G1760" s="50"/>
      <x:c r="H1760" s="50" t="str">
        <x:v>LONG</x:v>
      </x:c>
      <x:c r="I1760" s="71" t="n">
        <x:v>148.715</x:v>
      </x:c>
      <x:c r="J1760" s="76" t="str">
        <x:v>SIP</x:v>
      </x:c>
    </x:row>
    <x:row r="1761">
      <x:c r="A1761" s="50" t="str">
        <x:v>019fdd9b-7ff5-7d4b-adf7-1f33ba4e4abb</x:v>
      </x:c>
      <x:c r="B1761" s="50" t="str">
        <x:v>OXY</x:v>
      </x:c>
      <x:c r="C1761" s="70" t="n">
        <x:v>46241.79378950231</x:v>
      </x:c>
      <x:c r="D1761" s="50" t="str">
        <x:v>LONG_BUY_ZONE</x:v>
      </x:c>
      <x:c r="E1761" s="50" t="str">
        <x:v>OXY LONG BUY ZONE</x:v>
      </x:c>
      <x:c r="F1761" s="50" t="str">
        <x:v>WATCH</x:v>
      </x:c>
      <x:c r="G1761" s="50"/>
      <x:c r="H1761" s="50" t="str">
        <x:v>LONG</x:v>
      </x:c>
      <x:c r="I1761" s="71" t="n">
        <x:v>55.94</x:v>
      </x:c>
      <x:c r="J1761" s="76" t="str">
        <x:v>SIP</x:v>
      </x:c>
    </x:row>
    <x:row r="1762">
      <x:c r="A1762" s="50" t="str">
        <x:v>019fdd9b-828b-7d35-aeee-e42a41f06842</x:v>
      </x:c>
      <x:c r="B1762" s="50" t="str">
        <x:v>VZ</x:v>
      </x:c>
      <x:c r="C1762" s="70" t="n">
        <x:v>46241.79379715278</x:v>
      </x:c>
      <x:c r="D1762" s="50" t="str">
        <x:v>LONG_BUY_ZONE</x:v>
      </x:c>
      <x:c r="E1762" s="50" t="str">
        <x:v>VZ LONG BUY ZONE</x:v>
      </x:c>
      <x:c r="F1762" s="50" t="str">
        <x:v>WATCH</x:v>
      </x:c>
      <x:c r="G1762" s="50"/>
      <x:c r="H1762" s="50" t="str">
        <x:v>LONG</x:v>
      </x:c>
      <x:c r="I1762" s="71" t="n">
        <x:v>46.915</x:v>
      </x:c>
      <x:c r="J1762" s="76" t="str">
        <x:v>SIP</x:v>
      </x:c>
    </x:row>
    <x:row r="1763">
      <x:c r="A1763" s="50" t="str">
        <x:v>019fdd9e-3c61-75c4-afa4-7989339b0670</x:v>
      </x:c>
      <x:c r="B1763" s="50" t="str">
        <x:v>MRK</x:v>
      </x:c>
      <x:c r="C1763" s="70" t="n">
        <x:v>46241.79586482639</x:v>
      </x:c>
      <x:c r="D1763" s="50" t="str">
        <x:v>SWING_SETUP</x:v>
      </x:c>
      <x:c r="E1763" s="50" t="str">
        <x:v>MRK SWING SETUP</x:v>
      </x:c>
      <x:c r="F1763" s="50" t="str">
        <x:v>WATCH</x:v>
      </x:c>
      <x:c r="G1763" s="50"/>
      <x:c r="H1763" s="50" t="str">
        <x:v>LONG</x:v>
      </x:c>
      <x:c r="I1763" s="71" t="n">
        <x:v>128.31</x:v>
      </x:c>
      <x:c r="J1763" s="76" t="str">
        <x:v>SIP</x:v>
      </x:c>
    </x:row>
    <x:row r="1764">
      <x:c r="A1764" s="50" t="str">
        <x:v>019fdd9e-4130-7c6e-b6e7-169ab0843758</x:v>
      </x:c>
      <x:c r="B1764" s="50" t="str">
        <x:v>AMZN</x:v>
      </x:c>
      <x:c r="C1764" s="70" t="n">
        <x:v>46241.795879074074</x:v>
      </x:c>
      <x:c r="D1764" s="50" t="str">
        <x:v>SWING_SETUP</x:v>
      </x:c>
      <x:c r="E1764" s="50" t="str">
        <x:v>AMZN SWING SETUP</x:v>
      </x:c>
      <x:c r="F1764" s="50" t="str">
        <x:v>WATCH</x:v>
      </x:c>
      <x:c r="G1764" s="50"/>
      <x:c r="H1764" s="50" t="str">
        <x:v>LONG</x:v>
      </x:c>
      <x:c r="I1764" s="71" t="n">
        <x:v>274.41</x:v>
      </x:c>
      <x:c r="J1764" s="76" t="str">
        <x:v>SIP</x:v>
      </x:c>
    </x:row>
    <x:row r="1765">
      <x:c r="A1765" s="50" t="str">
        <x:v>019fdd9e-45cf-7c37-90a8-3e3fcfac06bf</x:v>
      </x:c>
      <x:c r="B1765" s="50" t="str">
        <x:v>KDP</x:v>
      </x:c>
      <x:c r="C1765" s="70" t="n">
        <x:v>46241.795892766204</x:v>
      </x:c>
      <x:c r="D1765" s="50" t="str">
        <x:v>LONG_BUY_ZONE</x:v>
      </x:c>
      <x:c r="E1765" s="50" t="str">
        <x:v>KDP LONG BUY ZONE</x:v>
      </x:c>
      <x:c r="F1765" s="50" t="str">
        <x:v>WATCH</x:v>
      </x:c>
      <x:c r="G1765" s="50"/>
      <x:c r="H1765" s="50" t="str">
        <x:v>LONG</x:v>
      </x:c>
      <x:c r="I1765" s="71" t="n">
        <x:v>30.095</x:v>
      </x:c>
      <x:c r="J1765" s="76" t="str">
        <x:v>SIP</x:v>
      </x:c>
    </x:row>
    <x:row r="1766">
      <x:c r="A1766" s="50" t="str">
        <x:v>019fdd9e-485d-713e-8800-4b16141b8c89</x:v>
      </x:c>
      <x:c r="B1766" s="50" t="str">
        <x:v>DE</x:v>
      </x:c>
      <x:c r="C1766" s="70" t="n">
        <x:v>46241.795900335645</x:v>
      </x:c>
      <x:c r="D1766" s="50" t="str">
        <x:v>LONG_BUY_ZONE</x:v>
      </x:c>
      <x:c r="E1766" s="50" t="str">
        <x:v>DE LONG BUY ZONE</x:v>
      </x:c>
      <x:c r="F1766" s="50" t="str">
        <x:v>WATCH</x:v>
      </x:c>
      <x:c r="G1766" s="50"/>
      <x:c r="H1766" s="50" t="str">
        <x:v>LONG</x:v>
      </x:c>
      <x:c r="I1766" s="71" t="n">
        <x:v>622.695</x:v>
      </x:c>
      <x:c r="J1766" s="76" t="str">
        <x:v>SIP</x:v>
      </x:c>
    </x:row>
    <x:row r="1767">
      <x:c r="A1767" s="50" t="str">
        <x:v>019fdd9f-2671-7253-ab76-388c9d77eab6</x:v>
      </x:c>
      <x:c r="B1767" s="50" t="str">
        <x:v>ABNB</x:v>
      </x:c>
      <x:c r="C1767" s="70" t="n">
        <x:v>46241.796558344904</x:v>
      </x:c>
      <x:c r="D1767" s="50" t="str">
        <x:v>SWING_SETUP</x:v>
      </x:c>
      <x:c r="E1767" s="50" t="str">
        <x:v>ABNB SWING SETUP</x:v>
      </x:c>
      <x:c r="F1767" s="50" t="str">
        <x:v>WATCH</x:v>
      </x:c>
      <x:c r="G1767" s="50"/>
      <x:c r="H1767" s="50" t="str">
        <x:v>LONG</x:v>
      </x:c>
      <x:c r="I1767" s="71" t="n">
        <x:v>174.89</x:v>
      </x:c>
      <x:c r="J1767" s="76" t="str">
        <x:v>SIP</x:v>
      </x:c>
    </x:row>
    <x:row r="1768">
      <x:c r="A1768" s="50" t="str">
        <x:v>019fdd9f-29d9-77ed-80ed-19224ed62c3b</x:v>
      </x:c>
      <x:c r="B1768" s="50" t="str">
        <x:v>SNOW</x:v>
      </x:c>
      <x:c r="C1768" s="70" t="n">
        <x:v>46241.7965684375</x:v>
      </x:c>
      <x:c r="D1768" s="50" t="str">
        <x:v>SWING_SETUP</x:v>
      </x:c>
      <x:c r="E1768" s="50" t="str">
        <x:v>SNOW SWING SETUP</x:v>
      </x:c>
      <x:c r="F1768" s="50" t="str">
        <x:v>WATCH</x:v>
      </x:c>
      <x:c r="G1768" s="50"/>
      <x:c r="H1768" s="50" t="str">
        <x:v>LONG</x:v>
      </x:c>
      <x:c r="I1768" s="71" t="n">
        <x:v>326.105</x:v>
      </x:c>
      <x:c r="J1768" s="76" t="str">
        <x:v>SIP</x:v>
      </x:c>
    </x:row>
    <x:row r="1769">
      <x:c r="A1769" s="50" t="str">
        <x:v>019fdd9f-2b16-7f2b-8d2a-91eba903aca0</x:v>
      </x:c>
      <x:c r="B1769" s="50" t="str">
        <x:v>RDW</x:v>
      </x:c>
      <x:c r="C1769" s="70" t="n">
        <x:v>46241.79657210648</x:v>
      </x:c>
      <x:c r="D1769" s="50" t="str">
        <x:v>SWING_SETUP</x:v>
      </x:c>
      <x:c r="E1769" s="50" t="str">
        <x:v>RDW SWING SETUP</x:v>
      </x:c>
      <x:c r="F1769" s="50" t="str">
        <x:v>WATCH</x:v>
      </x:c>
      <x:c r="G1769" s="50"/>
      <x:c r="H1769" s="50" t="str">
        <x:v>LONG</x:v>
      </x:c>
      <x:c r="I1769" s="71" t="n">
        <x:v>13.475</x:v>
      </x:c>
      <x:c r="J1769" s="76" t="str">
        <x:v>SIP</x:v>
      </x:c>
    </x:row>
    <x:row r="1770">
      <x:c r="A1770" s="50" t="str">
        <x:v>019fdd9f-3003-7226-9d13-14d8a204631b</x:v>
      </x:c>
      <x:c r="B1770" s="50" t="str">
        <x:v>RIOT</x:v>
      </x:c>
      <x:c r="C1770" s="70" t="n">
        <x:v>46241.79658670139</x:v>
      </x:c>
      <x:c r="D1770" s="50" t="str">
        <x:v>ENTRY_WATCH</x:v>
      </x:c>
      <x:c r="E1770" s="50" t="str">
        <x:v>RIOT ENTRY BREAKAWAY WATCH</x:v>
      </x:c>
      <x:c r="F1770" s="50" t="str">
        <x:v>WATCH</x:v>
      </x:c>
      <x:c r="G1770" s="50"/>
      <x:c r="H1770" s="50" t="str">
        <x:v>LONG</x:v>
      </x:c>
      <x:c r="I1770" s="71" t="n">
        <x:v>20.635</x:v>
      </x:c>
      <x:c r="J1770" s="76" t="str">
        <x:v>SIP</x:v>
      </x:c>
    </x:row>
    <x:row r="1771">
      <x:c r="A1771" s="50" t="str">
        <x:v>019fdda0-1410-7135-8f4b-7ec4e3e040ee</x:v>
      </x:c>
      <x:c r="B1771" s="50" t="str">
        <x:v>NOC</x:v>
      </x:c>
      <x:c r="C1771" s="70" t="n">
        <x:v>46241.79726240741</x:v>
      </x:c>
      <x:c r="D1771" s="50" t="str">
        <x:v>SWING_SETUP</x:v>
      </x:c>
      <x:c r="E1771" s="50" t="str">
        <x:v>NOC SWING SETUP</x:v>
      </x:c>
      <x:c r="F1771" s="50" t="str">
        <x:v>WATCH</x:v>
      </x:c>
      <x:c r="G1771" s="50"/>
      <x:c r="H1771" s="50" t="str">
        <x:v>LONG</x:v>
      </x:c>
      <x:c r="I1771" s="71" t="n">
        <x:v>570.12</x:v>
      </x:c>
      <x:c r="J1771" s="76" t="str">
        <x:v>SIP</x:v>
      </x:c>
    </x:row>
    <x:row r="1772">
      <x:c r="A1772" s="50" t="str">
        <x:v>019fdda0-142d-769b-85d5-2080c266b6e9</x:v>
      </x:c>
      <x:c r="B1772" s="50" t="str">
        <x:v>PSX</x:v>
      </x:c>
      <x:c r="C1772" s="70" t="n">
        <x:v>46241.79726274306</x:v>
      </x:c>
      <x:c r="D1772" s="50" t="str">
        <x:v>SWING_SETUP</x:v>
      </x:c>
      <x:c r="E1772" s="50" t="str">
        <x:v>PSX SWING SETUP</x:v>
      </x:c>
      <x:c r="F1772" s="50" t="str">
        <x:v>WATCH</x:v>
      </x:c>
      <x:c r="G1772" s="50"/>
      <x:c r="H1772" s="50" t="str">
        <x:v>LONG</x:v>
      </x:c>
      <x:c r="I1772" s="71" t="n">
        <x:v>203.985</x:v>
      </x:c>
      <x:c r="J1772" s="76" t="str">
        <x:v>SIP</x:v>
      </x:c>
    </x:row>
    <x:row r="1773">
      <x:c r="A1773" s="50" t="str">
        <x:v>019fdda1-058c-7d3d-9ec8-01df7ac9ba40</x:v>
      </x:c>
      <x:c r="B1773" s="50" t="str">
        <x:v>APH</x:v>
      </x:c>
      <x:c r="C1773" s="70" t="n">
        <x:v>46241.79797791666</x:v>
      </x:c>
      <x:c r="D1773" s="50" t="str">
        <x:v>LONG_BUY_ZONE</x:v>
      </x:c>
      <x:c r="E1773" s="50" t="str">
        <x:v>APH LONG BUY ZONE</x:v>
      </x:c>
      <x:c r="F1773" s="50" t="str">
        <x:v>WATCH</x:v>
      </x:c>
      <x:c r="G1773" s="50"/>
      <x:c r="H1773" s="50" t="str">
        <x:v>LONG</x:v>
      </x:c>
      <x:c r="I1773" s="71" t="n">
        <x:v>169.1</x:v>
      </x:c>
      <x:c r="J1773" s="76" t="str">
        <x:v>SIP</x:v>
      </x:c>
    </x:row>
    <x:row r="1774">
      <x:c r="A1774" s="50" t="str">
        <x:v>019fdda1-e8bb-76ae-a938-0d5cec868eff</x:v>
      </x:c>
      <x:c r="B1774" s="50" t="str">
        <x:v>INTU</x:v>
      </x:c>
      <x:c r="C1774" s="70" t="n">
        <x:v>46241.79865105324</x:v>
      </x:c>
      <x:c r="D1774" s="50" t="str">
        <x:v>SWING_SETUP</x:v>
      </x:c>
      <x:c r="E1774" s="50" t="str">
        <x:v>INTU SWING SETUP</x:v>
      </x:c>
      <x:c r="F1774" s="50" t="str">
        <x:v>WATCH</x:v>
      </x:c>
      <x:c r="G1774" s="50"/>
      <x:c r="H1774" s="50" t="str">
        <x:v>LONG</x:v>
      </x:c>
      <x:c r="I1774" s="71" t="n">
        <x:v>325.31</x:v>
      </x:c>
      <x:c r="J1774" s="76" t="str">
        <x:v>SIP</x:v>
      </x:c>
    </x:row>
    <x:row r="1775">
      <x:c r="A1775" s="50" t="str">
        <x:v>019fdda1-e9d1-74cf-bd4d-4487676cf45f</x:v>
      </x:c>
      <x:c r="B1775" s="50" t="str">
        <x:v>COP</x:v>
      </x:c>
      <x:c r="C1775" s="70" t="n">
        <x:v>46241.79865427083</x:v>
      </x:c>
      <x:c r="D1775" s="50" t="str">
        <x:v>SWING_SETUP</x:v>
      </x:c>
      <x:c r="E1775" s="50" t="str">
        <x:v>COP SWING SETUP</x:v>
      </x:c>
      <x:c r="F1775" s="50" t="str">
        <x:v>WATCH</x:v>
      </x:c>
      <x:c r="G1775" s="50"/>
      <x:c r="H1775" s="50" t="str">
        <x:v>LONG</x:v>
      </x:c>
      <x:c r="I1775" s="71" t="n">
        <x:v>117.77</x:v>
      </x:c>
      <x:c r="J1775" s="76" t="str">
        <x:v>SIP</x:v>
      </x:c>
    </x:row>
    <x:row r="1776">
      <x:c r="A1776" s="50" t="str">
        <x:v>019fdda1-e9f1-76ed-a1be-1c087af19d07</x:v>
      </x:c>
      <x:c r="B1776" s="50" t="str">
        <x:v>SBUX</x:v>
      </x:c>
      <x:c r="C1776" s="70" t="n">
        <x:v>46241.79865464121</x:v>
      </x:c>
      <x:c r="D1776" s="50" t="str">
        <x:v>SWING_SETUP</x:v>
      </x:c>
      <x:c r="E1776" s="50" t="str">
        <x:v>SBUX SWING SETUP</x:v>
      </x:c>
      <x:c r="F1776" s="50" t="str">
        <x:v>WATCH</x:v>
      </x:c>
      <x:c r="G1776" s="50"/>
      <x:c r="H1776" s="50" t="str">
        <x:v>LONG</x:v>
      </x:c>
      <x:c r="I1776" s="71" t="n">
        <x:v>106.47</x:v>
      </x:c>
      <x:c r="J1776" s="76" t="str">
        <x:v>SIP</x:v>
      </x:c>
    </x:row>
    <x:row r="1777">
      <x:c r="A1777" s="50" t="str">
        <x:v>019fdda1-e9ff-7c1f-8563-03ac04832849</x:v>
      </x:c>
      <x:c r="B1777" s="50" t="str">
        <x:v>MDLZ</x:v>
      </x:c>
      <x:c r="C1777" s="70" t="n">
        <x:v>46241.79865480324</x:v>
      </x:c>
      <x:c r="D1777" s="50" t="str">
        <x:v>SWING_SETUP</x:v>
      </x:c>
      <x:c r="E1777" s="50" t="str">
        <x:v>MDLZ SWING SETUP</x:v>
      </x:c>
      <x:c r="F1777" s="50" t="str">
        <x:v>WATCH</x:v>
      </x:c>
      <x:c r="G1777" s="50"/>
      <x:c r="H1777" s="50" t="str">
        <x:v>LONG</x:v>
      </x:c>
      <x:c r="I1777" s="71" t="n">
        <x:v>62.74</x:v>
      </x:c>
      <x:c r="J1777" s="76" t="str">
        <x:v>SIP</x:v>
      </x:c>
    </x:row>
    <x:row r="1778">
      <x:c r="A1778" s="50" t="str">
        <x:v>019fdda1-ea07-75f4-be7a-99e3f0ed84bd</x:v>
      </x:c>
      <x:c r="B1778" s="50" t="str">
        <x:v>VZ</x:v>
      </x:c>
      <x:c r="C1778" s="70" t="n">
        <x:v>46241.798654895836</x:v>
      </x:c>
      <x:c r="D1778" s="50" t="str">
        <x:v>SWING_SETUP</x:v>
      </x:c>
      <x:c r="E1778" s="50" t="str">
        <x:v>VZ SWING SETUP</x:v>
      </x:c>
      <x:c r="F1778" s="50" t="str">
        <x:v>WATCH</x:v>
      </x:c>
      <x:c r="G1778" s="50"/>
      <x:c r="H1778" s="50" t="str">
        <x:v>LONG</x:v>
      </x:c>
      <x:c r="I1778" s="71" t="n">
        <x:v>46.885</x:v>
      </x:c>
      <x:c r="J1778" s="76" t="str">
        <x:v>SIP</x:v>
      </x:c>
    </x:row>
    <x:row r="1779">
      <x:c r="A1779" s="50" t="str">
        <x:v>019fdda1-ea17-7729-8648-b0ec40b1fe63</x:v>
      </x:c>
      <x:c r="B1779" s="50" t="str">
        <x:v>UNP</x:v>
      </x:c>
      <x:c r="C1779" s="70" t="n">
        <x:v>46241.79865508102</x:v>
      </x:c>
      <x:c r="D1779" s="50" t="str">
        <x:v>SWING_SETUP</x:v>
      </x:c>
      <x:c r="E1779" s="50" t="str">
        <x:v>UNP SWING SETUP</x:v>
      </x:c>
      <x:c r="F1779" s="50" t="str">
        <x:v>WATCH</x:v>
      </x:c>
      <x:c r="G1779" s="50"/>
      <x:c r="H1779" s="50" t="str">
        <x:v>LONG</x:v>
      </x:c>
      <x:c r="I1779" s="71" t="n">
        <x:v>293.615</x:v>
      </x:c>
      <x:c r="J1779" s="76" t="str">
        <x:v>SIP</x:v>
      </x:c>
    </x:row>
    <x:row r="1780">
      <x:c r="A1780" s="50" t="str">
        <x:v>019fdda1-ea20-79cc-b919-eeeff8d0ae54</x:v>
      </x:c>
      <x:c r="B1780" s="50" t="str">
        <x:v>OXY</x:v>
      </x:c>
      <x:c r="C1780" s="70" t="n">
        <x:v>46241.79865518519</x:v>
      </x:c>
      <x:c r="D1780" s="50" t="str">
        <x:v>SWING_SETUP</x:v>
      </x:c>
      <x:c r="E1780" s="50" t="str">
        <x:v>OXY SWING SETUP</x:v>
      </x:c>
      <x:c r="F1780" s="50" t="str">
        <x:v>WATCH</x:v>
      </x:c>
      <x:c r="G1780" s="50"/>
      <x:c r="H1780" s="50" t="str">
        <x:v>LONG</x:v>
      </x:c>
      <x:c r="I1780" s="71" t="n">
        <x:v>56.04</x:v>
      </x:c>
      <x:c r="J1780" s="76" t="str">
        <x:v>SIP</x:v>
      </x:c>
    </x:row>
    <x:row r="1781">
      <x:c r="A1781" s="50" t="str">
        <x:v>019fdda1-ebc5-7162-b4e5-6a87b0d00724</x:v>
      </x:c>
      <x:c r="B1781" s="50" t="str">
        <x:v>SBUX</x:v>
      </x:c>
      <x:c r="C1781" s="70" t="n">
        <x:v>46241.79866005787</x:v>
      </x:c>
      <x:c r="D1781" s="50" t="str">
        <x:v>LONG_BUY_ZONE</x:v>
      </x:c>
      <x:c r="E1781" s="50" t="str">
        <x:v>SBUX LONG BUY ZONE</x:v>
      </x:c>
      <x:c r="F1781" s="50" t="str">
        <x:v>WATCH</x:v>
      </x:c>
      <x:c r="G1781" s="50"/>
      <x:c r="H1781" s="50" t="str">
        <x:v>LONG</x:v>
      </x:c>
      <x:c r="I1781" s="71" t="n">
        <x:v>106.4911</x:v>
      </x:c>
      <x:c r="J1781" s="76" t="str">
        <x:v>SIP</x:v>
      </x:c>
    </x:row>
    <x:row r="1782">
      <x:c r="A1782" s="50" t="str">
        <x:v>019fdda3-bc94-73bf-bfd9-30073ad191b0</x:v>
      </x:c>
      <x:c r="B1782" s="50" t="str">
        <x:v>LMT</x:v>
      </x:c>
      <x:c r="C1782" s="70" t="n">
        <x:v>46241.80003726852</x:v>
      </x:c>
      <x:c r="D1782" s="50" t="str">
        <x:v>SWING_SETUP</x:v>
      </x:c>
      <x:c r="E1782" s="50" t="str">
        <x:v>LMT SWING SETUP</x:v>
      </x:c>
      <x:c r="F1782" s="50" t="str">
        <x:v>WATCH</x:v>
      </x:c>
      <x:c r="G1782" s="50"/>
      <x:c r="H1782" s="50" t="str">
        <x:v>LONG</x:v>
      </x:c>
      <x:c r="I1782" s="71" t="n">
        <x:v>586.63</x:v>
      </x:c>
      <x:c r="J1782" s="76" t="str">
        <x:v>SIP</x:v>
      </x:c>
    </x:row>
    <x:row r="1783">
      <x:c r="A1783" s="50" t="str">
        <x:v>019fdda3-bcce-7b33-b5ca-250a2e32d102</x:v>
      </x:c>
      <x:c r="B1783" s="50" t="str">
        <x:v>APA</x:v>
      </x:c>
      <x:c r="C1783" s="70" t="n">
        <x:v>46241.80003792824</x:v>
      </x:c>
      <x:c r="D1783" s="50" t="str">
        <x:v>SWING_SETUP</x:v>
      </x:c>
      <x:c r="E1783" s="50" t="str">
        <x:v>APA SWING SETUP</x:v>
      </x:c>
      <x:c r="F1783" s="50" t="str">
        <x:v>WATCH</x:v>
      </x:c>
      <x:c r="G1783" s="50"/>
      <x:c r="H1783" s="50" t="str">
        <x:v>LONG</x:v>
      </x:c>
      <x:c r="I1783" s="71" t="n">
        <x:v>37.54</x:v>
      </x:c>
      <x:c r="J1783" s="76" t="str">
        <x:v>SIP</x:v>
      </x:c>
    </x:row>
    <x:row r="1784">
      <x:c r="A1784" s="50" t="str">
        <x:v>019fdda3-bcd7-7ea9-8993-d24b42cb6c1b</x:v>
      </x:c>
      <x:c r="B1784" s="50" t="str">
        <x:v>WELL</x:v>
      </x:c>
      <x:c r="C1784" s="70" t="n">
        <x:v>46241.800038043984</x:v>
      </x:c>
      <x:c r="D1784" s="50" t="str">
        <x:v>SWING_SETUP</x:v>
      </x:c>
      <x:c r="E1784" s="50" t="str">
        <x:v>WELL SWING SETUP</x:v>
      </x:c>
      <x:c r="F1784" s="50" t="str">
        <x:v>WATCH</x:v>
      </x:c>
      <x:c r="G1784" s="50"/>
      <x:c r="H1784" s="50" t="str">
        <x:v>LONG</x:v>
      </x:c>
      <x:c r="I1784" s="71" t="n">
        <x:v>236.22</x:v>
      </x:c>
      <x:c r="J1784" s="76" t="str">
        <x:v>SIP</x:v>
      </x:c>
    </x:row>
    <x:row r="1785">
      <x:c r="A1785" s="50" t="str">
        <x:v>019fdda3-be51-746c-818a-ed18fe30933a</x:v>
      </x:c>
      <x:c r="B1785" s="50" t="str">
        <x:v>ANET</x:v>
      </x:c>
      <x:c r="C1785" s="70" t="n">
        <x:v>46241.800042407405</x:v>
      </x:c>
      <x:c r="D1785" s="50" t="str">
        <x:v>SWING_SETUP</x:v>
      </x:c>
      <x:c r="E1785" s="50" t="str">
        <x:v>ANET SWING SETUP</x:v>
      </x:c>
      <x:c r="F1785" s="50" t="str">
        <x:v>WATCH</x:v>
      </x:c>
      <x:c r="G1785" s="50"/>
      <x:c r="H1785" s="50" t="str">
        <x:v>LONG</x:v>
      </x:c>
      <x:c r="I1785" s="71" t="n">
        <x:v>189.26</x:v>
      </x:c>
      <x:c r="J1785" s="76" t="str">
        <x:v>SIP</x:v>
      </x:c>
    </x:row>
    <x:row r="1786">
      <x:c r="A1786" s="50" t="str">
        <x:v>019fdda3-c263-79e8-b043-3185964518cb</x:v>
      </x:c>
      <x:c r="B1786" s="50" t="str">
        <x:v>ABBV</x:v>
      </x:c>
      <x:c r="C1786" s="70" t="n">
        <x:v>46241.800054479165</x:v>
      </x:c>
      <x:c r="D1786" s="50" t="str">
        <x:v>LONG_BUY_ZONE</x:v>
      </x:c>
      <x:c r="E1786" s="50" t="str">
        <x:v>ABBV LONG BUY ZONE</x:v>
      </x:c>
      <x:c r="F1786" s="50" t="str">
        <x:v>WATCH</x:v>
      </x:c>
      <x:c r="G1786" s="50"/>
      <x:c r="H1786" s="50" t="str">
        <x:v>LONG</x:v>
      </x:c>
      <x:c r="I1786" s="71" t="n">
        <x:v>244.7153</x:v>
      </x:c>
      <x:c r="J1786" s="76" t="str">
        <x:v>SIP</x:v>
      </x:c>
    </x:row>
    <x:row r="1787">
      <x:c r="A1787" s="50" t="str">
        <x:v>019fdda4-a4e4-789e-8114-e905092b1389</x:v>
      </x:c>
      <x:c r="B1787" s="50" t="str">
        <x:v>ECL</x:v>
      </x:c>
      <x:c r="C1787" s="70" t="n">
        <x:v>46241.80072560185</x:v>
      </x:c>
      <x:c r="D1787" s="50" t="str">
        <x:v>LONG_BUY_ZONE</x:v>
      </x:c>
      <x:c r="E1787" s="50" t="str">
        <x:v>ECL LONG BUY ZONE</x:v>
      </x:c>
      <x:c r="F1787" s="50" t="str">
        <x:v>WATCH</x:v>
      </x:c>
      <x:c r="G1787" s="50"/>
      <x:c r="H1787" s="50" t="str">
        <x:v>LONG</x:v>
      </x:c>
      <x:c r="I1787" s="71" t="n">
        <x:v>284.035</x:v>
      </x:c>
      <x:c r="J1787" s="76" t="str">
        <x:v>SIP</x:v>
      </x:c>
    </x:row>
    <x:row r="1788">
      <x:c r="A1788" s="50" t="str">
        <x:v>019fdda4-a58b-79cf-a72e-f5b328857662</x:v>
      </x:c>
      <x:c r="B1788" s="50" t="str">
        <x:v>BMY</x:v>
      </x:c>
      <x:c r="C1788" s="70" t="n">
        <x:v>46241.80072753472</x:v>
      </x:c>
      <x:c r="D1788" s="50" t="str">
        <x:v>SWING_SETUP</x:v>
      </x:c>
      <x:c r="E1788" s="50" t="str">
        <x:v>BMY SWING SETUP</x:v>
      </x:c>
      <x:c r="F1788" s="50" t="str">
        <x:v>WATCH</x:v>
      </x:c>
      <x:c r="G1788" s="50"/>
      <x:c r="H1788" s="50" t="str">
        <x:v>LONG</x:v>
      </x:c>
      <x:c r="I1788" s="71" t="n">
        <x:v>64.34</x:v>
      </x:c>
      <x:c r="J1788" s="76" t="str">
        <x:v>SIP</x:v>
      </x:c>
    </x:row>
    <x:row r="1789">
      <x:c r="A1789" s="50" t="str">
        <x:v>019fdda4-a673-77ff-81b1-617d3ba5644c</x:v>
      </x:c>
      <x:c r="B1789" s="50" t="str">
        <x:v>PLTR</x:v>
      </x:c>
      <x:c r="C1789" s="70" t="n">
        <x:v>46241.800730219904</x:v>
      </x:c>
      <x:c r="D1789" s="50" t="str">
        <x:v>SWING_SETUP</x:v>
      </x:c>
      <x:c r="E1789" s="50" t="str">
        <x:v>PLTR SWING SETUP</x:v>
      </x:c>
      <x:c r="F1789" s="50" t="str">
        <x:v>WATCH</x:v>
      </x:c>
      <x:c r="G1789" s="50"/>
      <x:c r="H1789" s="50" t="str">
        <x:v>LONG</x:v>
      </x:c>
      <x:c r="I1789" s="71" t="n">
        <x:v>169.81</x:v>
      </x:c>
      <x:c r="J1789" s="76" t="str">
        <x:v>SIP</x:v>
      </x:c>
    </x:row>
    <x:row r="1790">
      <x:c r="A1790" s="50" t="str">
        <x:v>019fdda4-aa4c-7cc6-9313-acd174e4226c</x:v>
      </x:c>
      <x:c r="B1790" s="50" t="str">
        <x:v>BLK</x:v>
      </x:c>
      <x:c r="C1790" s="70" t="n">
        <x:v>46241.80074162037</x:v>
      </x:c>
      <x:c r="D1790" s="50" t="str">
        <x:v>SWING_SETUP</x:v>
      </x:c>
      <x:c r="E1790" s="50" t="str">
        <x:v>BLK SWING SETUP</x:v>
      </x:c>
      <x:c r="F1790" s="50" t="str">
        <x:v>WATCH</x:v>
      </x:c>
      <x:c r="G1790" s="50"/>
      <x:c r="H1790" s="50" t="str">
        <x:v>LONG</x:v>
      </x:c>
      <x:c r="I1790" s="71" t="n">
        <x:v>1142.4</x:v>
      </x:c>
      <x:c r="J1790" s="76" t="str">
        <x:v>SIP</x:v>
      </x:c>
    </x:row>
    <x:row r="1791">
      <x:c r="A1791" s="50" t="str">
        <x:v>019fdda4-aae8-7b13-9aba-f7c8eb10783d</x:v>
      </x:c>
      <x:c r="B1791" s="50" t="str">
        <x:v>RCL</x:v>
      </x:c>
      <x:c r="C1791" s="70" t="n">
        <x:v>46241.80074342593</x:v>
      </x:c>
      <x:c r="D1791" s="50" t="str">
        <x:v>SWING_SETUP</x:v>
      </x:c>
      <x:c r="E1791" s="50" t="str">
        <x:v>RCL SWING SETUP</x:v>
      </x:c>
      <x:c r="F1791" s="50" t="str">
        <x:v>WATCH</x:v>
      </x:c>
      <x:c r="G1791" s="50"/>
      <x:c r="H1791" s="50" t="str">
        <x:v>LONG</x:v>
      </x:c>
      <x:c r="I1791" s="71" t="n">
        <x:v>320.705</x:v>
      </x:c>
      <x:c r="J1791" s="76" t="str">
        <x:v>SIP</x:v>
      </x:c>
    </x:row>
    <x:row r="1792">
      <x:c r="A1792" s="50" t="str">
        <x:v>019fdda4-add3-7680-8ee8-fe4e66e70b19</x:v>
      </x:c>
      <x:c r="B1792" s="50" t="str">
        <x:v>PM</x:v>
      </x:c>
      <x:c r="C1792" s="70" t="n">
        <x:v>46241.80075207176</x:v>
      </x:c>
      <x:c r="D1792" s="50" t="str">
        <x:v>LONG_BUY_ZONE</x:v>
      </x:c>
      <x:c r="E1792" s="50" t="str">
        <x:v>PM LONG BUY ZONE</x:v>
      </x:c>
      <x:c r="F1792" s="50" t="str">
        <x:v>WATCH</x:v>
      </x:c>
      <x:c r="G1792" s="50"/>
      <x:c r="H1792" s="50" t="str">
        <x:v>LONG</x:v>
      </x:c>
      <x:c r="I1792" s="71" t="n">
        <x:v>188.98</x:v>
      </x:c>
      <x:c r="J1792" s="76" t="str">
        <x:v>SIP</x:v>
      </x:c>
    </x:row>
    <x:row r="1793">
      <x:c r="A1793" s="50" t="str">
        <x:v>019fdda4-afcc-7ca6-87d0-724285238637</x:v>
      </x:c>
      <x:c r="B1793" s="50" t="str">
        <x:v>HRL</x:v>
      </x:c>
      <x:c r="C1793" s="70" t="n">
        <x:v>46241.80075790509</x:v>
      </x:c>
      <x:c r="D1793" s="50" t="str">
        <x:v>LONG_BUY_ZONE</x:v>
      </x:c>
      <x:c r="E1793" s="50" t="str">
        <x:v>HRL LONG BUY ZONE</x:v>
      </x:c>
      <x:c r="F1793" s="50" t="str">
        <x:v>WATCH</x:v>
      </x:c>
      <x:c r="G1793" s="50"/>
      <x:c r="H1793" s="50" t="str">
        <x:v>LONG</x:v>
      </x:c>
      <x:c r="I1793" s="71" t="n">
        <x:v>25.075</x:v>
      </x:c>
      <x:c r="J1793" s="76" t="str">
        <x:v>SIP</x:v>
      </x:c>
    </x:row>
    <x:row r="1794">
      <x:c r="A1794" s="50" t="str">
        <x:v>019fdda5-90f7-7afc-bf41-3b52738c38b7</x:v>
      </x:c>
      <x:c r="B1794" s="50" t="str">
        <x:v>BAC</x:v>
      </x:c>
      <x:c r="C1794" s="70" t="n">
        <x:v>46241.801425081016</x:v>
      </x:c>
      <x:c r="D1794" s="50" t="str">
        <x:v>SWING_SETUP</x:v>
      </x:c>
      <x:c r="E1794" s="50" t="str">
        <x:v>BAC SWING SETUP</x:v>
      </x:c>
      <x:c r="F1794" s="50" t="str">
        <x:v>WATCH</x:v>
      </x:c>
      <x:c r="G1794" s="50"/>
      <x:c r="H1794" s="50" t="str">
        <x:v>LONG</x:v>
      </x:c>
      <x:c r="I1794" s="71" t="n">
        <x:v>63.095</x:v>
      </x:c>
      <x:c r="J1794" s="76" t="str">
        <x:v>SIP</x:v>
      </x:c>
    </x:row>
    <x:row r="1795">
      <x:c r="A1795" s="50" t="str">
        <x:v>019fdda5-910b-79e9-a7de-14344d49b5d7</x:v>
      </x:c>
      <x:c r="B1795" s="50" t="str">
        <x:v>JPM</x:v>
      </x:c>
      <x:c r="C1795" s="70" t="n">
        <x:v>46241.8014253125</x:v>
      </x:c>
      <x:c r="D1795" s="50" t="str">
        <x:v>SWING_SETUP</x:v>
      </x:c>
      <x:c r="E1795" s="50" t="str">
        <x:v>JPM SWING SETUP</x:v>
      </x:c>
      <x:c r="F1795" s="50" t="str">
        <x:v>WATCH</x:v>
      </x:c>
      <x:c r="G1795" s="50"/>
      <x:c r="H1795" s="50" t="str">
        <x:v>LONG</x:v>
      </x:c>
      <x:c r="I1795" s="71" t="n">
        <x:v>358.15</x:v>
      </x:c>
      <x:c r="J1795" s="76" t="str">
        <x:v>SIP</x:v>
      </x:c>
    </x:row>
    <x:row r="1796">
      <x:c r="A1796" s="50" t="str">
        <x:v>019fdda5-912f-7f90-9d0a-f8c99f0b73b5</x:v>
      </x:c>
      <x:c r="B1796" s="50" t="str">
        <x:v>PFE</x:v>
      </x:c>
      <x:c r="C1796" s="70" t="n">
        <x:v>46241.80142571759</x:v>
      </x:c>
      <x:c r="D1796" s="50" t="str">
        <x:v>SWING_SETUP</x:v>
      </x:c>
      <x:c r="E1796" s="50" t="str">
        <x:v>PFE SWING SETUP</x:v>
      </x:c>
      <x:c r="F1796" s="50" t="str">
        <x:v>WATCH</x:v>
      </x:c>
      <x:c r="G1796" s="50"/>
      <x:c r="H1796" s="50" t="str">
        <x:v>LONG</x:v>
      </x:c>
      <x:c r="I1796" s="71" t="n">
        <x:v>26.5401</x:v>
      </x:c>
      <x:c r="J1796" s="76" t="str">
        <x:v>SIP</x:v>
      </x:c>
    </x:row>
    <x:row r="1797">
      <x:c r="A1797" s="50" t="str">
        <x:v>019fdda5-9150-760e-ab21-6990f5644c4b</x:v>
      </x:c>
      <x:c r="B1797" s="50" t="str">
        <x:v>JD</x:v>
      </x:c>
      <x:c r="C1797" s="70" t="n">
        <x:v>46241.80142611111</x:v>
      </x:c>
      <x:c r="D1797" s="50" t="str">
        <x:v>SWING_SETUP</x:v>
      </x:c>
      <x:c r="E1797" s="50" t="str">
        <x:v>JD SWING SETUP</x:v>
      </x:c>
      <x:c r="F1797" s="50" t="str">
        <x:v>WATCH</x:v>
      </x:c>
      <x:c r="G1797" s="50"/>
      <x:c r="H1797" s="50" t="str">
        <x:v>LONG</x:v>
      </x:c>
      <x:c r="I1797" s="71" t="n">
        <x:v>32.905</x:v>
      </x:c>
      <x:c r="J1797" s="76" t="str">
        <x:v>SIP</x:v>
      </x:c>
    </x:row>
    <x:row r="1798">
      <x:c r="A1798" s="50" t="str">
        <x:v>019fdda5-9184-7f58-b964-336a6170ce84</x:v>
      </x:c>
      <x:c r="B1798" s="50" t="str">
        <x:v>ETHA</x:v>
      </x:c>
      <x:c r="C1798" s="70" t="n">
        <x:v>46241.801426701386</x:v>
      </x:c>
      <x:c r="D1798" s="50" t="str">
        <x:v>SWING_SETUP</x:v>
      </x:c>
      <x:c r="E1798" s="50" t="str">
        <x:v>ETHA SWING SETUP</x:v>
      </x:c>
      <x:c r="F1798" s="50" t="str">
        <x:v>WATCH</x:v>
      </x:c>
      <x:c r="G1798" s="50"/>
      <x:c r="H1798" s="50" t="str">
        <x:v>LONG</x:v>
      </x:c>
      <x:c r="I1798" s="71" t="n">
        <x:v>14.405</x:v>
      </x:c>
      <x:c r="J1798" s="76" t="str">
        <x:v>SIP</x:v>
      </x:c>
    </x:row>
    <x:row r="1799">
      <x:c r="A1799" s="50" t="str">
        <x:v>019fdda5-9195-7c12-93d5-d7978814468e</x:v>
      </x:c>
      <x:c r="B1799" s="50" t="str">
        <x:v>TMDX</x:v>
      </x:c>
      <x:c r="C1799" s="70" t="n">
        <x:v>46241.801426909726</x:v>
      </x:c>
      <x:c r="D1799" s="50" t="str">
        <x:v>SWING_SETUP</x:v>
      </x:c>
      <x:c r="E1799" s="50" t="str">
        <x:v>TMDX SWING SETUP</x:v>
      </x:c>
      <x:c r="F1799" s="50" t="str">
        <x:v>WATCH</x:v>
      </x:c>
      <x:c r="G1799" s="50"/>
      <x:c r="H1799" s="50" t="str">
        <x:v>LONG</x:v>
      </x:c>
      <x:c r="I1799" s="71" t="n">
        <x:v>81.74</x:v>
      </x:c>
      <x:c r="J1799" s="76" t="str">
        <x:v>SIP</x:v>
      </x:c>
    </x:row>
    <x:row r="1800">
      <x:c r="A1800" s="50" t="str">
        <x:v>019fdda5-9245-74ea-9659-52627a288d00</x:v>
      </x:c>
      <x:c r="B1800" s="50" t="str">
        <x:v>KO</x:v>
      </x:c>
      <x:c r="C1800" s="70" t="n">
        <x:v>46241.80142894676</x:v>
      </x:c>
      <x:c r="D1800" s="50" t="str">
        <x:v>SWING_SETUP</x:v>
      </x:c>
      <x:c r="E1800" s="50" t="str">
        <x:v>KO SWING SETUP</x:v>
      </x:c>
      <x:c r="F1800" s="50" t="str">
        <x:v>WATCH</x:v>
      </x:c>
      <x:c r="G1800" s="50"/>
      <x:c r="H1800" s="50" t="str">
        <x:v>LONG</x:v>
      </x:c>
      <x:c r="I1800" s="71" t="n">
        <x:v>87.015</x:v>
      </x:c>
      <x:c r="J1800" s="76" t="str">
        <x:v>SIP</x:v>
      </x:c>
    </x:row>
    <x:row r="1801">
      <x:c r="A1801" s="50" t="str">
        <x:v>019fdda5-9279-7628-97f7-aa72334860db</x:v>
      </x:c>
      <x:c r="B1801" s="50" t="str">
        <x:v>CEG</x:v>
      </x:c>
      <x:c r="C1801" s="70" t="n">
        <x:v>46241.801429548614</x:v>
      </x:c>
      <x:c r="D1801" s="50" t="str">
        <x:v>SWING_SETUP</x:v>
      </x:c>
      <x:c r="E1801" s="50" t="str">
        <x:v>CEG SWING SETUP</x:v>
      </x:c>
      <x:c r="F1801" s="50" t="str">
        <x:v>WATCH</x:v>
      </x:c>
      <x:c r="G1801" s="50"/>
      <x:c r="H1801" s="50" t="str">
        <x:v>LONG</x:v>
      </x:c>
      <x:c r="I1801" s="71" t="n">
        <x:v>268.37</x:v>
      </x:c>
      <x:c r="J1801" s="76" t="str">
        <x:v>SIP</x:v>
      </x:c>
    </x:row>
    <x:row r="1802">
      <x:c r="A1802" s="50" t="str">
        <x:v>019fdda5-9290-7dd9-b6ca-08855a57217e</x:v>
      </x:c>
      <x:c r="B1802" s="50" t="str">
        <x:v>SHW</x:v>
      </x:c>
      <x:c r="C1802" s="70" t="n">
        <x:v>46241.80142980324</x:v>
      </x:c>
      <x:c r="D1802" s="50" t="str">
        <x:v>SWING_SETUP</x:v>
      </x:c>
      <x:c r="E1802" s="50" t="str">
        <x:v>SHW SWING SETUP</x:v>
      </x:c>
      <x:c r="F1802" s="50" t="str">
        <x:v>WATCH</x:v>
      </x:c>
      <x:c r="G1802" s="50"/>
      <x:c r="H1802" s="50" t="str">
        <x:v>LONG</x:v>
      </x:c>
      <x:c r="I1802" s="71" t="n">
        <x:v>368.28</x:v>
      </x:c>
      <x:c r="J1802" s="76" t="str">
        <x:v>SIP</x:v>
      </x:c>
    </x:row>
    <x:row r="1803">
      <x:c r="A1803" s="50" t="str">
        <x:v>019fdda5-93c3-7d1e-ab0b-810cd3cd8283</x:v>
      </x:c>
      <x:c r="B1803" s="50" t="str">
        <x:v>PM</x:v>
      </x:c>
      <x:c r="C1803" s="70" t="n">
        <x:v>46241.801433368055</x:v>
      </x:c>
      <x:c r="D1803" s="50" t="str">
        <x:v>SWING_SETUP</x:v>
      </x:c>
      <x:c r="E1803" s="50" t="str">
        <x:v>PM SWING SETUP</x:v>
      </x:c>
      <x:c r="F1803" s="50" t="str">
        <x:v>WATCH</x:v>
      </x:c>
      <x:c r="G1803" s="50"/>
      <x:c r="H1803" s="50" t="str">
        <x:v>LONG</x:v>
      </x:c>
      <x:c r="I1803" s="71" t="n">
        <x:v>189.175</x:v>
      </x:c>
      <x:c r="J1803" s="76" t="str">
        <x:v>SIP</x:v>
      </x:c>
    </x:row>
    <x:row r="1804">
      <x:c r="A1804" s="50" t="str">
        <x:v>019fdda5-9407-7d30-990b-6d18ac3eeb7a</x:v>
      </x:c>
      <x:c r="B1804" s="50" t="str">
        <x:v>MMM</x:v>
      </x:c>
      <x:c r="C1804" s="70" t="n">
        <x:v>46241.801434155095</x:v>
      </x:c>
      <x:c r="D1804" s="50" t="str">
        <x:v>SWING_SETUP</x:v>
      </x:c>
      <x:c r="E1804" s="50" t="str">
        <x:v>MMM SWING SETUP</x:v>
      </x:c>
      <x:c r="F1804" s="50" t="str">
        <x:v>WATCH</x:v>
      </x:c>
      <x:c r="G1804" s="50"/>
      <x:c r="H1804" s="50" t="str">
        <x:v>LONG</x:v>
      </x:c>
      <x:c r="I1804" s="71" t="n">
        <x:v>183.15</x:v>
      </x:c>
      <x:c r="J1804" s="76" t="str">
        <x:v>SIP</x:v>
      </x:c>
    </x:row>
    <x:row r="1805">
      <x:c r="A1805" s="50" t="str">
        <x:v>019fdda5-9410-7f0e-a608-10aff701f3f7</x:v>
      </x:c>
      <x:c r="B1805" s="50" t="str">
        <x:v>ABT</x:v>
      </x:c>
      <x:c r="C1805" s="70" t="n">
        <x:v>46241.80143425926</x:v>
      </x:c>
      <x:c r="D1805" s="50" t="str">
        <x:v>SWING_SETUP</x:v>
      </x:c>
      <x:c r="E1805" s="50" t="str">
        <x:v>ABT SWING SETUP</x:v>
      </x:c>
      <x:c r="F1805" s="50" t="str">
        <x:v>WATCH</x:v>
      </x:c>
      <x:c r="G1805" s="50"/>
      <x:c r="H1805" s="50" t="str">
        <x:v>LONG</x:v>
      </x:c>
      <x:c r="I1805" s="71" t="n">
        <x:v>107.39</x:v>
      </x:c>
      <x:c r="J1805" s="76" t="str">
        <x:v>SIP</x:v>
      </x:c>
    </x:row>
    <x:row r="1806">
      <x:c r="A1806" s="50" t="str">
        <x:v>019fdda5-9846-7de2-a249-1fcea44d1dad</x:v>
      </x:c>
      <x:c r="B1806" s="50" t="str">
        <x:v>GS</x:v>
      </x:c>
      <x:c r="C1806" s="70" t="n">
        <x:v>46241.80144673611</x:v>
      </x:c>
      <x:c r="D1806" s="50" t="str">
        <x:v>LONG_BUY_ZONE</x:v>
      </x:c>
      <x:c r="E1806" s="50" t="str">
        <x:v>GS LONG BUY ZONE</x:v>
      </x:c>
      <x:c r="F1806" s="50" t="str">
        <x:v>WATCH</x:v>
      </x:c>
      <x:c r="G1806" s="50"/>
      <x:c r="H1806" s="50" t="str">
        <x:v>LONG</x:v>
      </x:c>
      <x:c r="I1806" s="71" t="n">
        <x:v>1041.63</x:v>
      </x:c>
      <x:c r="J1806" s="76" t="str">
        <x:v>SIP</x:v>
      </x:c>
    </x:row>
    <x:row r="1807">
      <x:c r="A1807" s="50" t="str">
        <x:v>019fdda5-9919-712f-930b-08ebef52f66d</x:v>
      </x:c>
      <x:c r="B1807" s="50" t="str">
        <x:v>MRK</x:v>
      </x:c>
      <x:c r="C1807" s="70" t="n">
        <x:v>46241.80144917824</x:v>
      </x:c>
      <x:c r="D1807" s="50" t="str">
        <x:v>LONG_BUY_ZONE</x:v>
      </x:c>
      <x:c r="E1807" s="50" t="str">
        <x:v>MRK LONG BUY ZONE</x:v>
      </x:c>
      <x:c r="F1807" s="50" t="str">
        <x:v>WATCH</x:v>
      </x:c>
      <x:c r="G1807" s="50"/>
      <x:c r="H1807" s="50" t="str">
        <x:v>LONG</x:v>
      </x:c>
      <x:c r="I1807" s="71" t="n">
        <x:v>128.27</x:v>
      </x:c>
      <x:c r="J1807" s="76" t="str">
        <x:v>SIP</x:v>
      </x:c>
    </x:row>
    <x:row r="1808">
      <x:c r="A1808" s="50" t="str">
        <x:v>019fdda5-993c-74b9-a834-71bf67d9b8a4</x:v>
      </x:c>
      <x:c r="B1808" s="50" t="str">
        <x:v>RCL</x:v>
      </x:c>
      <x:c r="C1808" s="70" t="n">
        <x:v>46241.801449583334</x:v>
      </x:c>
      <x:c r="D1808" s="50" t="str">
        <x:v>LONG_BUY_ZONE</x:v>
      </x:c>
      <x:c r="E1808" s="50" t="str">
        <x:v>RCL LONG BUY ZONE</x:v>
      </x:c>
      <x:c r="F1808" s="50" t="str">
        <x:v>WATCH</x:v>
      </x:c>
      <x:c r="G1808" s="50"/>
      <x:c r="H1808" s="50" t="str">
        <x:v>LONG</x:v>
      </x:c>
      <x:c r="I1808" s="71" t="n">
        <x:v>321.36</x:v>
      </x:c>
      <x:c r="J1808" s="76" t="str">
        <x:v>SIP</x:v>
      </x:c>
    </x:row>
    <x:row r="1809">
      <x:c r="A1809" s="50" t="str">
        <x:v>019fdda7-64d0-7640-87b1-c998d2d60f51</x:v>
      </x:c>
      <x:c r="B1809" s="50" t="str">
        <x:v>DLR</x:v>
      </x:c>
      <x:c r="C1809" s="70" t="n">
        <x:v>46241.80281129629</x:v>
      </x:c>
      <x:c r="D1809" s="50" t="str">
        <x:v>SWING_SETUP</x:v>
      </x:c>
      <x:c r="E1809" s="50" t="str">
        <x:v>DLR SWING SETUP</x:v>
      </x:c>
      <x:c r="F1809" s="50" t="str">
        <x:v>WATCH</x:v>
      </x:c>
      <x:c r="G1809" s="50"/>
      <x:c r="H1809" s="50" t="str">
        <x:v>LONG</x:v>
      </x:c>
      <x:c r="I1809" s="71" t="n">
        <x:v>193.675</x:v>
      </x:c>
      <x:c r="J1809" s="76" t="str">
        <x:v>SIP</x:v>
      </x:c>
    </x:row>
    <x:row r="1810">
      <x:c r="A1810" s="50" t="str">
        <x:v>019fdda7-64ee-797e-9ce9-5a482495df14</x:v>
      </x:c>
      <x:c r="B1810" s="50" t="str">
        <x:v>DASH</x:v>
      </x:c>
      <x:c r="C1810" s="70" t="n">
        <x:v>46241.802811643516</x:v>
      </x:c>
      <x:c r="D1810" s="50" t="str">
        <x:v>SWING_SETUP</x:v>
      </x:c>
      <x:c r="E1810" s="50" t="str">
        <x:v>DASH SWING SETUP</x:v>
      </x:c>
      <x:c r="F1810" s="50" t="str">
        <x:v>WATCH</x:v>
      </x:c>
      <x:c r="G1810" s="50"/>
      <x:c r="H1810" s="50" t="str">
        <x:v>LONG</x:v>
      </x:c>
      <x:c r="I1810" s="71" t="n">
        <x:v>218.73</x:v>
      </x:c>
      <x:c r="J1810" s="76" t="str">
        <x:v>SIP</x:v>
      </x:c>
    </x:row>
    <x:row r="1811">
      <x:c r="A1811" s="50" t="str">
        <x:v>019fdda7-6517-712f-bc1d-4d574cf21416</x:v>
      </x:c>
      <x:c r="B1811" s="50" t="str">
        <x:v>UEC</x:v>
      </x:c>
      <x:c r="C1811" s="70" t="n">
        <x:v>46241.802812118054</x:v>
      </x:c>
      <x:c r="D1811" s="50" t="str">
        <x:v>SWING_SETUP</x:v>
      </x:c>
      <x:c r="E1811" s="50" t="str">
        <x:v>UEC SWING SETUP</x:v>
      </x:c>
      <x:c r="F1811" s="50" t="str">
        <x:v>WATCH</x:v>
      </x:c>
      <x:c r="G1811" s="50"/>
      <x:c r="H1811" s="50" t="str">
        <x:v>LONG</x:v>
      </x:c>
      <x:c r="I1811" s="71" t="n">
        <x:v>11.295</x:v>
      </x:c>
      <x:c r="J1811" s="76" t="str">
        <x:v>SIP</x:v>
      </x:c>
    </x:row>
    <x:row r="1812">
      <x:c r="A1812" s="50" t="str">
        <x:v>019fdda7-6533-7f9c-8002-6521b7d2ec14</x:v>
      </x:c>
      <x:c r="B1812" s="50" t="str">
        <x:v>ECL</x:v>
      </x:c>
      <x:c r="C1812" s="70" t="n">
        <x:v>46241.80281243056</x:v>
      </x:c>
      <x:c r="D1812" s="50" t="str">
        <x:v>SWING_SETUP</x:v>
      </x:c>
      <x:c r="E1812" s="50" t="str">
        <x:v>ECL SWING SETUP</x:v>
      </x:c>
      <x:c r="F1812" s="50" t="str">
        <x:v>WATCH</x:v>
      </x:c>
      <x:c r="G1812" s="50"/>
      <x:c r="H1812" s="50" t="str">
        <x:v>LONG</x:v>
      </x:c>
      <x:c r="I1812" s="71" t="n">
        <x:v>283.91</x:v>
      </x:c>
      <x:c r="J1812" s="76" t="str">
        <x:v>SIP</x:v>
      </x:c>
    </x:row>
    <x:row r="1813">
      <x:c r="A1813" s="50" t="str">
        <x:v>019fdda7-6560-75cd-bb4c-43f3d2f741fe</x:v>
      </x:c>
      <x:c r="B1813" s="50" t="str">
        <x:v>ABCL</x:v>
      </x:c>
      <x:c r="C1813" s="70" t="n">
        <x:v>46241.80281296296</x:v>
      </x:c>
      <x:c r="D1813" s="50" t="str">
        <x:v>SWING_SETUP</x:v>
      </x:c>
      <x:c r="E1813" s="50" t="str">
        <x:v>ABCL SWING SETUP</x:v>
      </x:c>
      <x:c r="F1813" s="50" t="str">
        <x:v>WATCH</x:v>
      </x:c>
      <x:c r="G1813" s="50"/>
      <x:c r="H1813" s="50" t="str">
        <x:v>LONG</x:v>
      </x:c>
      <x:c r="I1813" s="71" t="n">
        <x:v>6.76</x:v>
      </x:c>
      <x:c r="J1813" s="76" t="str">
        <x:v>SIP</x:v>
      </x:c>
    </x:row>
    <x:row r="1814">
      <x:c r="A1814" s="50" t="str">
        <x:v>019fdda7-6771-7393-92a4-9b3434472b33</x:v>
      </x:c>
      <x:c r="B1814" s="50" t="str">
        <x:v>TEM</x:v>
      </x:c>
      <x:c r="C1814" s="70" t="n">
        <x:v>46241.80281908565</x:v>
      </x:c>
      <x:c r="D1814" s="50" t="str">
        <x:v>SWING_SETUP</x:v>
      </x:c>
      <x:c r="E1814" s="50" t="str">
        <x:v>TEM SWING SETUP</x:v>
      </x:c>
      <x:c r="F1814" s="50" t="str">
        <x:v>WATCH</x:v>
      </x:c>
      <x:c r="G1814" s="50"/>
      <x:c r="H1814" s="50" t="str">
        <x:v>LONG</x:v>
      </x:c>
      <x:c r="I1814" s="71" t="n">
        <x:v>51.97</x:v>
      </x:c>
      <x:c r="J1814" s="76" t="str">
        <x:v>SIP</x:v>
      </x:c>
    </x:row>
    <x:row r="1815">
      <x:c r="A1815" s="50" t="str">
        <x:v>019fdda7-68bb-72da-9a5f-60acd0120566</x:v>
      </x:c>
      <x:c r="B1815" s="50" t="str">
        <x:v>SCHW</x:v>
      </x:c>
      <x:c r="C1815" s="70" t="n">
        <x:v>46241.80282290509</x:v>
      </x:c>
      <x:c r="D1815" s="50" t="str">
        <x:v>SWING_SETUP</x:v>
      </x:c>
      <x:c r="E1815" s="50" t="str">
        <x:v>SCHW SWING SETUP</x:v>
      </x:c>
      <x:c r="F1815" s="50" t="str">
        <x:v>WATCH</x:v>
      </x:c>
      <x:c r="G1815" s="50"/>
      <x:c r="H1815" s="50" t="str">
        <x:v>LONG</x:v>
      </x:c>
      <x:c r="I1815" s="71" t="n">
        <x:v>107.495</x:v>
      </x:c>
      <x:c r="J1815" s="76" t="str">
        <x:v>SIP</x:v>
      </x:c>
    </x:row>
    <x:row r="1816">
      <x:c r="A1816" s="50" t="str">
        <x:v>019fdda7-6b17-771c-809e-57e4b2401b6b</x:v>
      </x:c>
      <x:c r="B1816" s="50" t="str">
        <x:v>BKNG</x:v>
      </x:c>
      <x:c r="C1816" s="70" t="n">
        <x:v>46241.80282989583</x:v>
      </x:c>
      <x:c r="D1816" s="50" t="str">
        <x:v>SWING_SETUP</x:v>
      </x:c>
      <x:c r="E1816" s="50" t="str">
        <x:v>BKNG SWING SETUP</x:v>
      </x:c>
      <x:c r="F1816" s="50" t="str">
        <x:v>WATCH</x:v>
      </x:c>
      <x:c r="G1816" s="50"/>
      <x:c r="H1816" s="50" t="str">
        <x:v>LONG</x:v>
      </x:c>
      <x:c r="I1816" s="71" t="n">
        <x:v>212.8099</x:v>
      </x:c>
      <x:c r="J1816" s="76" t="str">
        <x:v>SIP</x:v>
      </x:c>
    </x:row>
    <x:row r="1817">
      <x:c r="A1817" s="50" t="str">
        <x:v>019fdda7-6b7a-7ee9-a1b2-757efa4303b8</x:v>
      </x:c>
      <x:c r="B1817" s="50" t="str">
        <x:v>SMR</x:v>
      </x:c>
      <x:c r="C1817" s="70" t="n">
        <x:v>46241.80283104167</x:v>
      </x:c>
      <x:c r="D1817" s="50" t="str">
        <x:v>SWING_SETUP</x:v>
      </x:c>
      <x:c r="E1817" s="50" t="str">
        <x:v>SMR SWING SETUP</x:v>
      </x:c>
      <x:c r="F1817" s="50" t="str">
        <x:v>WATCH</x:v>
      </x:c>
      <x:c r="G1817" s="50"/>
      <x:c r="H1817" s="50" t="str">
        <x:v>LONG</x:v>
      </x:c>
      <x:c r="I1817" s="71" t="n">
        <x:v>9.88</x:v>
      </x:c>
      <x:c r="J1817" s="76" t="str">
        <x:v>SIP</x:v>
      </x:c>
    </x:row>
    <x:row r="1818">
      <x:c r="A1818" s="50" t="str">
        <x:v>019fdda7-6bcb-7437-ae04-010e60fbd220</x:v>
      </x:c>
      <x:c r="B1818" s="50" t="str">
        <x:v>TMO</x:v>
      </x:c>
      <x:c r="C1818" s="70" t="n">
        <x:v>46241.80283197917</x:v>
      </x:c>
      <x:c r="D1818" s="50" t="str">
        <x:v>SWING_SETUP</x:v>
      </x:c>
      <x:c r="E1818" s="50" t="str">
        <x:v>TMO SWING SETUP</x:v>
      </x:c>
      <x:c r="F1818" s="50" t="str">
        <x:v>WATCH</x:v>
      </x:c>
      <x:c r="G1818" s="50"/>
      <x:c r="H1818" s="50" t="str">
        <x:v>LONG</x:v>
      </x:c>
      <x:c r="I1818" s="71" t="n">
        <x:v>588.025</x:v>
      </x:c>
      <x:c r="J1818" s="76" t="str">
        <x:v>SIP</x:v>
      </x:c>
    </x:row>
    <x:row r="1819">
      <x:c r="A1819" s="50" t="str">
        <x:v>019fdda8-514a-7038-b456-bc05e5c7e917</x:v>
      </x:c>
      <x:c r="B1819" s="50" t="str">
        <x:v>DE</x:v>
      </x:c>
      <x:c r="C1819" s="70" t="n">
        <x:v>46241.803511956015</x:v>
      </x:c>
      <x:c r="D1819" s="50" t="str">
        <x:v>SWING_SETUP</x:v>
      </x:c>
      <x:c r="E1819" s="50" t="str">
        <x:v>DE SWING SETUP</x:v>
      </x:c>
      <x:c r="F1819" s="50" t="str">
        <x:v>WATCH</x:v>
      </x:c>
      <x:c r="G1819" s="50"/>
      <x:c r="H1819" s="50" t="str">
        <x:v>LONG</x:v>
      </x:c>
      <x:c r="I1819" s="71" t="n">
        <x:v>622.475</x:v>
      </x:c>
      <x:c r="J1819" s="76" t="str">
        <x:v>SIP</x:v>
      </x:c>
    </x:row>
    <x:row r="1820">
      <x:c r="A1820" s="50" t="str">
        <x:v>019fdda8-51f8-7649-927d-0f25c8d956e7</x:v>
      </x:c>
      <x:c r="B1820" s="50" t="str">
        <x:v>ACHV</x:v>
      </x:c>
      <x:c r="C1820" s="70" t="n">
        <x:v>46241.80351398148</x:v>
      </x:c>
      <x:c r="D1820" s="50" t="str">
        <x:v>SWING_SETUP</x:v>
      </x:c>
      <x:c r="E1820" s="50" t="str">
        <x:v>ACHV SWING SETUP</x:v>
      </x:c>
      <x:c r="F1820" s="50" t="str">
        <x:v>WATCH</x:v>
      </x:c>
      <x:c r="G1820" s="50"/>
      <x:c r="H1820" s="50" t="str">
        <x:v>LONG</x:v>
      </x:c>
      <x:c r="I1820" s="71" t="n">
        <x:v>6.62</x:v>
      </x:c>
      <x:c r="J1820" s="76" t="str">
        <x:v>SIP</x:v>
      </x:c>
    </x:row>
    <x:row r="1821">
      <x:c r="A1821" s="50" t="str">
        <x:v>019fdda8-52ba-7301-9f50-0a507b44401b</x:v>
      </x:c>
      <x:c r="B1821" s="50" t="str">
        <x:v>RTX</x:v>
      </x:c>
      <x:c r="C1821" s="70" t="n">
        <x:v>46241.80351622685</x:v>
      </x:c>
      <x:c r="D1821" s="50" t="str">
        <x:v>SWING_SETUP</x:v>
      </x:c>
      <x:c r="E1821" s="50" t="str">
        <x:v>RTX SWING SETUP</x:v>
      </x:c>
      <x:c r="F1821" s="50" t="str">
        <x:v>WATCH</x:v>
      </x:c>
      <x:c r="G1821" s="50"/>
      <x:c r="H1821" s="50" t="str">
        <x:v>LONG</x:v>
      </x:c>
      <x:c r="I1821" s="71" t="n">
        <x:v>222.81</x:v>
      </x:c>
      <x:c r="J1821" s="76" t="str">
        <x:v>SIP</x:v>
      </x:c>
    </x:row>
    <x:row r="1822">
      <x:c r="A1822" s="50" t="str">
        <x:v>019fdda9-3b11-7149-bfbf-e93aec6d69cc</x:v>
      </x:c>
      <x:c r="B1822" s="50" t="str">
        <x:v>WFC</x:v>
      </x:c>
      <x:c r="C1822" s="70" t="n">
        <x:v>46241.80420462963</x:v>
      </x:c>
      <x:c r="D1822" s="50" t="str">
        <x:v>SWING_SETUP</x:v>
      </x:c>
      <x:c r="E1822" s="50" t="str">
        <x:v>WFC SWING SETUP</x:v>
      </x:c>
      <x:c r="F1822" s="50" t="str">
        <x:v>WATCH</x:v>
      </x:c>
      <x:c r="G1822" s="50"/>
      <x:c r="H1822" s="50" t="str">
        <x:v>LONG</x:v>
      </x:c>
      <x:c r="I1822" s="71" t="n">
        <x:v>87.25</x:v>
      </x:c>
      <x:c r="J1822" s="76" t="str">
        <x:v>SIP</x:v>
      </x:c>
    </x:row>
    <x:row r="1823">
      <x:c r="A1823" s="50" t="str">
        <x:v>019fdda9-3b47-75fb-a945-0c11d5276f77</x:v>
      </x:c>
      <x:c r="B1823" s="50" t="str">
        <x:v>AMGN</x:v>
      </x:c>
      <x:c r="C1823" s="70" t="n">
        <x:v>46241.80420525463</x:v>
      </x:c>
      <x:c r="D1823" s="50" t="str">
        <x:v>SWING_SETUP</x:v>
      </x:c>
      <x:c r="E1823" s="50" t="str">
        <x:v>AMGN SWING SETUP</x:v>
      </x:c>
      <x:c r="F1823" s="50" t="str">
        <x:v>WATCH</x:v>
      </x:c>
      <x:c r="G1823" s="50"/>
      <x:c r="H1823" s="50" t="str">
        <x:v>LONG</x:v>
      </x:c>
      <x:c r="I1823" s="71" t="n">
        <x:v>408.87</x:v>
      </x:c>
      <x:c r="J1823" s="76" t="str">
        <x:v>SIP</x:v>
      </x:c>
    </x:row>
    <x:row r="1824">
      <x:c r="A1824" s="50" t="str">
        <x:v>019fdda9-3b8a-7a9f-82cd-f4de190a858e</x:v>
      </x:c>
      <x:c r="B1824" s="50" t="str">
        <x:v>BABA</x:v>
      </x:c>
      <x:c r="C1824" s="70" t="n">
        <x:v>46241.80420604167</x:v>
      </x:c>
      <x:c r="D1824" s="50" t="str">
        <x:v>SWING_SETUP</x:v>
      </x:c>
      <x:c r="E1824" s="50" t="str">
        <x:v>BABA SWING SETUP</x:v>
      </x:c>
      <x:c r="F1824" s="50" t="str">
        <x:v>WATCH</x:v>
      </x:c>
      <x:c r="G1824" s="50"/>
      <x:c r="H1824" s="50" t="str">
        <x:v>LONG</x:v>
      </x:c>
      <x:c r="I1824" s="71" t="n">
        <x:v>128.37</x:v>
      </x:c>
      <x:c r="J1824" s="76" t="str">
        <x:v>SIP</x:v>
      </x:c>
    </x:row>
    <x:row r="1825">
      <x:c r="A1825" s="50" t="str">
        <x:v>019fdda9-3bbf-7cdb-aab9-3be4040044e3</x:v>
      </x:c>
      <x:c r="B1825" s="50" t="str">
        <x:v>BLFS</x:v>
      </x:c>
      <x:c r="C1825" s="70" t="n">
        <x:v>46241.80420665509</x:v>
      </x:c>
      <x:c r="D1825" s="50" t="str">
        <x:v>SWING_SETUP</x:v>
      </x:c>
      <x:c r="E1825" s="50" t="str">
        <x:v>BLFS SWING SETUP</x:v>
      </x:c>
      <x:c r="F1825" s="50" t="str">
        <x:v>WATCH</x:v>
      </x:c>
      <x:c r="G1825" s="50"/>
      <x:c r="H1825" s="50" t="str">
        <x:v>LONG</x:v>
      </x:c>
      <x:c r="I1825" s="71" t="n">
        <x:v>34.54</x:v>
      </x:c>
      <x:c r="J1825" s="76" t="str">
        <x:v>SIP</x:v>
      </x:c>
    </x:row>
    <x:row r="1826">
      <x:c r="A1826" s="50" t="str">
        <x:v>019fdda9-3c6e-7a98-a696-bbdfdf023afa</x:v>
      </x:c>
      <x:c r="B1826" s="50" t="str">
        <x:v>TGT</x:v>
      </x:c>
      <x:c r="C1826" s="70" t="n">
        <x:v>46241.80420866898</x:v>
      </x:c>
      <x:c r="D1826" s="50" t="str">
        <x:v>SWING_SETUP</x:v>
      </x:c>
      <x:c r="E1826" s="50" t="str">
        <x:v>TGT SWING SETUP</x:v>
      </x:c>
      <x:c r="F1826" s="50" t="str">
        <x:v>WATCH</x:v>
      </x:c>
      <x:c r="G1826" s="50"/>
      <x:c r="H1826" s="50" t="str">
        <x:v>LONG</x:v>
      </x:c>
      <x:c r="I1826" s="71" t="n">
        <x:v>149.09</x:v>
      </x:c>
      <x:c r="J1826" s="76" t="str">
        <x:v>SIP</x:v>
      </x:c>
    </x:row>
    <x:row r="1827">
      <x:c r="A1827" s="50" t="str">
        <x:v>019fdda9-3d8b-76ae-8492-91711c1ea37b</x:v>
      </x:c>
      <x:c r="B1827" s="50" t="str">
        <x:v>CROX</x:v>
      </x:c>
      <x:c r="C1827" s="70" t="n">
        <x:v>46241.804211979164</x:v>
      </x:c>
      <x:c r="D1827" s="50" t="str">
        <x:v>SWING_SETUP</x:v>
      </x:c>
      <x:c r="E1827" s="50" t="str">
        <x:v>CROX SWING SETUP</x:v>
      </x:c>
      <x:c r="F1827" s="50" t="str">
        <x:v>WATCH</x:v>
      </x:c>
      <x:c r="G1827" s="50"/>
      <x:c r="H1827" s="50" t="str">
        <x:v>LONG</x:v>
      </x:c>
      <x:c r="I1827" s="71" t="n">
        <x:v>138.2875</x:v>
      </x:c>
      <x:c r="J1827" s="76" t="str">
        <x:v>SIP</x:v>
      </x:c>
    </x:row>
    <x:row r="1828">
      <x:c r="A1828" s="50" t="str">
        <x:v>019fdda9-3ebd-7054-8ca6-7f6587c755ff</x:v>
      </x:c>
      <x:c r="B1828" s="50" t="str">
        <x:v>OXY</x:v>
      </x:c>
      <x:c r="C1828" s="70" t="n">
        <x:v>46241.80421552083</x:v>
      </x:c>
      <x:c r="D1828" s="50" t="str">
        <x:v>LONG_BUY_ZONE</x:v>
      </x:c>
      <x:c r="E1828" s="50" t="str">
        <x:v>OXY LONG BUY ZONE</x:v>
      </x:c>
      <x:c r="F1828" s="50" t="str">
        <x:v>WATCH</x:v>
      </x:c>
      <x:c r="G1828" s="50"/>
      <x:c r="H1828" s="50" t="str">
        <x:v>LONG</x:v>
      </x:c>
      <x:c r="I1828" s="71" t="n">
        <x:v>55.965</x:v>
      </x:c>
      <x:c r="J1828" s="76" t="str">
        <x:v>SIP</x:v>
      </x:c>
    </x:row>
    <x:row r="1829">
      <x:c r="A1829" s="50" t="str">
        <x:v>019fdda9-3f66-7ca8-99cb-7fa88a33143d</x:v>
      </x:c>
      <x:c r="B1829" s="50" t="str">
        <x:v>VZ</x:v>
      </x:c>
      <x:c r="C1829" s="70" t="n">
        <x:v>46241.80421747685</x:v>
      </x:c>
      <x:c r="D1829" s="50" t="str">
        <x:v>LONG_BUY_ZONE</x:v>
      </x:c>
      <x:c r="E1829" s="50" t="str">
        <x:v>VZ LONG BUY ZONE</x:v>
      </x:c>
      <x:c r="F1829" s="50" t="str">
        <x:v>WATCH</x:v>
      </x:c>
      <x:c r="G1829" s="50"/>
      <x:c r="H1829" s="50" t="str">
        <x:v>LONG</x:v>
      </x:c>
      <x:c r="I1829" s="71" t="n">
        <x:v>46.95</x:v>
      </x:c>
      <x:c r="J1829" s="76" t="str">
        <x:v>SIP</x:v>
      </x:c>
    </x:row>
    <x:row r="1830">
      <x:c r="A1830" s="50" t="str">
        <x:v>019fdda9-4285-79dc-a9a1-4c8bc4c7ca2e</x:v>
      </x:c>
      <x:c r="B1830" s="50" t="str">
        <x:v>XOM</x:v>
      </x:c>
      <x:c r="C1830" s="70" t="n">
        <x:v>46241.80422672454</x:v>
      </x:c>
      <x:c r="D1830" s="50" t="str">
        <x:v>LONG_BUY_ZONE</x:v>
      </x:c>
      <x:c r="E1830" s="50" t="str">
        <x:v>XOM LONG BUY ZONE</x:v>
      </x:c>
      <x:c r="F1830" s="50" t="str">
        <x:v>WATCH</x:v>
      </x:c>
      <x:c r="G1830" s="50"/>
      <x:c r="H1830" s="50" t="str">
        <x:v>LONG</x:v>
      </x:c>
      <x:c r="I1830" s="71" t="n">
        <x:v>152.275</x:v>
      </x:c>
      <x:c r="J1830" s="76" t="str">
        <x:v>SIP</x:v>
      </x:c>
    </x:row>
    <x:row r="1831">
      <x:c r="A1831" s="50" t="str">
        <x:v>019fddab-1572-7363-929c-aaaa1f05bd7e</x:v>
      </x:c>
      <x:c r="B1831" s="50" t="str">
        <x:v>XOM</x:v>
      </x:c>
      <x:c r="C1831" s="70" t="n">
        <x:v>46241.805610208336</x:v>
      </x:c>
      <x:c r="D1831" s="50" t="str">
        <x:v>ENTRY_WATCH</x:v>
      </x:c>
      <x:c r="E1831" s="50" t="str">
        <x:v>XOM ENTRY BREAKAWAY WATCH</x:v>
      </x:c>
      <x:c r="F1831" s="50" t="str">
        <x:v>WATCH</x:v>
      </x:c>
      <x:c r="G1831" s="50"/>
      <x:c r="H1831" s="50" t="str">
        <x:v>LONG</x:v>
      </x:c>
      <x:c r="I1831" s="71" t="n">
        <x:v>152.44</x:v>
      </x:c>
      <x:c r="J1831" s="76" t="str">
        <x:v>SIP</x:v>
      </x:c>
    </x:row>
    <x:row r="1832">
      <x:c r="A1832" s="50" t="str">
        <x:v>019fddab-fa53-703a-8504-fd44c7169e9a</x:v>
      </x:c>
      <x:c r="B1832" s="50" t="str">
        <x:v>MRK</x:v>
      </x:c>
      <x:c r="C1832" s="70" t="n">
        <x:v>46241.806288368054</x:v>
      </x:c>
      <x:c r="D1832" s="50" t="str">
        <x:v>SWING_SETUP</x:v>
      </x:c>
      <x:c r="E1832" s="50" t="str">
        <x:v>MRK SWING SETUP</x:v>
      </x:c>
      <x:c r="F1832" s="50" t="str">
        <x:v>WATCH</x:v>
      </x:c>
      <x:c r="G1832" s="50"/>
      <x:c r="H1832" s="50" t="str">
        <x:v>LONG</x:v>
      </x:c>
      <x:c r="I1832" s="71" t="n">
        <x:v>128.265</x:v>
      </x:c>
      <x:c r="J1832" s="76" t="str">
        <x:v>SIP</x:v>
      </x:c>
    </x:row>
    <x:row r="1833">
      <x:c r="A1833" s="50" t="str">
        <x:v>019fddac-0011-7fa0-b53c-f7867102b4c3</x:v>
      </x:c>
      <x:c r="B1833" s="50" t="str">
        <x:v>XOM</x:v>
      </x:c>
      <x:c r="C1833" s="70" t="n">
        <x:v>46241.80630538194</x:v>
      </x:c>
      <x:c r="D1833" s="50" t="str">
        <x:v>ENTRY_WATCH</x:v>
      </x:c>
      <x:c r="E1833" s="50" t="str">
        <x:v>XOM ENTRY IN_ZONE EARLY WATCH</x:v>
      </x:c>
      <x:c r="F1833" s="50" t="str">
        <x:v>WATCH</x:v>
      </x:c>
      <x:c r="G1833" s="50"/>
      <x:c r="H1833" s="50" t="str">
        <x:v>LONG</x:v>
      </x:c>
      <x:c r="I1833" s="71" t="n">
        <x:v>152.32</x:v>
      </x:c>
      <x:c r="J1833" s="76" t="str">
        <x:v>SIP</x:v>
      </x:c>
    </x:row>
    <x:row r="1834">
      <x:c r="A1834" s="50" t="str">
        <x:v>019fddac-e2e5-7570-a411-cd64450d539a</x:v>
      </x:c>
      <x:c r="B1834" s="50" t="str">
        <x:v>AMZN</x:v>
      </x:c>
      <x:c r="C1834" s="70" t="n">
        <x:v>46241.806977465276</x:v>
      </x:c>
      <x:c r="D1834" s="50" t="str">
        <x:v>SWING_SETUP</x:v>
      </x:c>
      <x:c r="E1834" s="50" t="str">
        <x:v>AMZN SWING SETUP</x:v>
      </x:c>
      <x:c r="F1834" s="50" t="str">
        <x:v>WATCH</x:v>
      </x:c>
      <x:c r="G1834" s="50"/>
      <x:c r="H1834" s="50" t="str">
        <x:v>LONG</x:v>
      </x:c>
      <x:c r="I1834" s="71" t="n">
        <x:v>274.92</x:v>
      </x:c>
      <x:c r="J1834" s="76" t="str">
        <x:v>SIP</x:v>
      </x:c>
    </x:row>
    <x:row r="1835">
      <x:c r="A1835" s="50" t="str">
        <x:v>019fddac-e356-76e7-8255-fe70c037ed4d</x:v>
      </x:c>
      <x:c r="B1835" s="50" t="str">
        <x:v>ABNB</x:v>
      </x:c>
      <x:c r="C1835" s="70" t="n">
        <x:v>46241.80697877315</x:v>
      </x:c>
      <x:c r="D1835" s="50" t="str">
        <x:v>SWING_SETUP</x:v>
      </x:c>
      <x:c r="E1835" s="50" t="str">
        <x:v>ABNB SWING SETUP</x:v>
      </x:c>
      <x:c r="F1835" s="50" t="str">
        <x:v>WATCH</x:v>
      </x:c>
      <x:c r="G1835" s="50"/>
      <x:c r="H1835" s="50" t="str">
        <x:v>LONG</x:v>
      </x:c>
      <x:c r="I1835" s="71" t="n">
        <x:v>175.545</x:v>
      </x:c>
      <x:c r="J1835" s="76" t="str">
        <x:v>SIP</x:v>
      </x:c>
    </x:row>
    <x:row r="1836">
      <x:c r="A1836" s="50" t="str">
        <x:v>019fddac-e6aa-7bd6-9f89-5131655ec860</x:v>
      </x:c>
      <x:c r="B1836" s="50" t="str">
        <x:v>SNOW</x:v>
      </x:c>
      <x:c r="C1836" s="70" t="n">
        <x:v>46241.80698863426</x:v>
      </x:c>
      <x:c r="D1836" s="50" t="str">
        <x:v>SWING_SETUP</x:v>
      </x:c>
      <x:c r="E1836" s="50" t="str">
        <x:v>SNOW SWING SETUP</x:v>
      </x:c>
      <x:c r="F1836" s="50" t="str">
        <x:v>WATCH</x:v>
      </x:c>
      <x:c r="G1836" s="50"/>
      <x:c r="H1836" s="50" t="str">
        <x:v>LONG</x:v>
      </x:c>
      <x:c r="I1836" s="71" t="n">
        <x:v>327.485</x:v>
      </x:c>
      <x:c r="J1836" s="76" t="str">
        <x:v>SIP</x:v>
      </x:c>
    </x:row>
    <x:row r="1837">
      <x:c r="A1837" s="50" t="str">
        <x:v>019fddac-e7c7-7abc-9f25-da49d80bf721</x:v>
      </x:c>
      <x:c r="B1837" s="50" t="str">
        <x:v>RDW</x:v>
      </x:c>
      <x:c r="C1837" s="70" t="n">
        <x:v>46241.80699193287</x:v>
      </x:c>
      <x:c r="D1837" s="50" t="str">
        <x:v>SWING_SETUP</x:v>
      </x:c>
      <x:c r="E1837" s="50" t="str">
        <x:v>RDW SWING SETUP</x:v>
      </x:c>
      <x:c r="F1837" s="50" t="str">
        <x:v>WATCH</x:v>
      </x:c>
      <x:c r="G1837" s="50"/>
      <x:c r="H1837" s="50" t="str">
        <x:v>LONG</x:v>
      </x:c>
      <x:c r="I1837" s="71" t="n">
        <x:v>13.58</x:v>
      </x:c>
      <x:c r="J1837" s="76" t="str">
        <x:v>SIP</x:v>
      </x:c>
    </x:row>
    <x:row r="1838">
      <x:c r="A1838" s="50" t="str">
        <x:v>019fddac-e8ca-706c-b571-3702eec0cba8</x:v>
      </x:c>
      <x:c r="B1838" s="50" t="str">
        <x:v>KDP</x:v>
      </x:c>
      <x:c r="C1838" s="70" t="n">
        <x:v>46241.80699493056</x:v>
      </x:c>
      <x:c r="D1838" s="50" t="str">
        <x:v>LONG_BUY_ZONE</x:v>
      </x:c>
      <x:c r="E1838" s="50" t="str">
        <x:v>KDP LONG BUY ZONE</x:v>
      </x:c>
      <x:c r="F1838" s="50" t="str">
        <x:v>WATCH</x:v>
      </x:c>
      <x:c r="G1838" s="50"/>
      <x:c r="H1838" s="50" t="str">
        <x:v>LONG</x:v>
      </x:c>
      <x:c r="I1838" s="71" t="n">
        <x:v>30.125</x:v>
      </x:c>
      <x:c r="J1838" s="76" t="str">
        <x:v>SIP</x:v>
      </x:c>
    </x:row>
    <x:row r="1839">
      <x:c r="A1839" s="50" t="str">
        <x:v>019fddac-ed5b-784a-a5bd-9c474e45d69d</x:v>
      </x:c>
      <x:c r="B1839" s="50" t="str">
        <x:v>DE</x:v>
      </x:c>
      <x:c r="C1839" s="70" t="n">
        <x:v>46241.80700846065</x:v>
      </x:c>
      <x:c r="D1839" s="50" t="str">
        <x:v>LONG_BUY_ZONE</x:v>
      </x:c>
      <x:c r="E1839" s="50" t="str">
        <x:v>DE LONG BUY ZONE</x:v>
      </x:c>
      <x:c r="F1839" s="50" t="str">
        <x:v>WATCH</x:v>
      </x:c>
      <x:c r="G1839" s="50"/>
      <x:c r="H1839" s="50" t="str">
        <x:v>LONG</x:v>
      </x:c>
      <x:c r="I1839" s="71" t="n">
        <x:v>622.52</x:v>
      </x:c>
      <x:c r="J1839" s="76" t="str">
        <x:v>SIP</x:v>
      </x:c>
    </x:row>
    <x:row r="1840">
      <x:c r="A1840" s="50" t="str">
        <x:v>019fddad-d1c1-7070-a3b7-74157a54dc2a</x:v>
      </x:c>
      <x:c r="B1840" s="50" t="str">
        <x:v>NOC</x:v>
      </x:c>
      <x:c r="C1840" s="70" t="n">
        <x:v>46241.807685196756</x:v>
      </x:c>
      <x:c r="D1840" s="50" t="str">
        <x:v>SWING_SETUP</x:v>
      </x:c>
      <x:c r="E1840" s="50" t="str">
        <x:v>NOC SWING SETUP</x:v>
      </x:c>
      <x:c r="F1840" s="50" t="str">
        <x:v>WATCH</x:v>
      </x:c>
      <x:c r="G1840" s="50"/>
      <x:c r="H1840" s="50" t="str">
        <x:v>LONG</x:v>
      </x:c>
      <x:c r="I1840" s="71" t="n">
        <x:v>571.09</x:v>
      </x:c>
      <x:c r="J1840" s="76" t="str">
        <x:v>SIP</x:v>
      </x:c>
    </x:row>
    <x:row r="1841">
      <x:c r="A1841" s="50" t="str">
        <x:v>019fddaf-a60f-7c19-b652-deb6236370d4</x:v>
      </x:c>
      <x:c r="B1841" s="50" t="str">
        <x:v>INTU</x:v>
      </x:c>
      <x:c r="C1841" s="70" t="n">
        <x:v>46241.809072766206</x:v>
      </x:c>
      <x:c r="D1841" s="50" t="str">
        <x:v>SWING_SETUP</x:v>
      </x:c>
      <x:c r="E1841" s="50" t="str">
        <x:v>INTU SWING SETUP</x:v>
      </x:c>
      <x:c r="F1841" s="50" t="str">
        <x:v>WATCH</x:v>
      </x:c>
      <x:c r="G1841" s="50"/>
      <x:c r="H1841" s="50" t="str">
        <x:v>LONG</x:v>
      </x:c>
      <x:c r="I1841" s="71" t="n">
        <x:v>325.76</x:v>
      </x:c>
      <x:c r="J1841" s="76" t="str">
        <x:v>SIP</x:v>
      </x:c>
    </x:row>
    <x:row r="1842">
      <x:c r="A1842" s="50" t="str">
        <x:v>019fddaf-a6e4-7c15-9cfd-6261ade29e02</x:v>
      </x:c>
      <x:c r="B1842" s="50" t="str">
        <x:v>SBUX</x:v>
      </x:c>
      <x:c r="C1842" s="70" t="n">
        <x:v>46241.80907523148</x:v>
      </x:c>
      <x:c r="D1842" s="50" t="str">
        <x:v>SWING_SETUP</x:v>
      </x:c>
      <x:c r="E1842" s="50" t="str">
        <x:v>SBUX SWING SETUP</x:v>
      </x:c>
      <x:c r="F1842" s="50" t="str">
        <x:v>WATCH</x:v>
      </x:c>
      <x:c r="G1842" s="50"/>
      <x:c r="H1842" s="50" t="str">
        <x:v>LONG</x:v>
      </x:c>
      <x:c r="I1842" s="71" t="n">
        <x:v>106.67</x:v>
      </x:c>
      <x:c r="J1842" s="76" t="str">
        <x:v>SIP</x:v>
      </x:c>
    </x:row>
    <x:row r="1843">
      <x:c r="A1843" s="50" t="str">
        <x:v>019fddaf-a6f4-72e5-9b43-a75d6351b3f6</x:v>
      </x:c>
      <x:c r="B1843" s="50" t="str">
        <x:v>MDLZ</x:v>
      </x:c>
      <x:c r="C1843" s="70" t="n">
        <x:v>46241.80907541667</x:v>
      </x:c>
      <x:c r="D1843" s="50" t="str">
        <x:v>SWING_SETUP</x:v>
      </x:c>
      <x:c r="E1843" s="50" t="str">
        <x:v>MDLZ SWING SETUP</x:v>
      </x:c>
      <x:c r="F1843" s="50" t="str">
        <x:v>WATCH</x:v>
      </x:c>
      <x:c r="G1843" s="50"/>
      <x:c r="H1843" s="50" t="str">
        <x:v>LONG</x:v>
      </x:c>
      <x:c r="I1843" s="71" t="n">
        <x:v>62.746</x:v>
      </x:c>
      <x:c r="J1843" s="76" t="str">
        <x:v>SIP</x:v>
      </x:c>
    </x:row>
    <x:row r="1844">
      <x:c r="A1844" s="50" t="str">
        <x:v>019fddaf-a6fd-727b-b781-d444d79e670b</x:v>
      </x:c>
      <x:c r="B1844" s="50" t="str">
        <x:v>VZ</x:v>
      </x:c>
      <x:c r="C1844" s="70" t="n">
        <x:v>46241.809075509256</x:v>
      </x:c>
      <x:c r="D1844" s="50" t="str">
        <x:v>SWING_SETUP</x:v>
      </x:c>
      <x:c r="E1844" s="50" t="str">
        <x:v>VZ SWING SETUP</x:v>
      </x:c>
      <x:c r="F1844" s="50" t="str">
        <x:v>WATCH</x:v>
      </x:c>
      <x:c r="G1844" s="50"/>
      <x:c r="H1844" s="50" t="str">
        <x:v>LONG</x:v>
      </x:c>
      <x:c r="I1844" s="71" t="n">
        <x:v>46.96</x:v>
      </x:c>
      <x:c r="J1844" s="76" t="str">
        <x:v>SIP</x:v>
      </x:c>
    </x:row>
    <x:row r="1845">
      <x:c r="A1845" s="50" t="str">
        <x:v>019fddaf-a70e-79b0-bc25-4eeed653808f</x:v>
      </x:c>
      <x:c r="B1845" s="50" t="str">
        <x:v>UNP</x:v>
      </x:c>
      <x:c r="C1845" s="70" t="n">
        <x:v>46241.809075717596</x:v>
      </x:c>
      <x:c r="D1845" s="50" t="str">
        <x:v>SWING_SETUP</x:v>
      </x:c>
      <x:c r="E1845" s="50" t="str">
        <x:v>UNP SWING SETUP</x:v>
      </x:c>
      <x:c r="F1845" s="50" t="str">
        <x:v>WATCH</x:v>
      </x:c>
      <x:c r="G1845" s="50"/>
      <x:c r="H1845" s="50" t="str">
        <x:v>LONG</x:v>
      </x:c>
      <x:c r="I1845" s="71" t="n">
        <x:v>293.22</x:v>
      </x:c>
      <x:c r="J1845" s="76" t="str">
        <x:v>SIP</x:v>
      </x:c>
    </x:row>
    <x:row r="1846">
      <x:c r="A1846" s="50" t="str">
        <x:v>019fddaf-a719-7a4e-bfd2-4d692a12dc90</x:v>
      </x:c>
      <x:c r="B1846" s="50" t="str">
        <x:v>OXY</x:v>
      </x:c>
      <x:c r="C1846" s="70" t="n">
        <x:v>46241.80907584491</x:v>
      </x:c>
      <x:c r="D1846" s="50" t="str">
        <x:v>SWING_SETUP</x:v>
      </x:c>
      <x:c r="E1846" s="50" t="str">
        <x:v>OXY SWING SETUP</x:v>
      </x:c>
      <x:c r="F1846" s="50" t="str">
        <x:v>WATCH</x:v>
      </x:c>
      <x:c r="G1846" s="50"/>
      <x:c r="H1846" s="50" t="str">
        <x:v>LONG</x:v>
      </x:c>
      <x:c r="I1846" s="71" t="n">
        <x:v>55.975</x:v>
      </x:c>
      <x:c r="J1846" s="76" t="str">
        <x:v>SIP</x:v>
      </x:c>
    </x:row>
    <x:row r="1847">
      <x:c r="A1847" s="50" t="str">
        <x:v>019fddaf-a731-7875-9ea6-7bff4f53a253</x:v>
      </x:c>
      <x:c r="B1847" s="50" t="str">
        <x:v>COP</x:v>
      </x:c>
      <x:c r="C1847" s="70" t="n">
        <x:v>46241.809076122685</x:v>
      </x:c>
      <x:c r="D1847" s="50" t="str">
        <x:v>SWING_SETUP</x:v>
      </x:c>
      <x:c r="E1847" s="50" t="str">
        <x:v>COP SWING SETUP</x:v>
      </x:c>
      <x:c r="F1847" s="50" t="str">
        <x:v>WATCH</x:v>
      </x:c>
      <x:c r="G1847" s="50"/>
      <x:c r="H1847" s="50" t="str">
        <x:v>LONG</x:v>
      </x:c>
      <x:c r="I1847" s="71" t="n">
        <x:v>117.435</x:v>
      </x:c>
      <x:c r="J1847" s="76" t="str">
        <x:v>SIP</x:v>
      </x:c>
    </x:row>
    <x:row r="1848">
      <x:c r="A1848" s="50" t="str">
        <x:v>019fddaf-a9ba-71f9-a9df-d170188466ce</x:v>
      </x:c>
      <x:c r="B1848" s="50" t="str">
        <x:v>APH</x:v>
      </x:c>
      <x:c r="C1848" s="70" t="n">
        <x:v>46241.809083622684</x:v>
      </x:c>
      <x:c r="D1848" s="50" t="str">
        <x:v>LONG_BUY_ZONE</x:v>
      </x:c>
      <x:c r="E1848" s="50" t="str">
        <x:v>APH LONG BUY ZONE</x:v>
      </x:c>
      <x:c r="F1848" s="50" t="str">
        <x:v>WATCH</x:v>
      </x:c>
      <x:c r="G1848" s="50"/>
      <x:c r="H1848" s="50" t="str">
        <x:v>LONG</x:v>
      </x:c>
      <x:c r="I1848" s="71" t="n">
        <x:v>168.56</x:v>
      </x:c>
      <x:c r="J1848" s="76" t="str">
        <x:v>SIP</x:v>
      </x:c>
    </x:row>
    <x:row r="1849">
      <x:c r="A1849" s="50" t="str">
        <x:v>019fddaf-aadf-7ba5-b677-83727a87217c</x:v>
      </x:c>
      <x:c r="B1849" s="50" t="str">
        <x:v>SBUX</x:v>
      </x:c>
      <x:c r="C1849" s="70" t="n">
        <x:v>46241.80908702546</x:v>
      </x:c>
      <x:c r="D1849" s="50" t="str">
        <x:v>LONG_BUY_ZONE</x:v>
      </x:c>
      <x:c r="E1849" s="50" t="str">
        <x:v>SBUX LONG BUY ZONE</x:v>
      </x:c>
      <x:c r="F1849" s="50" t="str">
        <x:v>WATCH</x:v>
      </x:c>
      <x:c r="G1849" s="50"/>
      <x:c r="H1849" s="50" t="str">
        <x:v>LONG</x:v>
      </x:c>
      <x:c r="I1849" s="71" t="n">
        <x:v>106.73</x:v>
      </x:c>
      <x:c r="J1849" s="76" t="str">
        <x:v>SIP</x:v>
      </x:c>
    </x:row>
    <x:row r="1850">
      <x:c r="A1850" s="50" t="str">
        <x:v>019fddb2-6171-7318-aafe-aff26b643974</x:v>
      </x:c>
      <x:c r="B1850" s="50" t="str">
        <x:v>BMY</x:v>
      </x:c>
      <x:c r="C1850" s="70" t="n">
        <x:v>46241.811145011576</x:v>
      </x:c>
      <x:c r="D1850" s="50" t="str">
        <x:v>SWING_SETUP</x:v>
      </x:c>
      <x:c r="E1850" s="50" t="str">
        <x:v>BMY SWING SETUP</x:v>
      </x:c>
      <x:c r="F1850" s="50" t="str">
        <x:v>WATCH</x:v>
      </x:c>
      <x:c r="G1850" s="50"/>
      <x:c r="H1850" s="50" t="str">
        <x:v>LONG</x:v>
      </x:c>
      <x:c r="I1850" s="71" t="n">
        <x:v>64.465</x:v>
      </x:c>
      <x:c r="J1850" s="76" t="str">
        <x:v>SIP</x:v>
      </x:c>
    </x:row>
    <x:row r="1851">
      <x:c r="A1851" s="50" t="str">
        <x:v>019fddb2-6212-7794-af7b-8d706417d799</x:v>
      </x:c>
      <x:c r="B1851" s="50" t="str">
        <x:v>ABBV</x:v>
      </x:c>
      <x:c r="C1851" s="70" t="n">
        <x:v>46241.811146875</x:v>
      </x:c>
      <x:c r="D1851" s="50" t="str">
        <x:v>LONG_BUY_ZONE</x:v>
      </x:c>
      <x:c r="E1851" s="50" t="str">
        <x:v>ABBV LONG BUY ZONE</x:v>
      </x:c>
      <x:c r="F1851" s="50" t="str">
        <x:v>WATCH</x:v>
      </x:c>
      <x:c r="G1851" s="50"/>
      <x:c r="H1851" s="50" t="str">
        <x:v>LONG</x:v>
      </x:c>
      <x:c r="I1851" s="71" t="n">
        <x:v>245.411</x:v>
      </x:c>
      <x:c r="J1851" s="76" t="str">
        <x:v>SIP</x:v>
      </x:c>
    </x:row>
    <x:row r="1852">
      <x:c r="A1852" s="50" t="str">
        <x:v>019fddb2-624b-7cbc-8bb1-5f27c43f718c</x:v>
      </x:c>
      <x:c r="B1852" s="50" t="str">
        <x:v>PLTR</x:v>
      </x:c>
      <x:c r="C1852" s="70" t="n">
        <x:v>46241.811147534725</x:v>
      </x:c>
      <x:c r="D1852" s="50" t="str">
        <x:v>SWING_SETUP</x:v>
      </x:c>
      <x:c r="E1852" s="50" t="str">
        <x:v>PLTR SWING SETUP</x:v>
      </x:c>
      <x:c r="F1852" s="50" t="str">
        <x:v>WATCH</x:v>
      </x:c>
      <x:c r="G1852" s="50"/>
      <x:c r="H1852" s="50" t="str">
        <x:v>LONG</x:v>
      </x:c>
      <x:c r="I1852" s="71" t="n">
        <x:v>170.7</x:v>
      </x:c>
      <x:c r="J1852" s="76" t="str">
        <x:v>SIP</x:v>
      </x:c>
    </x:row>
    <x:row r="1853">
      <x:c r="A1853" s="50" t="str">
        <x:v>019fddb2-634e-7896-9fec-b5fb4d6a0ff5</x:v>
      </x:c>
      <x:c r="B1853" s="50" t="str">
        <x:v>LMT</x:v>
      </x:c>
      <x:c r="C1853" s="70" t="n">
        <x:v>46241.811150532405</x:v>
      </x:c>
      <x:c r="D1853" s="50" t="str">
        <x:v>SWING_SETUP</x:v>
      </x:c>
      <x:c r="E1853" s="50" t="str">
        <x:v>LMT SWING SETUP</x:v>
      </x:c>
      <x:c r="F1853" s="50" t="str">
        <x:v>WATCH</x:v>
      </x:c>
      <x:c r="G1853" s="50"/>
      <x:c r="H1853" s="50" t="str">
        <x:v>LONG</x:v>
      </x:c>
      <x:c r="I1853" s="71" t="n">
        <x:v>587.31</x:v>
      </x:c>
      <x:c r="J1853" s="76" t="str">
        <x:v>SIP</x:v>
      </x:c>
    </x:row>
    <x:row r="1854">
      <x:c r="A1854" s="50" t="str">
        <x:v>019fddb2-6400-7778-972f-3d920baa2d97</x:v>
      </x:c>
      <x:c r="B1854" s="50" t="str">
        <x:v>APA</x:v>
      </x:c>
      <x:c r="C1854" s="70" t="n">
        <x:v>46241.81115259259</x:v>
      </x:c>
      <x:c r="D1854" s="50" t="str">
        <x:v>SWING_SETUP</x:v>
      </x:c>
      <x:c r="E1854" s="50" t="str">
        <x:v>APA SWING SETUP</x:v>
      </x:c>
      <x:c r="F1854" s="50" t="str">
        <x:v>WATCH</x:v>
      </x:c>
      <x:c r="G1854" s="50"/>
      <x:c r="H1854" s="50" t="str">
        <x:v>LONG</x:v>
      </x:c>
      <x:c r="I1854" s="71" t="n">
        <x:v>37.53</x:v>
      </x:c>
      <x:c r="J1854" s="76" t="str">
        <x:v>SIP</x:v>
      </x:c>
    </x:row>
    <x:row r="1855">
      <x:c r="A1855" s="50" t="str">
        <x:v>019fddb2-640a-78df-a7ca-b16d83db531f</x:v>
      </x:c>
      <x:c r="B1855" s="50" t="str">
        <x:v>WELL</x:v>
      </x:c>
      <x:c r="C1855" s="70" t="n">
        <x:v>46241.81115270833</x:v>
      </x:c>
      <x:c r="D1855" s="50" t="str">
        <x:v>SWING_SETUP</x:v>
      </x:c>
      <x:c r="E1855" s="50" t="str">
        <x:v>WELL SWING SETUP</x:v>
      </x:c>
      <x:c r="F1855" s="50" t="str">
        <x:v>WATCH</x:v>
      </x:c>
      <x:c r="G1855" s="50"/>
      <x:c r="H1855" s="50" t="str">
        <x:v>LONG</x:v>
      </x:c>
      <x:c r="I1855" s="71" t="n">
        <x:v>236.65</x:v>
      </x:c>
      <x:c r="J1855" s="76" t="str">
        <x:v>SIP</x:v>
      </x:c>
    </x:row>
    <x:row r="1856">
      <x:c r="A1856" s="50" t="str">
        <x:v>019fddb2-64f3-71c2-90fd-372f6db2a4cb</x:v>
      </x:c>
      <x:c r="B1856" s="50" t="str">
        <x:v>ANET</x:v>
      </x:c>
      <x:c r="C1856" s="70" t="n">
        <x:v>46241.81115540509</x:v>
      </x:c>
      <x:c r="D1856" s="50" t="str">
        <x:v>SWING_SETUP</x:v>
      </x:c>
      <x:c r="E1856" s="50" t="str">
        <x:v>ANET SWING SETUP</x:v>
      </x:c>
      <x:c r="F1856" s="50" t="str">
        <x:v>WATCH</x:v>
      </x:c>
      <x:c r="G1856" s="50"/>
      <x:c r="H1856" s="50" t="str">
        <x:v>LONG</x:v>
      </x:c>
      <x:c r="I1856" s="71" t="n">
        <x:v>189.03</x:v>
      </x:c>
      <x:c r="J1856" s="76" t="str">
        <x:v>SIP</x:v>
      </x:c>
    </x:row>
    <x:row r="1857">
      <x:c r="A1857" s="50" t="str">
        <x:v>019fddb2-6869-7153-9ad1-f9c7e9454822</x:v>
      </x:c>
      <x:c r="B1857" s="50" t="str">
        <x:v>ECL</x:v>
      </x:c>
      <x:c r="C1857" s="70" t="n">
        <x:v>46241.811165659725</x:v>
      </x:c>
      <x:c r="D1857" s="50" t="str">
        <x:v>LONG_BUY_ZONE</x:v>
      </x:c>
      <x:c r="E1857" s="50" t="str">
        <x:v>ECL LONG BUY ZONE</x:v>
      </x:c>
      <x:c r="F1857" s="50" t="str">
        <x:v>WATCH</x:v>
      </x:c>
      <x:c r="G1857" s="50"/>
      <x:c r="H1857" s="50" t="str">
        <x:v>LONG</x:v>
      </x:c>
      <x:c r="I1857" s="71" t="n">
        <x:v>283.83</x:v>
      </x:c>
      <x:c r="J1857" s="76" t="str">
        <x:v>SIP</x:v>
      </x:c>
    </x:row>
    <x:row r="1858">
      <x:c r="A1858" s="50" t="str">
        <x:v>019fddb2-6cb0-7878-83b3-a9c22dfe48c6</x:v>
      </x:c>
      <x:c r="B1858" s="50" t="str">
        <x:v>PM</x:v>
      </x:c>
      <x:c r="C1858" s="70" t="n">
        <x:v>46241.81117833333</x:v>
      </x:c>
      <x:c r="D1858" s="50" t="str">
        <x:v>LONG_BUY_ZONE</x:v>
      </x:c>
      <x:c r="E1858" s="50" t="str">
        <x:v>PM LONG BUY ZONE</x:v>
      </x:c>
      <x:c r="F1858" s="50" t="str">
        <x:v>WATCH</x:v>
      </x:c>
      <x:c r="G1858" s="50"/>
      <x:c r="H1858" s="50" t="str">
        <x:v>LONG</x:v>
      </x:c>
      <x:c r="I1858" s="71" t="n">
        <x:v>189.155</x:v>
      </x:c>
      <x:c r="J1858" s="76" t="str">
        <x:v>SIP</x:v>
      </x:c>
    </x:row>
    <x:row r="1859">
      <x:c r="A1859" s="50" t="str">
        <x:v>019fddb3-4bd2-74af-af30-c0acc233dfc3</x:v>
      </x:c>
      <x:c r="B1859" s="50" t="str">
        <x:v>BLK</x:v>
      </x:c>
      <x:c r="C1859" s="70" t="n">
        <x:v>46241.81183946759</x:v>
      </x:c>
      <x:c r="D1859" s="50" t="str">
        <x:v>SWING_SETUP</x:v>
      </x:c>
      <x:c r="E1859" s="50" t="str">
        <x:v>BLK SWING SETUP</x:v>
      </x:c>
      <x:c r="F1859" s="50" t="str">
        <x:v>WATCH</x:v>
      </x:c>
      <x:c r="G1859" s="50"/>
      <x:c r="H1859" s="50" t="str">
        <x:v>LONG</x:v>
      </x:c>
      <x:c r="I1859" s="71" t="n">
        <x:v>1142.3</x:v>
      </x:c>
      <x:c r="J1859" s="76" t="str">
        <x:v>SIP</x:v>
      </x:c>
    </x:row>
    <x:row r="1860">
      <x:c r="A1860" s="50" t="str">
        <x:v>019fddb3-4c98-7d14-9ca0-b7540e4d793b</x:v>
      </x:c>
      <x:c r="B1860" s="50" t="str">
        <x:v>RCL</x:v>
      </x:c>
      <x:c r="C1860" s="70" t="n">
        <x:v>46241.811841759256</x:v>
      </x:c>
      <x:c r="D1860" s="50" t="str">
        <x:v>SWING_SETUP</x:v>
      </x:c>
      <x:c r="E1860" s="50" t="str">
        <x:v>RCL SWING SETUP</x:v>
      </x:c>
      <x:c r="F1860" s="50" t="str">
        <x:v>WATCH</x:v>
      </x:c>
      <x:c r="G1860" s="50"/>
      <x:c r="H1860" s="50" t="str">
        <x:v>LONG</x:v>
      </x:c>
      <x:c r="I1860" s="71" t="n">
        <x:v>321.495</x:v>
      </x:c>
      <x:c r="J1860" s="76" t="str">
        <x:v>SIP</x:v>
      </x:c>
    </x:row>
    <x:row r="1861">
      <x:c r="A1861" s="50" t="str">
        <x:v>019fddb3-4da5-7d71-b6ff-a4541f84fe0f</x:v>
      </x:c>
      <x:c r="B1861" s="50" t="str">
        <x:v>JPM</x:v>
      </x:c>
      <x:c r="C1861" s="70" t="n">
        <x:v>46241.81184487268</x:v>
      </x:c>
      <x:c r="D1861" s="50" t="str">
        <x:v>SWING_SETUP</x:v>
      </x:c>
      <x:c r="E1861" s="50" t="str">
        <x:v>JPM SWING SETUP</x:v>
      </x:c>
      <x:c r="F1861" s="50" t="str">
        <x:v>WATCH</x:v>
      </x:c>
      <x:c r="G1861" s="50"/>
      <x:c r="H1861" s="50" t="str">
        <x:v>LONG</x:v>
      </x:c>
      <x:c r="I1861" s="71" t="n">
        <x:v>358.67</x:v>
      </x:c>
      <x:c r="J1861" s="76" t="str">
        <x:v>SIP</x:v>
      </x:c>
    </x:row>
    <x:row r="1862">
      <x:c r="A1862" s="50" t="str">
        <x:v>019fddb3-4dc6-75ac-869c-b79587380fa2</x:v>
      </x:c>
      <x:c r="B1862" s="50" t="str">
        <x:v>PFE</x:v>
      </x:c>
      <x:c r="C1862" s="70" t="n">
        <x:v>46241.81184525463</x:v>
      </x:c>
      <x:c r="D1862" s="50" t="str">
        <x:v>SWING_SETUP</x:v>
      </x:c>
      <x:c r="E1862" s="50" t="str">
        <x:v>PFE SWING SETUP</x:v>
      </x:c>
      <x:c r="F1862" s="50" t="str">
        <x:v>WATCH</x:v>
      </x:c>
      <x:c r="G1862" s="50"/>
      <x:c r="H1862" s="50" t="str">
        <x:v>LONG</x:v>
      </x:c>
      <x:c r="I1862" s="71" t="n">
        <x:v>26.565</x:v>
      </x:c>
      <x:c r="J1862" s="76" t="str">
        <x:v>SIP</x:v>
      </x:c>
    </x:row>
    <x:row r="1863">
      <x:c r="A1863" s="50" t="str">
        <x:v>019fddb3-4de9-7fbd-8bdf-f183a91be95c</x:v>
      </x:c>
      <x:c r="B1863" s="50" t="str">
        <x:v>JD</x:v>
      </x:c>
      <x:c r="C1863" s="70" t="n">
        <x:v>46241.81184565972</x:v>
      </x:c>
      <x:c r="D1863" s="50" t="str">
        <x:v>SWING_SETUP</x:v>
      </x:c>
      <x:c r="E1863" s="50" t="str">
        <x:v>JD SWING SETUP</x:v>
      </x:c>
      <x:c r="F1863" s="50" t="str">
        <x:v>WATCH</x:v>
      </x:c>
      <x:c r="G1863" s="50"/>
      <x:c r="H1863" s="50" t="str">
        <x:v>LONG</x:v>
      </x:c>
      <x:c r="I1863" s="71" t="n">
        <x:v>32.925</x:v>
      </x:c>
      <x:c r="J1863" s="76" t="str">
        <x:v>SIP</x:v>
      </x:c>
    </x:row>
    <x:row r="1864">
      <x:c r="A1864" s="50" t="str">
        <x:v>019fddb3-4e13-7c65-8ede-7b427ce90787</x:v>
      </x:c>
      <x:c r="B1864" s="50" t="str">
        <x:v>BAC</x:v>
      </x:c>
      <x:c r="C1864" s="70" t="n">
        <x:v>46241.811846145836</x:v>
      </x:c>
      <x:c r="D1864" s="50" t="str">
        <x:v>SWING_SETUP</x:v>
      </x:c>
      <x:c r="E1864" s="50" t="str">
        <x:v>BAC SWING SETUP</x:v>
      </x:c>
      <x:c r="F1864" s="50" t="str">
        <x:v>WATCH</x:v>
      </x:c>
      <x:c r="G1864" s="50"/>
      <x:c r="H1864" s="50" t="str">
        <x:v>LONG</x:v>
      </x:c>
      <x:c r="I1864" s="71" t="n">
        <x:v>63.175</x:v>
      </x:c>
      <x:c r="J1864" s="76" t="str">
        <x:v>SIP</x:v>
      </x:c>
    </x:row>
    <x:row r="1865">
      <x:c r="A1865" s="50" t="str">
        <x:v>019fddb3-4e26-746d-9563-90234a3f10be</x:v>
      </x:c>
      <x:c r="B1865" s="50" t="str">
        <x:v>ETHA</x:v>
      </x:c>
      <x:c r="C1865" s="70" t="n">
        <x:v>46241.81184635417</x:v>
      </x:c>
      <x:c r="D1865" s="50" t="str">
        <x:v>SWING_SETUP</x:v>
      </x:c>
      <x:c r="E1865" s="50" t="str">
        <x:v>ETHA SWING SETUP</x:v>
      </x:c>
      <x:c r="F1865" s="50" t="str">
        <x:v>WATCH</x:v>
      </x:c>
      <x:c r="G1865" s="50"/>
      <x:c r="H1865" s="50" t="str">
        <x:v>LONG</x:v>
      </x:c>
      <x:c r="I1865" s="71" t="n">
        <x:v>14.43</x:v>
      </x:c>
      <x:c r="J1865" s="76" t="str">
        <x:v>SIP</x:v>
      </x:c>
    </x:row>
    <x:row r="1866">
      <x:c r="A1866" s="50" t="str">
        <x:v>019fddb3-4e38-73e7-8d95-a6a407ed8987</x:v>
      </x:c>
      <x:c r="B1866" s="50" t="str">
        <x:v>TMDX</x:v>
      </x:c>
      <x:c r="C1866" s="70" t="n">
        <x:v>46241.81184657408</x:v>
      </x:c>
      <x:c r="D1866" s="50" t="str">
        <x:v>SWING_SETUP</x:v>
      </x:c>
      <x:c r="E1866" s="50" t="str">
        <x:v>TMDX SWING SETUP</x:v>
      </x:c>
      <x:c r="F1866" s="50" t="str">
        <x:v>WATCH</x:v>
      </x:c>
      <x:c r="G1866" s="50"/>
      <x:c r="H1866" s="50" t="str">
        <x:v>LONG</x:v>
      </x:c>
      <x:c r="I1866" s="71" t="n">
        <x:v>81.5</x:v>
      </x:c>
      <x:c r="J1866" s="76" t="str">
        <x:v>SIP</x:v>
      </x:c>
    </x:row>
    <x:row r="1867">
      <x:c r="A1867" s="50" t="str">
        <x:v>019fddb3-4ee8-7f68-bce6-ce6eef3a5c85</x:v>
      </x:c>
      <x:c r="B1867" s="50" t="str">
        <x:v>KO</x:v>
      </x:c>
      <x:c r="C1867" s="70" t="n">
        <x:v>46241.81184861111</x:v>
      </x:c>
      <x:c r="D1867" s="50" t="str">
        <x:v>SWING_SETUP</x:v>
      </x:c>
      <x:c r="E1867" s="50" t="str">
        <x:v>KO SWING SETUP</x:v>
      </x:c>
      <x:c r="F1867" s="50" t="str">
        <x:v>WATCH</x:v>
      </x:c>
      <x:c r="G1867" s="50"/>
      <x:c r="H1867" s="50" t="str">
        <x:v>LONG</x:v>
      </x:c>
      <x:c r="I1867" s="71" t="n">
        <x:v>87.075</x:v>
      </x:c>
      <x:c r="J1867" s="76" t="str">
        <x:v>SIP</x:v>
      </x:c>
    </x:row>
    <x:row r="1868">
      <x:c r="A1868" s="50" t="str">
        <x:v>019fddb3-4f13-79ba-97d6-749814091818</x:v>
      </x:c>
      <x:c r="B1868" s="50" t="str">
        <x:v>CEG</x:v>
      </x:c>
      <x:c r="C1868" s="70" t="n">
        <x:v>46241.811849108795</x:v>
      </x:c>
      <x:c r="D1868" s="50" t="str">
        <x:v>SWING_SETUP</x:v>
      </x:c>
      <x:c r="E1868" s="50" t="str">
        <x:v>CEG SWING SETUP</x:v>
      </x:c>
      <x:c r="F1868" s="50" t="str">
        <x:v>WATCH</x:v>
      </x:c>
      <x:c r="G1868" s="50"/>
      <x:c r="H1868" s="50" t="str">
        <x:v>LONG</x:v>
      </x:c>
      <x:c r="I1868" s="71" t="n">
        <x:v>268.46</x:v>
      </x:c>
      <x:c r="J1868" s="76" t="str">
        <x:v>SIP</x:v>
      </x:c>
    </x:row>
    <x:row r="1869">
      <x:c r="A1869" s="50" t="str">
        <x:v>019fddb3-4f76-7cbd-b8bd-9efa70bb0f6e</x:v>
      </x:c>
      <x:c r="B1869" s="50" t="str">
        <x:v>SHW</x:v>
      </x:c>
      <x:c r="C1869" s="70" t="n">
        <x:v>46241.81185025463</x:v>
      </x:c>
      <x:c r="D1869" s="50" t="str">
        <x:v>SWING_SETUP</x:v>
      </x:c>
      <x:c r="E1869" s="50" t="str">
        <x:v>SHW SWING SETUP</x:v>
      </x:c>
      <x:c r="F1869" s="50" t="str">
        <x:v>WATCH</x:v>
      </x:c>
      <x:c r="G1869" s="50"/>
      <x:c r="H1869" s="50" t="str">
        <x:v>LONG</x:v>
      </x:c>
      <x:c r="I1869" s="71" t="n">
        <x:v>368.71</x:v>
      </x:c>
      <x:c r="J1869" s="76" t="str">
        <x:v>SIP</x:v>
      </x:c>
    </x:row>
    <x:row r="1870">
      <x:c r="A1870" s="50" t="str">
        <x:v>019fddb3-54df-78ed-997f-b50b35897bf2</x:v>
      </x:c>
      <x:c r="B1870" s="50" t="str">
        <x:v>HRL</x:v>
      </x:c>
      <x:c r="C1870" s="70" t="n">
        <x:v>46241.81186628472</x:v>
      </x:c>
      <x:c r="D1870" s="50" t="str">
        <x:v>LONG_BUY_ZONE</x:v>
      </x:c>
      <x:c r="E1870" s="50" t="str">
        <x:v>HRL LONG BUY ZONE</x:v>
      </x:c>
      <x:c r="F1870" s="50" t="str">
        <x:v>WATCH</x:v>
      </x:c>
      <x:c r="G1870" s="50"/>
      <x:c r="H1870" s="50" t="str">
        <x:v>LONG</x:v>
      </x:c>
      <x:c r="I1870" s="71" t="n">
        <x:v>25.085</x:v>
      </x:c>
      <x:c r="J1870" s="76" t="str">
        <x:v>SIP</x:v>
      </x:c>
    </x:row>
    <x:row r="1871">
      <x:c r="A1871" s="50" t="str">
        <x:v>019fddb4-3752-7dd0-8742-b6ec2d17b20b</x:v>
      </x:c>
      <x:c r="B1871" s="50" t="str">
        <x:v>PM</x:v>
      </x:c>
      <x:c r="C1871" s="70" t="n">
        <x:v>46241.81253724537</x:v>
      </x:c>
      <x:c r="D1871" s="50" t="str">
        <x:v>SWING_SETUP</x:v>
      </x:c>
      <x:c r="E1871" s="50" t="str">
        <x:v>PM SWING SETUP</x:v>
      </x:c>
      <x:c r="F1871" s="50" t="str">
        <x:v>WATCH</x:v>
      </x:c>
      <x:c r="G1871" s="50"/>
      <x:c r="H1871" s="50" t="str">
        <x:v>LONG</x:v>
      </x:c>
      <x:c r="I1871" s="71" t="n">
        <x:v>189.015</x:v>
      </x:c>
      <x:c r="J1871" s="76" t="str">
        <x:v>SIP</x:v>
      </x:c>
    </x:row>
    <x:row r="1872">
      <x:c r="A1872" s="50" t="str">
        <x:v>019fddb4-37cd-7406-a75d-a875d0800ef7</x:v>
      </x:c>
      <x:c r="B1872" s="50" t="str">
        <x:v>MMM</x:v>
      </x:c>
      <x:c r="C1872" s="70" t="n">
        <x:v>46241.81253866898</x:v>
      </x:c>
      <x:c r="D1872" s="50" t="str">
        <x:v>SWING_SETUP</x:v>
      </x:c>
      <x:c r="E1872" s="50" t="str">
        <x:v>MMM SWING SETUP</x:v>
      </x:c>
      <x:c r="F1872" s="50" t="str">
        <x:v>WATCH</x:v>
      </x:c>
      <x:c r="G1872" s="50"/>
      <x:c r="H1872" s="50" t="str">
        <x:v>LONG</x:v>
      </x:c>
      <x:c r="I1872" s="71" t="n">
        <x:v>183.02</x:v>
      </x:c>
      <x:c r="J1872" s="76" t="str">
        <x:v>SIP</x:v>
      </x:c>
    </x:row>
    <x:row r="1873">
      <x:c r="A1873" s="50" t="str">
        <x:v>019fddb4-37d6-7332-b624-68bbaeb35032</x:v>
      </x:c>
      <x:c r="B1873" s="50" t="str">
        <x:v>ABT</x:v>
      </x:c>
      <x:c r="C1873" s="70" t="n">
        <x:v>46241.81253877315</x:v>
      </x:c>
      <x:c r="D1873" s="50" t="str">
        <x:v>SWING_SETUP</x:v>
      </x:c>
      <x:c r="E1873" s="50" t="str">
        <x:v>ABT SWING SETUP</x:v>
      </x:c>
      <x:c r="F1873" s="50" t="str">
        <x:v>WATCH</x:v>
      </x:c>
      <x:c r="G1873" s="50"/>
      <x:c r="H1873" s="50" t="str">
        <x:v>LONG</x:v>
      </x:c>
      <x:c r="I1873" s="71" t="n">
        <x:v>107.36</x:v>
      </x:c>
      <x:c r="J1873" s="76" t="str">
        <x:v>SIP</x:v>
      </x:c>
    </x:row>
    <x:row r="1874">
      <x:c r="A1874" s="50" t="str">
        <x:v>019fddb4-3ad9-7fe2-af34-f39bf8a30b6c</x:v>
      </x:c>
      <x:c r="B1874" s="50" t="str">
        <x:v>GS</x:v>
      </x:c>
      <x:c r="C1874" s="70" t="n">
        <x:v>46241.81254769676</x:v>
      </x:c>
      <x:c r="D1874" s="50" t="str">
        <x:v>LONG_BUY_ZONE</x:v>
      </x:c>
      <x:c r="E1874" s="50" t="str">
        <x:v>GS LONG BUY ZONE</x:v>
      </x:c>
      <x:c r="F1874" s="50" t="str">
        <x:v>WATCH</x:v>
      </x:c>
      <x:c r="G1874" s="50"/>
      <x:c r="H1874" s="50" t="str">
        <x:v>LONG</x:v>
      </x:c>
      <x:c r="I1874" s="71" t="n">
        <x:v>1041.605</x:v>
      </x:c>
      <x:c r="J1874" s="76" t="str">
        <x:v>SIP</x:v>
      </x:c>
    </x:row>
    <x:row r="1875">
      <x:c r="A1875" s="50" t="str">
        <x:v>019fddb4-4084-7205-a4e8-03684752e9ea</x:v>
      </x:c>
      <x:c r="B1875" s="50" t="str">
        <x:v>RCL</x:v>
      </x:c>
      <x:c r="C1875" s="70" t="n">
        <x:v>46241.81256449074</x:v>
      </x:c>
      <x:c r="D1875" s="50" t="str">
        <x:v>LONG_BUY_ZONE</x:v>
      </x:c>
      <x:c r="E1875" s="50" t="str">
        <x:v>RCL LONG BUY ZONE</x:v>
      </x:c>
      <x:c r="F1875" s="50" t="str">
        <x:v>WATCH</x:v>
      </x:c>
      <x:c r="G1875" s="50"/>
      <x:c r="H1875" s="50" t="str">
        <x:v>LONG</x:v>
      </x:c>
      <x:c r="I1875" s="71" t="n">
        <x:v>322</x:v>
      </x:c>
      <x:c r="J1875" s="76" t="str">
        <x:v>SIP</x:v>
      </x:c>
    </x:row>
    <x:row r="1876">
      <x:c r="A1876" s="50" t="str">
        <x:v>019fddb5-21c6-707e-95c9-bd45fb876807</x:v>
      </x:c>
      <x:c r="B1876" s="50" t="str">
        <x:v>PYPL</x:v>
      </x:c>
      <x:c r="C1876" s="70" t="n">
        <x:v>46241.8132319213</x:v>
      </x:c>
      <x:c r="D1876" s="50" t="str">
        <x:v>SWING_SETUP</x:v>
      </x:c>
      <x:c r="E1876" s="50" t="str">
        <x:v>PYPL SWING SETUP</x:v>
      </x:c>
      <x:c r="F1876" s="50" t="str">
        <x:v>WATCH</x:v>
      </x:c>
      <x:c r="G1876" s="50"/>
      <x:c r="H1876" s="50" t="str">
        <x:v>LONG</x:v>
      </x:c>
      <x:c r="I1876" s="71" t="n">
        <x:v>58.91</x:v>
      </x:c>
      <x:c r="J1876" s="76" t="str">
        <x:v>SIP</x:v>
      </x:c>
    </x:row>
    <x:row r="1877">
      <x:c r="A1877" s="50" t="str">
        <x:v>019fddb5-224a-736a-9f84-079644fc9b5c</x:v>
      </x:c>
      <x:c r="B1877" s="50" t="str">
        <x:v>ECL</x:v>
      </x:c>
      <x:c r="C1877" s="70" t="n">
        <x:v>46241.81323344907</x:v>
      </x:c>
      <x:c r="D1877" s="50" t="str">
        <x:v>SWING_SETUP</x:v>
      </x:c>
      <x:c r="E1877" s="50" t="str">
        <x:v>ECL SWING SETUP</x:v>
      </x:c>
      <x:c r="F1877" s="50" t="str">
        <x:v>WATCH</x:v>
      </x:c>
      <x:c r="G1877" s="50"/>
      <x:c r="H1877" s="50" t="str">
        <x:v>LONG</x:v>
      </x:c>
      <x:c r="I1877" s="71" t="n">
        <x:v>284.03</x:v>
      </x:c>
      <x:c r="J1877" s="76" t="str">
        <x:v>SIP</x:v>
      </x:c>
    </x:row>
    <x:row r="1878">
      <x:c r="A1878" s="50" t="str">
        <x:v>019fddb5-22fb-7c2c-8eba-e8f234457343</x:v>
      </x:c>
      <x:c r="B1878" s="50" t="str">
        <x:v>SE</x:v>
      </x:c>
      <x:c r="C1878" s="70" t="n">
        <x:v>46241.813235497684</x:v>
      </x:c>
      <x:c r="D1878" s="50" t="str">
        <x:v>SWING_SETUP</x:v>
      </x:c>
      <x:c r="E1878" s="50" t="str">
        <x:v>SE SWING SETUP</x:v>
      </x:c>
      <x:c r="F1878" s="50" t="str">
        <x:v>WATCH</x:v>
      </x:c>
      <x:c r="G1878" s="50"/>
      <x:c r="H1878" s="50" t="str">
        <x:v>LONG</x:v>
      </x:c>
      <x:c r="I1878" s="71" t="n">
        <x:v>113.165</x:v>
      </x:c>
      <x:c r="J1878" s="76" t="str">
        <x:v>SIP</x:v>
      </x:c>
    </x:row>
    <x:row r="1879">
      <x:c r="A1879" s="50" t="str">
        <x:v>019fddb5-2385-73f7-94e1-fb38749b2b61</x:v>
      </x:c>
      <x:c r="B1879" s="50" t="str">
        <x:v>ABCL</x:v>
      </x:c>
      <x:c r="C1879" s="70" t="n">
        <x:v>46241.81323709491</x:v>
      </x:c>
      <x:c r="D1879" s="50" t="str">
        <x:v>SWING_SETUP</x:v>
      </x:c>
      <x:c r="E1879" s="50" t="str">
        <x:v>ABCL SWING SETUP</x:v>
      </x:c>
      <x:c r="F1879" s="50" t="str">
        <x:v>WATCH</x:v>
      </x:c>
      <x:c r="G1879" s="50"/>
      <x:c r="H1879" s="50" t="str">
        <x:v>LONG</x:v>
      </x:c>
      <x:c r="I1879" s="71" t="n">
        <x:v>6.76</x:v>
      </x:c>
      <x:c r="J1879" s="76" t="str">
        <x:v>SIP</x:v>
      </x:c>
    </x:row>
    <x:row r="1880">
      <x:c r="A1880" s="50" t="str">
        <x:v>019fddb5-239e-7bfb-aefd-78669e9f3f9d</x:v>
      </x:c>
      <x:c r="B1880" s="50" t="str">
        <x:v>CRM</x:v>
      </x:c>
      <x:c r="C1880" s="70" t="n">
        <x:v>46241.813237372684</x:v>
      </x:c>
      <x:c r="D1880" s="50" t="str">
        <x:v>SWING_SETUP</x:v>
      </x:c>
      <x:c r="E1880" s="50" t="str">
        <x:v>CRM SWING SETUP</x:v>
      </x:c>
      <x:c r="F1880" s="50" t="str">
        <x:v>WATCH</x:v>
      </x:c>
      <x:c r="G1880" s="50"/>
      <x:c r="H1880" s="50" t="str">
        <x:v>LONG</x:v>
      </x:c>
      <x:c r="I1880" s="71" t="n">
        <x:v>192.14</x:v>
      </x:c>
      <x:c r="J1880" s="76" t="str">
        <x:v>SIP</x:v>
      </x:c>
    </x:row>
    <x:row r="1881">
      <x:c r="A1881" s="50" t="str">
        <x:v>019fddb5-240f-727d-bace-151b3624918a</x:v>
      </x:c>
      <x:c r="B1881" s="50" t="str">
        <x:v>DLR</x:v>
      </x:c>
      <x:c r="C1881" s="70" t="n">
        <x:v>46241.81323868056</x:v>
      </x:c>
      <x:c r="D1881" s="50" t="str">
        <x:v>SWING_SETUP</x:v>
      </x:c>
      <x:c r="E1881" s="50" t="str">
        <x:v>DLR SWING SETUP</x:v>
      </x:c>
      <x:c r="F1881" s="50" t="str">
        <x:v>WATCH</x:v>
      </x:c>
      <x:c r="G1881" s="50"/>
      <x:c r="H1881" s="50" t="str">
        <x:v>LONG</x:v>
      </x:c>
      <x:c r="I1881" s="71" t="n">
        <x:v>194.12</x:v>
      </x:c>
      <x:c r="J1881" s="76" t="str">
        <x:v>SIP</x:v>
      </x:c>
    </x:row>
    <x:row r="1882">
      <x:c r="A1882" s="50" t="str">
        <x:v>019fddb5-2421-7310-a838-c8a61d01684f</x:v>
      </x:c>
      <x:c r="B1882" s="50" t="str">
        <x:v>TEM</x:v>
      </x:c>
      <x:c r="C1882" s="70" t="n">
        <x:v>46241.81323890046</x:v>
      </x:c>
      <x:c r="D1882" s="50" t="str">
        <x:v>SWING_SETUP</x:v>
      </x:c>
      <x:c r="E1882" s="50" t="str">
        <x:v>TEM SWING SETUP</x:v>
      </x:c>
      <x:c r="F1882" s="50" t="str">
        <x:v>WATCH</x:v>
      </x:c>
      <x:c r="G1882" s="50"/>
      <x:c r="H1882" s="50" t="str">
        <x:v>LONG</x:v>
      </x:c>
      <x:c r="I1882" s="71" t="n">
        <x:v>52.065</x:v>
      </x:c>
      <x:c r="J1882" s="76" t="str">
        <x:v>SIP</x:v>
      </x:c>
    </x:row>
    <x:row r="1883">
      <x:c r="A1883" s="50" t="str">
        <x:v>019fddb5-24a1-7dbc-b9c1-1e851929543a</x:v>
      </x:c>
      <x:c r="B1883" s="50" t="str">
        <x:v>UEC</x:v>
      </x:c>
      <x:c r="C1883" s="70" t="n">
        <x:v>46241.81324038195</x:v>
      </x:c>
      <x:c r="D1883" s="50" t="str">
        <x:v>SWING_SETUP</x:v>
      </x:c>
      <x:c r="E1883" s="50" t="str">
        <x:v>UEC SWING SETUP</x:v>
      </x:c>
      <x:c r="F1883" s="50" t="str">
        <x:v>WATCH</x:v>
      </x:c>
      <x:c r="G1883" s="50"/>
      <x:c r="H1883" s="50" t="str">
        <x:v>LONG</x:v>
      </x:c>
      <x:c r="I1883" s="71" t="n">
        <x:v>11.365</x:v>
      </x:c>
      <x:c r="J1883" s="76" t="str">
        <x:v>SIP</x:v>
      </x:c>
    </x:row>
    <x:row r="1884">
      <x:c r="A1884" s="50" t="str">
        <x:v>019fddb5-2504-7cef-9b95-a94ce103c469</x:v>
      </x:c>
      <x:c r="B1884" s="50" t="str">
        <x:v>BBWI</x:v>
      </x:c>
      <x:c r="C1884" s="70" t="n">
        <x:v>46241.81324152778</x:v>
      </x:c>
      <x:c r="D1884" s="50" t="str">
        <x:v>SWING_SETUP</x:v>
      </x:c>
      <x:c r="E1884" s="50" t="str">
        <x:v>BBWI SWING SETUP</x:v>
      </x:c>
      <x:c r="F1884" s="50" t="str">
        <x:v>WATCH</x:v>
      </x:c>
      <x:c r="G1884" s="50"/>
      <x:c r="H1884" s="50" t="str">
        <x:v>LONG</x:v>
      </x:c>
      <x:c r="I1884" s="71" t="n">
        <x:v>20.495</x:v>
      </x:c>
      <x:c r="J1884" s="76" t="str">
        <x:v>SIP</x:v>
      </x:c>
    </x:row>
    <x:row r="1885">
      <x:c r="A1885" s="50" t="str">
        <x:v>019fddb5-2682-7a91-a28b-f5605991894c</x:v>
      </x:c>
      <x:c r="B1885" s="50" t="str">
        <x:v>NUE</x:v>
      </x:c>
      <x:c r="C1885" s="70" t="n">
        <x:v>46241.81324594907</x:v>
      </x:c>
      <x:c r="D1885" s="50" t="str">
        <x:v>SWING_SETUP</x:v>
      </x:c>
      <x:c r="E1885" s="50" t="str">
        <x:v>NUE SWING SETUP</x:v>
      </x:c>
      <x:c r="F1885" s="50" t="str">
        <x:v>WATCH</x:v>
      </x:c>
      <x:c r="G1885" s="50"/>
      <x:c r="H1885" s="50" t="str">
        <x:v>LONG</x:v>
      </x:c>
      <x:c r="I1885" s="71" t="n">
        <x:v>272.26</x:v>
      </x:c>
      <x:c r="J1885" s="76" t="str">
        <x:v>SIP</x:v>
      </x:c>
    </x:row>
    <x:row r="1886">
      <x:c r="A1886" s="50" t="str">
        <x:v>019fddb5-26e1-7301-b399-c09d0be01786</x:v>
      </x:c>
      <x:c r="B1886" s="50" t="str">
        <x:v>ETN</x:v>
      </x:c>
      <x:c r="C1886" s="70" t="n">
        <x:v>46241.81324704861</x:v>
      </x:c>
      <x:c r="D1886" s="50" t="str">
        <x:v>SWING_SETUP</x:v>
      </x:c>
      <x:c r="E1886" s="50" t="str">
        <x:v>ETN SWING SETUP</x:v>
      </x:c>
      <x:c r="F1886" s="50" t="str">
        <x:v>WATCH</x:v>
      </x:c>
      <x:c r="G1886" s="50"/>
      <x:c r="H1886" s="50" t="str">
        <x:v>LONG</x:v>
      </x:c>
      <x:c r="I1886" s="71" t="n">
        <x:v>448.43</x:v>
      </x:c>
      <x:c r="J1886" s="76" t="str">
        <x:v>SIP</x:v>
      </x:c>
    </x:row>
    <x:row r="1887">
      <x:c r="A1887" s="50" t="str">
        <x:v>019fddb6-0b97-777b-8274-17c0530deed8</x:v>
      </x:c>
      <x:c r="B1887" s="50" t="str">
        <x:v>RIOT</x:v>
      </x:c>
      <x:c r="C1887" s="70" t="n">
        <x:v>46241.813924710645</x:v>
      </x:c>
      <x:c r="D1887" s="50" t="str">
        <x:v>ENTRY_WATCH</x:v>
      </x:c>
      <x:c r="E1887" s="50" t="str">
        <x:v>RIOT ENTRY IN_ZONE EARLY WATCH</x:v>
      </x:c>
      <x:c r="F1887" s="50" t="str">
        <x:v>WATCH</x:v>
      </x:c>
      <x:c r="G1887" s="50"/>
      <x:c r="H1887" s="50" t="str">
        <x:v>LONG</x:v>
      </x:c>
      <x:c r="I1887" s="71" t="n">
        <x:v>20.595</x:v>
      </x:c>
      <x:c r="J1887" s="76" t="str">
        <x:v>SIP</x:v>
      </x:c>
    </x:row>
    <x:row r="1888">
      <x:c r="A1888" s="50" t="str">
        <x:v>019fddb6-0c8a-7146-b51c-38a1a7b75f98</x:v>
      </x:c>
      <x:c r="B1888" s="50" t="str">
        <x:v>TMO</x:v>
      </x:c>
      <x:c r="C1888" s="70" t="n">
        <x:v>46241.81392752315</x:v>
      </x:c>
      <x:c r="D1888" s="50" t="str">
        <x:v>SWING_SETUP</x:v>
      </x:c>
      <x:c r="E1888" s="50" t="str">
        <x:v>TMO SWING SETUP</x:v>
      </x:c>
      <x:c r="F1888" s="50" t="str">
        <x:v>WATCH</x:v>
      </x:c>
      <x:c r="G1888" s="50"/>
      <x:c r="H1888" s="50" t="str">
        <x:v>LONG</x:v>
      </x:c>
      <x:c r="I1888" s="71" t="n">
        <x:v>588.87</x:v>
      </x:c>
      <x:c r="J1888" s="76" t="str">
        <x:v>SIP</x:v>
      </x:c>
    </x:row>
    <x:row r="1889">
      <x:c r="A1889" s="50" t="str">
        <x:v>019fddb6-0d84-7699-af26-2d4c7f16e135</x:v>
      </x:c>
      <x:c r="B1889" s="50" t="str">
        <x:v>SCHW</x:v>
      </x:c>
      <x:c r="C1889" s="70" t="n">
        <x:v>46241.81393041667</x:v>
      </x:c>
      <x:c r="D1889" s="50" t="str">
        <x:v>SWING_SETUP</x:v>
      </x:c>
      <x:c r="E1889" s="50" t="str">
        <x:v>SCHW SWING SETUP</x:v>
      </x:c>
      <x:c r="F1889" s="50" t="str">
        <x:v>WATCH</x:v>
      </x:c>
      <x:c r="G1889" s="50"/>
      <x:c r="H1889" s="50" t="str">
        <x:v>LONG</x:v>
      </x:c>
      <x:c r="I1889" s="71" t="n">
        <x:v>107.42</x:v>
      </x:c>
      <x:c r="J1889" s="76" t="str">
        <x:v>SIP</x:v>
      </x:c>
    </x:row>
    <x:row r="1890">
      <x:c r="A1890" s="50" t="str">
        <x:v>019fddb6-0de2-7c6b-9b80-a8d7c471190a</x:v>
      </x:c>
      <x:c r="B1890" s="50" t="str">
        <x:v>BKNG</x:v>
      </x:c>
      <x:c r="C1890" s="70" t="n">
        <x:v>46241.81393150463</x:v>
      </x:c>
      <x:c r="D1890" s="50" t="str">
        <x:v>SWING_SETUP</x:v>
      </x:c>
      <x:c r="E1890" s="50" t="str">
        <x:v>BKNG SWING SETUP</x:v>
      </x:c>
      <x:c r="F1890" s="50" t="str">
        <x:v>WATCH</x:v>
      </x:c>
      <x:c r="G1890" s="50"/>
      <x:c r="H1890" s="50" t="str">
        <x:v>LONG</x:v>
      </x:c>
      <x:c r="I1890" s="71" t="n">
        <x:v>213.905</x:v>
      </x:c>
      <x:c r="J1890" s="76" t="str">
        <x:v>SIP</x:v>
      </x:c>
    </x:row>
    <x:row r="1891">
      <x:c r="A1891" s="50" t="str">
        <x:v>019fddb6-0fb0-7682-8520-a708ec0cef8f</x:v>
      </x:c>
      <x:c r="B1891" s="50" t="str">
        <x:v>DE</x:v>
      </x:c>
      <x:c r="C1891" s="70" t="n">
        <x:v>46241.81393685185</x:v>
      </x:c>
      <x:c r="D1891" s="50" t="str">
        <x:v>SWING_SETUP</x:v>
      </x:c>
      <x:c r="E1891" s="50" t="str">
        <x:v>DE SWING SETUP</x:v>
      </x:c>
      <x:c r="F1891" s="50" t="str">
        <x:v>WATCH</x:v>
      </x:c>
      <x:c r="G1891" s="50"/>
      <x:c r="H1891" s="50" t="str">
        <x:v>LONG</x:v>
      </x:c>
      <x:c r="I1891" s="71" t="n">
        <x:v>622.63</x:v>
      </x:c>
      <x:c r="J1891" s="76" t="str">
        <x:v>SIP</x:v>
      </x:c>
    </x:row>
    <x:row r="1892">
      <x:c r="A1892" s="50" t="str">
        <x:v>019fddb6-138a-7781-9854-4021b1c9c267</x:v>
      </x:c>
      <x:c r="B1892" s="50" t="str">
        <x:v>XOM</x:v>
      </x:c>
      <x:c r="C1892" s="70" t="n">
        <x:v>46241.81394826389</x:v>
      </x:c>
      <x:c r="D1892" s="50" t="str">
        <x:v>ENTRY_WATCH</x:v>
      </x:c>
      <x:c r="E1892" s="50" t="str">
        <x:v>XOM ENTRY BREAKAWAY WATCH</x:v>
      </x:c>
      <x:c r="F1892" s="50" t="str">
        <x:v>WATCH</x:v>
      </x:c>
      <x:c r="G1892" s="50"/>
      <x:c r="H1892" s="50" t="str">
        <x:v>LONG</x:v>
      </x:c>
      <x:c r="I1892" s="71" t="n">
        <x:v>152.44</x:v>
      </x:c>
      <x:c r="J1892" s="76" t="str">
        <x:v>SIP</x:v>
      </x:c>
    </x:row>
    <x:row r="1893">
      <x:c r="A1893" s="50" t="str">
        <x:v>019fddb6-f4d1-7910-a144-2caa5350d3e4</x:v>
      </x:c>
      <x:c r="B1893" s="50" t="str">
        <x:v>RTX</x:v>
      </x:c>
      <x:c r="C1893" s="70" t="n">
        <x:v>46241.814615752315</x:v>
      </x:c>
      <x:c r="D1893" s="50" t="str">
        <x:v>SWING_SETUP</x:v>
      </x:c>
      <x:c r="E1893" s="50" t="str">
        <x:v>RTX SWING SETUP</x:v>
      </x:c>
      <x:c r="F1893" s="50" t="str">
        <x:v>WATCH</x:v>
      </x:c>
      <x:c r="G1893" s="50"/>
      <x:c r="H1893" s="50" t="str">
        <x:v>LONG</x:v>
      </x:c>
      <x:c r="I1893" s="71" t="n">
        <x:v>222.87</x:v>
      </x:c>
      <x:c r="J1893" s="76" t="str">
        <x:v>SIP</x:v>
      </x:c>
    </x:row>
    <x:row r="1894">
      <x:c r="A1894" s="50" t="str">
        <x:v>019fddb6-fb1c-7cdd-bfde-59f8932876fb</x:v>
      </x:c>
      <x:c r="B1894" s="50" t="str">
        <x:v>VZ</x:v>
      </x:c>
      <x:c r="C1894" s="70" t="n">
        <x:v>46241.81463439815</x:v>
      </x:c>
      <x:c r="D1894" s="50" t="str">
        <x:v>LONG_BUY_ZONE</x:v>
      </x:c>
      <x:c r="E1894" s="50" t="str">
        <x:v>VZ LONG BUY ZONE</x:v>
      </x:c>
      <x:c r="F1894" s="50" t="str">
        <x:v>WATCH</x:v>
      </x:c>
      <x:c r="G1894" s="50"/>
      <x:c r="H1894" s="50" t="str">
        <x:v>LONG</x:v>
      </x:c>
      <x:c r="I1894" s="71" t="n">
        <x:v>46.975</x:v>
      </x:c>
      <x:c r="J1894" s="76" t="str">
        <x:v>SIP</x:v>
      </x:c>
    </x:row>
    <x:row r="1895">
      <x:c r="A1895" s="50" t="str">
        <x:v>019fddb7-00e9-7547-b612-d2c0eb4e27f7</x:v>
      </x:c>
      <x:c r="B1895" s="50" t="str">
        <x:v>OXY</x:v>
      </x:c>
      <x:c r="C1895" s="70" t="n">
        <x:v>46241.81465158565</x:v>
      </x:c>
      <x:c r="D1895" s="50" t="str">
        <x:v>LONG_BUY_ZONE</x:v>
      </x:c>
      <x:c r="E1895" s="50" t="str">
        <x:v>OXY LONG BUY ZONE</x:v>
      </x:c>
      <x:c r="F1895" s="50" t="str">
        <x:v>WATCH</x:v>
      </x:c>
      <x:c r="G1895" s="50"/>
      <x:c r="H1895" s="50" t="str">
        <x:v>LONG</x:v>
      </x:c>
      <x:c r="I1895" s="71" t="n">
        <x:v>55.985</x:v>
      </x:c>
      <x:c r="J1895" s="76" t="str">
        <x:v>SIP</x:v>
      </x:c>
    </x:row>
    <x:row r="1896">
      <x:c r="A1896" s="50" t="str">
        <x:v>019fddb7-e049-71ce-84aa-3cea010f9eb3</x:v>
      </x:c>
      <x:c r="B1896" s="50" t="str">
        <x:v>WFC</x:v>
      </x:c>
      <x:c r="C1896" s="70" t="n">
        <x:v>46241.8153134375</x:v>
      </x:c>
      <x:c r="D1896" s="50" t="str">
        <x:v>SWING_SETUP</x:v>
      </x:c>
      <x:c r="E1896" s="50" t="str">
        <x:v>WFC SWING SETUP</x:v>
      </x:c>
      <x:c r="F1896" s="50" t="str">
        <x:v>WATCH</x:v>
      </x:c>
      <x:c r="G1896" s="50"/>
      <x:c r="H1896" s="50" t="str">
        <x:v>LONG</x:v>
      </x:c>
      <x:c r="I1896" s="71" t="n">
        <x:v>87.295</x:v>
      </x:c>
      <x:c r="J1896" s="76" t="str">
        <x:v>SIP</x:v>
      </x:c>
    </x:row>
    <x:row r="1897">
      <x:c r="A1897" s="50" t="str">
        <x:v>019fddb7-e07e-740d-8c48-a201cdc6120b</x:v>
      </x:c>
      <x:c r="B1897" s="50" t="str">
        <x:v>AMGN</x:v>
      </x:c>
      <x:c r="C1897" s="70" t="n">
        <x:v>46241.815314039355</x:v>
      </x:c>
      <x:c r="D1897" s="50" t="str">
        <x:v>SWING_SETUP</x:v>
      </x:c>
      <x:c r="E1897" s="50" t="str">
        <x:v>AMGN SWING SETUP</x:v>
      </x:c>
      <x:c r="F1897" s="50" t="str">
        <x:v>WATCH</x:v>
      </x:c>
      <x:c r="G1897" s="50"/>
      <x:c r="H1897" s="50" t="str">
        <x:v>LONG</x:v>
      </x:c>
      <x:c r="I1897" s="71" t="n">
        <x:v>410.19</x:v>
      </x:c>
      <x:c r="J1897" s="76" t="str">
        <x:v>SIP</x:v>
      </x:c>
    </x:row>
    <x:row r="1898">
      <x:c r="A1898" s="50" t="str">
        <x:v>019fddb7-e0b4-700e-8b4e-d31e01770118</x:v>
      </x:c>
      <x:c r="B1898" s="50" t="str">
        <x:v>BABA</x:v>
      </x:c>
      <x:c r="C1898" s="70" t="n">
        <x:v>46241.81531466435</x:v>
      </x:c>
      <x:c r="D1898" s="50" t="str">
        <x:v>SWING_SETUP</x:v>
      </x:c>
      <x:c r="E1898" s="50" t="str">
        <x:v>BABA SWING SETUP</x:v>
      </x:c>
      <x:c r="F1898" s="50" t="str">
        <x:v>WATCH</x:v>
      </x:c>
      <x:c r="G1898" s="50"/>
      <x:c r="H1898" s="50" t="str">
        <x:v>LONG</x:v>
      </x:c>
      <x:c r="I1898" s="71" t="n">
        <x:v>128.42</x:v>
      </x:c>
      <x:c r="J1898" s="76" t="str">
        <x:v>SIP</x:v>
      </x:c>
    </x:row>
    <x:row r="1899">
      <x:c r="A1899" s="50" t="str">
        <x:v>019fddb7-e0e7-7e06-910a-b67a2abca897</x:v>
      </x:c>
      <x:c r="B1899" s="50" t="str">
        <x:v>BLFS</x:v>
      </x:c>
      <x:c r="C1899" s="70" t="n">
        <x:v>46241.815315266205</x:v>
      </x:c>
      <x:c r="D1899" s="50" t="str">
        <x:v>SWING_SETUP</x:v>
      </x:c>
      <x:c r="E1899" s="50" t="str">
        <x:v>BLFS SWING SETUP</x:v>
      </x:c>
      <x:c r="F1899" s="50" t="str">
        <x:v>WATCH</x:v>
      </x:c>
      <x:c r="G1899" s="50"/>
      <x:c r="H1899" s="50" t="str">
        <x:v>LONG</x:v>
      </x:c>
      <x:c r="I1899" s="71" t="n">
        <x:v>34.575</x:v>
      </x:c>
      <x:c r="J1899" s="76" t="str">
        <x:v>SIP</x:v>
      </x:c>
    </x:row>
    <x:row r="1900">
      <x:c r="A1900" s="50" t="str">
        <x:v>019fddb7-e1fe-775d-b475-d35c64478994</x:v>
      </x:c>
      <x:c r="B1900" s="50" t="str">
        <x:v>TGT</x:v>
      </x:c>
      <x:c r="C1900" s="70" t="n">
        <x:v>46241.81531849537</x:v>
      </x:c>
      <x:c r="D1900" s="50" t="str">
        <x:v>SWING_SETUP</x:v>
      </x:c>
      <x:c r="E1900" s="50" t="str">
        <x:v>TGT SWING SETUP</x:v>
      </x:c>
      <x:c r="F1900" s="50" t="str">
        <x:v>WATCH</x:v>
      </x:c>
      <x:c r="G1900" s="50"/>
      <x:c r="H1900" s="50" t="str">
        <x:v>LONG</x:v>
      </x:c>
      <x:c r="I1900" s="71" t="n">
        <x:v>148.885</x:v>
      </x:c>
      <x:c r="J1900" s="76" t="str">
        <x:v>SIP</x:v>
      </x:c>
    </x:row>
    <x:row r="1901">
      <x:c r="A1901" s="50" t="str">
        <x:v>019fddb7-e2d6-7354-8c26-e9e2312b84e1</x:v>
      </x:c>
      <x:c r="B1901" s="50" t="str">
        <x:v>CROX</x:v>
      </x:c>
      <x:c r="C1901" s="70" t="n">
        <x:v>46241.8153209838</x:v>
      </x:c>
      <x:c r="D1901" s="50" t="str">
        <x:v>SWING_SETUP</x:v>
      </x:c>
      <x:c r="E1901" s="50" t="str">
        <x:v>CROX SWING SETUP</x:v>
      </x:c>
      <x:c r="F1901" s="50" t="str">
        <x:v>WATCH</x:v>
      </x:c>
      <x:c r="G1901" s="50"/>
      <x:c r="H1901" s="50" t="str">
        <x:v>LONG</x:v>
      </x:c>
      <x:c r="I1901" s="71" t="n">
        <x:v>138.2875</x:v>
      </x:c>
      <x:c r="J1901" s="76" t="str">
        <x:v>SIP</x:v>
      </x:c>
    </x:row>
    <x:row r="1902">
      <x:c r="A1902" s="50" t="str">
        <x:v>019fddb7-e4e8-77e8-82b2-03d103ac616e</x:v>
      </x:c>
      <x:c r="B1902" s="50" t="str">
        <x:v>XOM</x:v>
      </x:c>
      <x:c r="C1902" s="70" t="n">
        <x:v>46241.81532712963</x:v>
      </x:c>
      <x:c r="D1902" s="50" t="str">
        <x:v>LONG_BUY_ZONE</x:v>
      </x:c>
      <x:c r="E1902" s="50" t="str">
        <x:v>XOM LONG BUY ZONE</x:v>
      </x:c>
      <x:c r="F1902" s="50" t="str">
        <x:v>WATCH</x:v>
      </x:c>
      <x:c r="G1902" s="50"/>
      <x:c r="H1902" s="50" t="str">
        <x:v>LONG</x:v>
      </x:c>
      <x:c r="I1902" s="71" t="n">
        <x:v>152.465</x:v>
      </x:c>
      <x:c r="J1902" s="76" t="str">
        <x:v>SIP</x:v>
      </x:c>
    </x:row>
    <x:row r="1903">
      <x:c r="A1903" s="50" t="str">
        <x:v>019fddb9-b6ad-7366-b0e1-290aae512d52</x:v>
      </x:c>
      <x:c r="B1903" s="50" t="str">
        <x:v>NXE</x:v>
      </x:c>
      <x:c r="C1903" s="70" t="n">
        <x:v>46241.8167071875</x:v>
      </x:c>
      <x:c r="D1903" s="50" t="str">
        <x:v>SWING_SETUP</x:v>
      </x:c>
      <x:c r="E1903" s="50" t="str">
        <x:v>NXE SWING SETUP</x:v>
      </x:c>
      <x:c r="F1903" s="50" t="str">
        <x:v>WATCH</x:v>
      </x:c>
      <x:c r="G1903" s="50"/>
      <x:c r="H1903" s="50" t="str">
        <x:v>LONG</x:v>
      </x:c>
      <x:c r="I1903" s="71" t="n">
        <x:v>10.495</x:v>
      </x:c>
      <x:c r="J1903" s="76" t="str">
        <x:v>SIP</x:v>
      </x:c>
    </x:row>
    <x:row r="1904">
      <x:c r="A1904" s="50" t="str">
        <x:v>019fddba-a1dc-7b6b-b9b8-bd7ddab3d07c</x:v>
      </x:c>
      <x:c r="B1904" s="50" t="str">
        <x:v>AMZN</x:v>
      </x:c>
      <x:c r="C1904" s="70" t="n">
        <x:v>46241.81740402778</x:v>
      </x:c>
      <x:c r="D1904" s="50" t="str">
        <x:v>SWING_SETUP</x:v>
      </x:c>
      <x:c r="E1904" s="50" t="str">
        <x:v>AMZN SWING SETUP</x:v>
      </x:c>
      <x:c r="F1904" s="50" t="str">
        <x:v>WATCH</x:v>
      </x:c>
      <x:c r="G1904" s="50"/>
      <x:c r="H1904" s="50" t="str">
        <x:v>LONG</x:v>
      </x:c>
      <x:c r="I1904" s="71" t="n">
        <x:v>274.83</x:v>
      </x:c>
      <x:c r="J1904" s="76" t="str">
        <x:v>SIP</x:v>
      </x:c>
    </x:row>
    <x:row r="1905">
      <x:c r="A1905" s="50" t="str">
        <x:v>019fddba-a228-708b-9b47-e4c0cff633a1</x:v>
      </x:c>
      <x:c r="B1905" s="50" t="str">
        <x:v>ABNB</x:v>
      </x:c>
      <x:c r="C1905" s="70" t="n">
        <x:v>46241.81740490741</x:v>
      </x:c>
      <x:c r="D1905" s="50" t="str">
        <x:v>SWING_SETUP</x:v>
      </x:c>
      <x:c r="E1905" s="50" t="str">
        <x:v>ABNB SWING SETUP</x:v>
      </x:c>
      <x:c r="F1905" s="50" t="str">
        <x:v>WATCH</x:v>
      </x:c>
      <x:c r="G1905" s="50"/>
      <x:c r="H1905" s="50" t="str">
        <x:v>LONG</x:v>
      </x:c>
      <x:c r="I1905" s="71" t="n">
        <x:v>175.715</x:v>
      </x:c>
      <x:c r="J1905" s="76" t="str">
        <x:v>SIP</x:v>
      </x:c>
    </x:row>
    <x:row r="1906">
      <x:c r="A1906" s="50" t="str">
        <x:v>019fddba-a268-77e2-ad68-9157847bea38</x:v>
      </x:c>
      <x:c r="B1906" s="50" t="str">
        <x:v>MRK</x:v>
      </x:c>
      <x:c r="C1906" s="70" t="n">
        <x:v>46241.81740564815</x:v>
      </x:c>
      <x:c r="D1906" s="50" t="str">
        <x:v>SWING_SETUP</x:v>
      </x:c>
      <x:c r="E1906" s="50" t="str">
        <x:v>MRK SWING SETUP</x:v>
      </x:c>
      <x:c r="F1906" s="50" t="str">
        <x:v>WATCH</x:v>
      </x:c>
      <x:c r="G1906" s="50"/>
      <x:c r="H1906" s="50" t="str">
        <x:v>LONG</x:v>
      </x:c>
      <x:c r="I1906" s="71" t="n">
        <x:v>128.63</x:v>
      </x:c>
      <x:c r="J1906" s="76" t="str">
        <x:v>SIP</x:v>
      </x:c>
    </x:row>
    <x:row r="1907">
      <x:c r="A1907" s="50" t="str">
        <x:v>019fddbb-8c48-7e56-8683-b40adc6e4e1b</x:v>
      </x:c>
      <x:c r="B1907" s="50" t="str">
        <x:v>SNOW</x:v>
      </x:c>
      <x:c r="C1907" s="70" t="n">
        <x:v>46241.81809861111</x:v>
      </x:c>
      <x:c r="D1907" s="50" t="str">
        <x:v>SWING_SETUP</x:v>
      </x:c>
      <x:c r="E1907" s="50" t="str">
        <x:v>SNOW SWING SETUP</x:v>
      </x:c>
      <x:c r="F1907" s="50" t="str">
        <x:v>WATCH</x:v>
      </x:c>
      <x:c r="G1907" s="50"/>
      <x:c r="H1907" s="50" t="str">
        <x:v>LONG</x:v>
      </x:c>
      <x:c r="I1907" s="71" t="n">
        <x:v>327.24</x:v>
      </x:c>
      <x:c r="J1907" s="76" t="str">
        <x:v>SIP</x:v>
      </x:c>
    </x:row>
    <x:row r="1908">
      <x:c r="A1908" s="50" t="str">
        <x:v>019fddbb-8d8c-7172-a88b-5de7cebccc31</x:v>
      </x:c>
      <x:c r="B1908" s="50" t="str">
        <x:v>RDW</x:v>
      </x:c>
      <x:c r="C1908" s="70" t="n">
        <x:v>46241.818102349534</x:v>
      </x:c>
      <x:c r="D1908" s="50" t="str">
        <x:v>SWING_SETUP</x:v>
      </x:c>
      <x:c r="E1908" s="50" t="str">
        <x:v>RDW SWING SETUP</x:v>
      </x:c>
      <x:c r="F1908" s="50" t="str">
        <x:v>WATCH</x:v>
      </x:c>
      <x:c r="G1908" s="50"/>
      <x:c r="H1908" s="50" t="str">
        <x:v>LONG</x:v>
      </x:c>
      <x:c r="I1908" s="71" t="n">
        <x:v>13.56</x:v>
      </x:c>
      <x:c r="J1908" s="76" t="str">
        <x:v>SIP</x:v>
      </x:c>
    </x:row>
    <x:row r="1909">
      <x:c r="A1909" s="50" t="str">
        <x:v>019fddbb-9013-7341-9c7c-519f52f96f96</x:v>
      </x:c>
      <x:c r="B1909" s="50" t="str">
        <x:v>KDP</x:v>
      </x:c>
      <x:c r="C1909" s="70" t="n">
        <x:v>46241.81810984954</x:v>
      </x:c>
      <x:c r="D1909" s="50" t="str">
        <x:v>LONG_BUY_ZONE</x:v>
      </x:c>
      <x:c r="E1909" s="50" t="str">
        <x:v>KDP LONG BUY ZONE</x:v>
      </x:c>
      <x:c r="F1909" s="50" t="str">
        <x:v>WATCH</x:v>
      </x:c>
      <x:c r="G1909" s="50"/>
      <x:c r="H1909" s="50" t="str">
        <x:v>LONG</x:v>
      </x:c>
      <x:c r="I1909" s="71" t="n">
        <x:v>30.08</x:v>
      </x:c>
      <x:c r="J1909" s="76" t="str">
        <x:v>SIP</x:v>
      </x:c>
    </x:row>
    <x:row r="1910">
      <x:c r="A1910" s="50" t="str">
        <x:v>019fddbb-90e7-7d87-83dc-1337b3c5afc7</x:v>
      </x:c>
      <x:c r="B1910" s="50" t="str">
        <x:v>DE</x:v>
      </x:c>
      <x:c r="C1910" s="70" t="n">
        <x:v>46241.81811230324</x:v>
      </x:c>
      <x:c r="D1910" s="50" t="str">
        <x:v>LONG_BUY_ZONE</x:v>
      </x:c>
      <x:c r="E1910" s="50" t="str">
        <x:v>DE LONG BUY ZONE</x:v>
      </x:c>
      <x:c r="F1910" s="50" t="str">
        <x:v>WATCH</x:v>
      </x:c>
      <x:c r="G1910" s="50"/>
      <x:c r="H1910" s="50" t="str">
        <x:v>LONG</x:v>
      </x:c>
      <x:c r="I1910" s="71" t="n">
        <x:v>622.96</x:v>
      </x:c>
      <x:c r="J1910" s="76" t="str">
        <x:v>SIP</x:v>
      </x:c>
    </x:row>
    <x:row r="1911">
      <x:c r="A1911" s="50" t="str">
        <x:v>019fddbc-75cf-7f41-8666-d921fe04cbf3</x:v>
      </x:c>
      <x:c r="B1911" s="50" t="str">
        <x:v>NOC</x:v>
      </x:c>
      <x:c r="C1911" s="70" t="n">
        <x:v>46241.818790543985</x:v>
      </x:c>
      <x:c r="D1911" s="50" t="str">
        <x:v>SWING_SETUP</x:v>
      </x:c>
      <x:c r="E1911" s="50" t="str">
        <x:v>NOC SWING SETUP</x:v>
      </x:c>
      <x:c r="F1911" s="50" t="str">
        <x:v>WATCH</x:v>
      </x:c>
      <x:c r="G1911" s="50"/>
      <x:c r="H1911" s="50" t="str">
        <x:v>LONG</x:v>
      </x:c>
      <x:c r="I1911" s="71" t="n">
        <x:v>571.85</x:v>
      </x:c>
      <x:c r="J1911" s="76" t="str">
        <x:v>SIP</x:v>
      </x:c>
    </x:row>
    <x:row r="1912">
      <x:c r="A1912" s="50" t="str">
        <x:v>019fddbe-4836-75e7-a313-a800b3af20f6</x:v>
      </x:c>
      <x:c r="B1912" s="50" t="str">
        <x:v>SBUX</x:v>
      </x:c>
      <x:c r="C1912" s="70" t="n">
        <x:v>46241.820172465275</x:v>
      </x:c>
      <x:c r="D1912" s="50" t="str">
        <x:v>SWING_SETUP</x:v>
      </x:c>
      <x:c r="E1912" s="50" t="str">
        <x:v>SBUX SWING SETUP</x:v>
      </x:c>
      <x:c r="F1912" s="50" t="str">
        <x:v>WATCH</x:v>
      </x:c>
      <x:c r="G1912" s="50"/>
      <x:c r="H1912" s="50" t="str">
        <x:v>LONG</x:v>
      </x:c>
      <x:c r="I1912" s="71" t="n">
        <x:v>106.62</x:v>
      </x:c>
      <x:c r="J1912" s="76" t="str">
        <x:v>SIP</x:v>
      </x:c>
    </x:row>
    <x:row r="1913">
      <x:c r="A1913" s="50" t="str">
        <x:v>019fddbe-4843-72f7-a379-ec2103599a0e</x:v>
      </x:c>
      <x:c r="B1913" s="50" t="str">
        <x:v>MDLZ</x:v>
      </x:c>
      <x:c r="C1913" s="70" t="n">
        <x:v>46241.82017262732</x:v>
      </x:c>
      <x:c r="D1913" s="50" t="str">
        <x:v>SWING_SETUP</x:v>
      </x:c>
      <x:c r="E1913" s="50" t="str">
        <x:v>MDLZ SWING SETUP</x:v>
      </x:c>
      <x:c r="F1913" s="50" t="str">
        <x:v>WATCH</x:v>
      </x:c>
      <x:c r="G1913" s="50"/>
      <x:c r="H1913" s="50" t="str">
        <x:v>LONG</x:v>
      </x:c>
      <x:c r="I1913" s="71" t="n">
        <x:v>62.73</x:v>
      </x:c>
      <x:c r="J1913" s="76" t="str">
        <x:v>SIP</x:v>
      </x:c>
    </x:row>
    <x:row r="1914">
      <x:c r="A1914" s="50" t="str">
        <x:v>019fddbe-484c-79d7-8213-1cd92c03ee7e</x:v>
      </x:c>
      <x:c r="B1914" s="50" t="str">
        <x:v>VZ</x:v>
      </x:c>
      <x:c r="C1914" s="70" t="n">
        <x:v>46241.82017273148</x:v>
      </x:c>
      <x:c r="D1914" s="50" t="str">
        <x:v>SWING_SETUP</x:v>
      </x:c>
      <x:c r="E1914" s="50" t="str">
        <x:v>VZ SWING SETUP</x:v>
      </x:c>
      <x:c r="F1914" s="50" t="str">
        <x:v>WATCH</x:v>
      </x:c>
      <x:c r="G1914" s="50"/>
      <x:c r="H1914" s="50" t="str">
        <x:v>LONG</x:v>
      </x:c>
      <x:c r="I1914" s="71" t="n">
        <x:v>46.975</x:v>
      </x:c>
      <x:c r="J1914" s="76" t="str">
        <x:v>SIP</x:v>
      </x:c>
    </x:row>
    <x:row r="1915">
      <x:c r="A1915" s="50" t="str">
        <x:v>019fddbe-485d-72c3-8521-b95ecc8c6b93</x:v>
      </x:c>
      <x:c r="B1915" s="50" t="str">
        <x:v>UNP</x:v>
      </x:c>
      <x:c r="C1915" s="70" t="n">
        <x:v>46241.82017292824</x:v>
      </x:c>
      <x:c r="D1915" s="50" t="str">
        <x:v>SWING_SETUP</x:v>
      </x:c>
      <x:c r="E1915" s="50" t="str">
        <x:v>UNP SWING SETUP</x:v>
      </x:c>
      <x:c r="F1915" s="50" t="str">
        <x:v>WATCH</x:v>
      </x:c>
      <x:c r="G1915" s="50"/>
      <x:c r="H1915" s="50" t="str">
        <x:v>LONG</x:v>
      </x:c>
      <x:c r="I1915" s="71" t="n">
        <x:v>293.96</x:v>
      </x:c>
      <x:c r="J1915" s="76" t="str">
        <x:v>SIP</x:v>
      </x:c>
    </x:row>
    <x:row r="1916">
      <x:c r="A1916" s="50" t="str">
        <x:v>019fddbe-4868-79f2-a969-e96337171e27</x:v>
      </x:c>
      <x:c r="B1916" s="50" t="str">
        <x:v>OXY</x:v>
      </x:c>
      <x:c r="C1916" s="70" t="n">
        <x:v>46241.82017304398</x:v>
      </x:c>
      <x:c r="D1916" s="50" t="str">
        <x:v>SWING_SETUP</x:v>
      </x:c>
      <x:c r="E1916" s="50" t="str">
        <x:v>OXY SWING SETUP</x:v>
      </x:c>
      <x:c r="F1916" s="50" t="str">
        <x:v>WATCH</x:v>
      </x:c>
      <x:c r="G1916" s="50"/>
      <x:c r="H1916" s="50" t="str">
        <x:v>LONG</x:v>
      </x:c>
      <x:c r="I1916" s="71" t="n">
        <x:v>55.95</x:v>
      </x:c>
      <x:c r="J1916" s="76" t="str">
        <x:v>SIP</x:v>
      </x:c>
    </x:row>
    <x:row r="1917">
      <x:c r="A1917" s="50" t="str">
        <x:v>019fddbe-487e-7844-9af5-a016ea184081</x:v>
      </x:c>
      <x:c r="B1917" s="50" t="str">
        <x:v>COP</x:v>
      </x:c>
      <x:c r="C1917" s="70" t="n">
        <x:v>46241.82017331019</x:v>
      </x:c>
      <x:c r="D1917" s="50" t="str">
        <x:v>SWING_SETUP</x:v>
      </x:c>
      <x:c r="E1917" s="50" t="str">
        <x:v>COP SWING SETUP</x:v>
      </x:c>
      <x:c r="F1917" s="50" t="str">
        <x:v>WATCH</x:v>
      </x:c>
      <x:c r="G1917" s="50"/>
      <x:c r="H1917" s="50" t="str">
        <x:v>LONG</x:v>
      </x:c>
      <x:c r="I1917" s="71" t="n">
        <x:v>117.375</x:v>
      </x:c>
      <x:c r="J1917" s="76" t="str">
        <x:v>SIP</x:v>
      </x:c>
    </x:row>
    <x:row r="1918">
      <x:c r="A1918" s="50" t="str">
        <x:v>019fddbe-4cf8-71c6-a625-253c4e8e6583</x:v>
      </x:c>
      <x:c r="B1918" s="50" t="str">
        <x:v>INTU</x:v>
      </x:c>
      <x:c r="C1918" s="70" t="n">
        <x:v>46241.82018657408</x:v>
      </x:c>
      <x:c r="D1918" s="50" t="str">
        <x:v>SWING_SETUP</x:v>
      </x:c>
      <x:c r="E1918" s="50" t="str">
        <x:v>INTU SWING SETUP</x:v>
      </x:c>
      <x:c r="F1918" s="50" t="str">
        <x:v>WATCH</x:v>
      </x:c>
      <x:c r="G1918" s="50"/>
      <x:c r="H1918" s="50" t="str">
        <x:v>LONG</x:v>
      </x:c>
      <x:c r="I1918" s="71" t="n">
        <x:v>325.38</x:v>
      </x:c>
      <x:c r="J1918" s="76" t="str">
        <x:v>SIP</x:v>
      </x:c>
    </x:row>
    <x:row r="1919">
      <x:c r="A1919" s="50" t="str">
        <x:v>019fddbe-4dda-7f80-8a51-9dc8c596e306</x:v>
      </x:c>
      <x:c r="B1919" s="50" t="str">
        <x:v>SBUX</x:v>
      </x:c>
      <x:c r="C1919" s="70" t="n">
        <x:v>46241.82018918981</x:v>
      </x:c>
      <x:c r="D1919" s="50" t="str">
        <x:v>LONG_BUY_ZONE</x:v>
      </x:c>
      <x:c r="E1919" s="50" t="str">
        <x:v>SBUX LONG BUY ZONE</x:v>
      </x:c>
      <x:c r="F1919" s="50" t="str">
        <x:v>WATCH</x:v>
      </x:c>
      <x:c r="G1919" s="50"/>
      <x:c r="H1919" s="50" t="str">
        <x:v>LONG</x:v>
      </x:c>
      <x:c r="I1919" s="71" t="n">
        <x:v>106.43</x:v>
      </x:c>
      <x:c r="J1919" s="76" t="str">
        <x:v>SIP</x:v>
      </x:c>
    </x:row>
    <x:row r="1920">
      <x:c r="A1920" s="50" t="str">
        <x:v>019fddbe-528d-7068-b499-58bf311f66e9</x:v>
      </x:c>
      <x:c r="B1920" s="50" t="str">
        <x:v>APH</x:v>
      </x:c>
      <x:c r="C1920" s="70" t="n">
        <x:v>46241.82020311343</x:v>
      </x:c>
      <x:c r="D1920" s="50" t="str">
        <x:v>LONG_BUY_ZONE</x:v>
      </x:c>
      <x:c r="E1920" s="50" t="str">
        <x:v>APH LONG BUY ZONE</x:v>
      </x:c>
      <x:c r="F1920" s="50" t="str">
        <x:v>WATCH</x:v>
      </x:c>
      <x:c r="G1920" s="50"/>
      <x:c r="H1920" s="50" t="str">
        <x:v>LONG</x:v>
      </x:c>
      <x:c r="I1920" s="71" t="n">
        <x:v>168.295</x:v>
      </x:c>
      <x:c r="J1920" s="76" t="str">
        <x:v>SIP</x:v>
      </x:c>
    </x:row>
    <x:row r="1921">
      <x:c r="A1921" s="50" t="str">
        <x:v>019fddc0-1d6d-7409-9cf7-f3c1d67eb771</x:v>
      </x:c>
      <x:c r="B1921" s="50" t="str">
        <x:v>BMY</x:v>
      </x:c>
      <x:c r="C1921" s="70" t="n">
        <x:v>46241.821562743055</x:v>
      </x:c>
      <x:c r="D1921" s="50" t="str">
        <x:v>SWING_SETUP</x:v>
      </x:c>
      <x:c r="E1921" s="50" t="str">
        <x:v>BMY SWING SETUP</x:v>
      </x:c>
      <x:c r="F1921" s="50" t="str">
        <x:v>WATCH</x:v>
      </x:c>
      <x:c r="G1921" s="50"/>
      <x:c r="H1921" s="50" t="str">
        <x:v>LONG</x:v>
      </x:c>
      <x:c r="I1921" s="71" t="n">
        <x:v>64.525</x:v>
      </x:c>
      <x:c r="J1921" s="76" t="str">
        <x:v>SIP</x:v>
      </x:c>
    </x:row>
    <x:row r="1922">
      <x:c r="A1922" s="50" t="str">
        <x:v>019fddc0-1e50-7d9c-a5c3-b479a7a250c2</x:v>
      </x:c>
      <x:c r="B1922" s="50" t="str">
        <x:v>PLTR</x:v>
      </x:c>
      <x:c r="C1922" s="70" t="n">
        <x:v>46241.8215653588</x:v>
      </x:c>
      <x:c r="D1922" s="50" t="str">
        <x:v>SWING_SETUP</x:v>
      </x:c>
      <x:c r="E1922" s="50" t="str">
        <x:v>PLTR SWING SETUP</x:v>
      </x:c>
      <x:c r="F1922" s="50" t="str">
        <x:v>WATCH</x:v>
      </x:c>
      <x:c r="G1922" s="50"/>
      <x:c r="H1922" s="50" t="str">
        <x:v>LONG</x:v>
      </x:c>
      <x:c r="I1922" s="71" t="n">
        <x:v>170.88</x:v>
      </x:c>
      <x:c r="J1922" s="76" t="str">
        <x:v>SIP</x:v>
      </x:c>
    </x:row>
    <x:row r="1923">
      <x:c r="A1923" s="50" t="str">
        <x:v>019fddc0-1ea0-7c7e-9f72-9ed93c09d23e</x:v>
      </x:c>
      <x:c r="B1923" s="50" t="str">
        <x:v>ABBV</x:v>
      </x:c>
      <x:c r="C1923" s="70" t="n">
        <x:v>46241.8215662963</x:v>
      </x:c>
      <x:c r="D1923" s="50" t="str">
        <x:v>LONG_BUY_ZONE</x:v>
      </x:c>
      <x:c r="E1923" s="50" t="str">
        <x:v>ABBV LONG BUY ZONE</x:v>
      </x:c>
      <x:c r="F1923" s="50" t="str">
        <x:v>WATCH</x:v>
      </x:c>
      <x:c r="G1923" s="50"/>
      <x:c r="H1923" s="50" t="str">
        <x:v>LONG</x:v>
      </x:c>
      <x:c r="I1923" s="71" t="n">
        <x:v>245.58</x:v>
      </x:c>
      <x:c r="J1923" s="76" t="str">
        <x:v>SIP</x:v>
      </x:c>
    </x:row>
    <x:row r="1924">
      <x:c r="A1924" s="50" t="str">
        <x:v>019fddc0-1fa4-7363-b351-388b0f29fbff</x:v>
      </x:c>
      <x:c r="B1924" s="50" t="str">
        <x:v>LMT</x:v>
      </x:c>
      <x:c r="C1924" s="70" t="n">
        <x:v>46241.82156930555</x:v>
      </x:c>
      <x:c r="D1924" s="50" t="str">
        <x:v>SWING_SETUP</x:v>
      </x:c>
      <x:c r="E1924" s="50" t="str">
        <x:v>LMT SWING SETUP</x:v>
      </x:c>
      <x:c r="F1924" s="50" t="str">
        <x:v>WATCH</x:v>
      </x:c>
      <x:c r="G1924" s="50"/>
      <x:c r="H1924" s="50" t="str">
        <x:v>LONG</x:v>
      </x:c>
      <x:c r="I1924" s="71" t="n">
        <x:v>587.425</x:v>
      </x:c>
      <x:c r="J1924" s="76" t="str">
        <x:v>SIP</x:v>
      </x:c>
    </x:row>
    <x:row r="1925">
      <x:c r="A1925" s="50" t="str">
        <x:v>019fddc0-1fd6-789d-ab47-2844421da1f3</x:v>
      </x:c>
      <x:c r="B1925" s="50" t="str">
        <x:v>APA</x:v>
      </x:c>
      <x:c r="C1925" s="70" t="n">
        <x:v>46241.82156988426</x:v>
      </x:c>
      <x:c r="D1925" s="50" t="str">
        <x:v>SWING_SETUP</x:v>
      </x:c>
      <x:c r="E1925" s="50" t="str">
        <x:v>APA SWING SETUP</x:v>
      </x:c>
      <x:c r="F1925" s="50" t="str">
        <x:v>WATCH</x:v>
      </x:c>
      <x:c r="G1925" s="50"/>
      <x:c r="H1925" s="50" t="str">
        <x:v>LONG</x:v>
      </x:c>
      <x:c r="I1925" s="71" t="n">
        <x:v>37.375</x:v>
      </x:c>
      <x:c r="J1925" s="76" t="str">
        <x:v>SIP</x:v>
      </x:c>
    </x:row>
    <x:row r="1926">
      <x:c r="A1926" s="50" t="str">
        <x:v>019fddc0-1fde-73f4-94a6-584f5f1019e9</x:v>
      </x:c>
      <x:c r="B1926" s="50" t="str">
        <x:v>WELL</x:v>
      </x:c>
      <x:c r="C1926" s="70" t="n">
        <x:v>46241.821569976855</x:v>
      </x:c>
      <x:c r="D1926" s="50" t="str">
        <x:v>SWING_SETUP</x:v>
      </x:c>
      <x:c r="E1926" s="50" t="str">
        <x:v>WELL SWING SETUP</x:v>
      </x:c>
      <x:c r="F1926" s="50" t="str">
        <x:v>WATCH</x:v>
      </x:c>
      <x:c r="G1926" s="50"/>
      <x:c r="H1926" s="50" t="str">
        <x:v>LONG</x:v>
      </x:c>
      <x:c r="I1926" s="71" t="n">
        <x:v>237</x:v>
      </x:c>
      <x:c r="J1926" s="76" t="str">
        <x:v>SIP</x:v>
      </x:c>
    </x:row>
    <x:row r="1927">
      <x:c r="A1927" s="50" t="str">
        <x:v>019fddc0-1fe8-7315-be7a-335146985992</x:v>
      </x:c>
      <x:c r="B1927" s="50" t="str">
        <x:v>DASH</x:v>
      </x:c>
      <x:c r="C1927" s="70" t="n">
        <x:v>46241.821570092594</x:v>
      </x:c>
      <x:c r="D1927" s="50" t="str">
        <x:v>SWING_SETUP</x:v>
      </x:c>
      <x:c r="E1927" s="50" t="str">
        <x:v>DASH SWING SETUP</x:v>
      </x:c>
      <x:c r="F1927" s="50" t="str">
        <x:v>WATCH</x:v>
      </x:c>
      <x:c r="G1927" s="50"/>
      <x:c r="H1927" s="50" t="str">
        <x:v>LONG</x:v>
      </x:c>
      <x:c r="I1927" s="71" t="n">
        <x:v>218.74</x:v>
      </x:c>
      <x:c r="J1927" s="76" t="str">
        <x:v>SIP</x:v>
      </x:c>
    </x:row>
    <x:row r="1928">
      <x:c r="A1928" s="50" t="str">
        <x:v>019fddc0-20e1-709b-b07f-624905a6905d</x:v>
      </x:c>
      <x:c r="B1928" s="50" t="str">
        <x:v>ANET</x:v>
      </x:c>
      <x:c r="C1928" s="70" t="n">
        <x:v>46241.821572974535</x:v>
      </x:c>
      <x:c r="D1928" s="50" t="str">
        <x:v>SWING_SETUP</x:v>
      </x:c>
      <x:c r="E1928" s="50" t="str">
        <x:v>ANET SWING SETUP</x:v>
      </x:c>
      <x:c r="F1928" s="50" t="str">
        <x:v>WATCH</x:v>
      </x:c>
      <x:c r="G1928" s="50"/>
      <x:c r="H1928" s="50" t="str">
        <x:v>LONG</x:v>
      </x:c>
      <x:c r="I1928" s="71" t="n">
        <x:v>188.7</x:v>
      </x:c>
      <x:c r="J1928" s="76" t="str">
        <x:v>SIP</x:v>
      </x:c>
    </x:row>
    <x:row r="1929">
      <x:c r="A1929" s="50" t="str">
        <x:v>019fddc0-2437-7a43-ad83-45b1462220ea</x:v>
      </x:c>
      <x:c r="B1929" s="50" t="str">
        <x:v>ECL</x:v>
      </x:c>
      <x:c r="C1929" s="70" t="n">
        <x:v>46241.82158285879</x:v>
      </x:c>
      <x:c r="D1929" s="50" t="str">
        <x:v>LONG_BUY_ZONE</x:v>
      </x:c>
      <x:c r="E1929" s="50" t="str">
        <x:v>ECL LONG BUY ZONE</x:v>
      </x:c>
      <x:c r="F1929" s="50" t="str">
        <x:v>WATCH</x:v>
      </x:c>
      <x:c r="G1929" s="50"/>
      <x:c r="H1929" s="50" t="str">
        <x:v>LONG</x:v>
      </x:c>
      <x:c r="I1929" s="71" t="n">
        <x:v>284.275</x:v>
      </x:c>
      <x:c r="J1929" s="76" t="str">
        <x:v>SIP</x:v>
      </x:c>
    </x:row>
    <x:row r="1930">
      <x:c r="A1930" s="50" t="str">
        <x:v>019fddc2-da76-77a4-85a4-339eb9f2e2c2</x:v>
      </x:c>
      <x:c r="B1930" s="50" t="str">
        <x:v>REGN</x:v>
      </x:c>
      <x:c r="C1930" s="70" t="n">
        <x:v>46241.82363987269</x:v>
      </x:c>
      <x:c r="D1930" s="50" t="str">
        <x:v>SWING_SETUP</x:v>
      </x:c>
      <x:c r="E1930" s="50" t="str">
        <x:v>REGN SWING SETUP</x:v>
      </x:c>
      <x:c r="F1930" s="50" t="str">
        <x:v>WATCH</x:v>
      </x:c>
      <x:c r="G1930" s="50"/>
      <x:c r="H1930" s="50" t="str">
        <x:v>LONG</x:v>
      </x:c>
      <x:c r="I1930" s="71" t="n">
        <x:v>785.69</x:v>
      </x:c>
      <x:c r="J1930" s="76" t="str">
        <x:v>SIP</x:v>
      </x:c>
    </x:row>
    <x:row r="1931">
      <x:c r="A1931" s="50" t="str">
        <x:v>019fddc2-dad0-7d54-994d-9edfb909d1fb</x:v>
      </x:c>
      <x:c r="B1931" s="50" t="str">
        <x:v>PM</x:v>
      </x:c>
      <x:c r="C1931" s="70" t="n">
        <x:v>46241.823640925926</x:v>
      </x:c>
      <x:c r="D1931" s="50" t="str">
        <x:v>SWING_SETUP</x:v>
      </x:c>
      <x:c r="E1931" s="50" t="str">
        <x:v>PM SWING SETUP</x:v>
      </x:c>
      <x:c r="F1931" s="50" t="str">
        <x:v>WATCH</x:v>
      </x:c>
      <x:c r="G1931" s="50"/>
      <x:c r="H1931" s="50" t="str">
        <x:v>LONG</x:v>
      </x:c>
      <x:c r="I1931" s="71" t="n">
        <x:v>189.46</x:v>
      </x:c>
      <x:c r="J1931" s="76" t="str">
        <x:v>SIP</x:v>
      </x:c>
    </x:row>
    <x:row r="1932">
      <x:c r="A1932" s="50" t="str">
        <x:v>019fddc2-db00-7ed0-9833-c8aa32dad60d</x:v>
      </x:c>
      <x:c r="B1932" s="50" t="str">
        <x:v>PM</x:v>
      </x:c>
      <x:c r="C1932" s="70" t="n">
        <x:v>46241.82364148148</x:v>
      </x:c>
      <x:c r="D1932" s="50" t="str">
        <x:v>LONG_BUY_ZONE</x:v>
      </x:c>
      <x:c r="E1932" s="50" t="str">
        <x:v>PM LONG BUY ZONE</x:v>
      </x:c>
      <x:c r="F1932" s="50" t="str">
        <x:v>WATCH</x:v>
      </x:c>
      <x:c r="G1932" s="50"/>
      <x:c r="H1932" s="50" t="str">
        <x:v>LONG</x:v>
      </x:c>
      <x:c r="I1932" s="71" t="n">
        <x:v>189.62</x:v>
      </x:c>
      <x:c r="J1932" s="76" t="str">
        <x:v>SIP</x:v>
      </x:c>
    </x:row>
    <x:row r="1933">
      <x:c r="A1933" s="50" t="str">
        <x:v>019fddc2-db62-766f-a022-461a0b67d1d0</x:v>
      </x:c>
      <x:c r="B1933" s="50" t="str">
        <x:v>PFE</x:v>
      </x:c>
      <x:c r="C1933" s="70" t="n">
        <x:v>46241.82364261574</x:v>
      </x:c>
      <x:c r="D1933" s="50" t="str">
        <x:v>SWING_SETUP</x:v>
      </x:c>
      <x:c r="E1933" s="50" t="str">
        <x:v>PFE SWING SETUP</x:v>
      </x:c>
      <x:c r="F1933" s="50" t="str">
        <x:v>WATCH</x:v>
      </x:c>
      <x:c r="G1933" s="50"/>
      <x:c r="H1933" s="50" t="str">
        <x:v>LONG</x:v>
      </x:c>
      <x:c r="I1933" s="71" t="n">
        <x:v>26.64</x:v>
      </x:c>
      <x:c r="J1933" s="76" t="str">
        <x:v>SIP</x:v>
      </x:c>
    </x:row>
    <x:row r="1934">
      <x:c r="A1934" s="50" t="str">
        <x:v>019fddc2-dbc5-78d2-8b5e-19eb1c467f3b</x:v>
      </x:c>
      <x:c r="B1934" s="50" t="str">
        <x:v>JD</x:v>
      </x:c>
      <x:c r="C1934" s="70" t="n">
        <x:v>46241.82364376157</x:v>
      </x:c>
      <x:c r="D1934" s="50" t="str">
        <x:v>SWING_SETUP</x:v>
      </x:c>
      <x:c r="E1934" s="50" t="str">
        <x:v>JD SWING SETUP</x:v>
      </x:c>
      <x:c r="F1934" s="50" t="str">
        <x:v>WATCH</x:v>
      </x:c>
      <x:c r="G1934" s="50"/>
      <x:c r="H1934" s="50" t="str">
        <x:v>LONG</x:v>
      </x:c>
      <x:c r="I1934" s="71" t="n">
        <x:v>32.93</x:v>
      </x:c>
      <x:c r="J1934" s="76" t="str">
        <x:v>SIP</x:v>
      </x:c>
    </x:row>
    <x:row r="1935">
      <x:c r="A1935" s="50" t="str">
        <x:v>019fddc2-dbcb-7b5b-b2cd-d4d3a280407f</x:v>
      </x:c>
      <x:c r="B1935" s="50" t="str">
        <x:v>RCL</x:v>
      </x:c>
      <x:c r="C1935" s="70" t="n">
        <x:v>46241.82364383102</x:v>
      </x:c>
      <x:c r="D1935" s="50" t="str">
        <x:v>SWING_SETUP</x:v>
      </x:c>
      <x:c r="E1935" s="50" t="str">
        <x:v>RCL SWING SETUP</x:v>
      </x:c>
      <x:c r="F1935" s="50" t="str">
        <x:v>WATCH</x:v>
      </x:c>
      <x:c r="G1935" s="50"/>
      <x:c r="H1935" s="50" t="str">
        <x:v>LONG</x:v>
      </x:c>
      <x:c r="I1935" s="71" t="n">
        <x:v>321.39</x:v>
      </x:c>
      <x:c r="J1935" s="76" t="str">
        <x:v>SIP</x:v>
      </x:c>
    </x:row>
    <x:row r="1936">
      <x:c r="A1936" s="50" t="str">
        <x:v>019fddc2-dc1d-7684-b933-f8c70fa2605c</x:v>
      </x:c>
      <x:c r="B1936" s="50" t="str">
        <x:v>BAC</x:v>
      </x:c>
      <x:c r="C1936" s="70" t="n">
        <x:v>46241.82364476852</x:v>
      </x:c>
      <x:c r="D1936" s="50" t="str">
        <x:v>SWING_SETUP</x:v>
      </x:c>
      <x:c r="E1936" s="50" t="str">
        <x:v>BAC SWING SETUP</x:v>
      </x:c>
      <x:c r="F1936" s="50" t="str">
        <x:v>WATCH</x:v>
      </x:c>
      <x:c r="G1936" s="50"/>
      <x:c r="H1936" s="50" t="str">
        <x:v>LONG</x:v>
      </x:c>
      <x:c r="I1936" s="71" t="n">
        <x:v>63.155</x:v>
      </x:c>
      <x:c r="J1936" s="76" t="str">
        <x:v>SIP</x:v>
      </x:c>
    </x:row>
    <x:row r="1937">
      <x:c r="A1937" s="50" t="str">
        <x:v>019fddc2-dc3f-70a6-bcf7-9d0fa85b969e</x:v>
      </x:c>
      <x:c r="B1937" s="50" t="str">
        <x:v>JPM</x:v>
      </x:c>
      <x:c r="C1937" s="70" t="n">
        <x:v>46241.82364517361</x:v>
      </x:c>
      <x:c r="D1937" s="50" t="str">
        <x:v>SWING_SETUP</x:v>
      </x:c>
      <x:c r="E1937" s="50" t="str">
        <x:v>JPM SWING SETUP</x:v>
      </x:c>
      <x:c r="F1937" s="50" t="str">
        <x:v>WATCH</x:v>
      </x:c>
      <x:c r="G1937" s="50"/>
      <x:c r="H1937" s="50" t="str">
        <x:v>LONG</x:v>
      </x:c>
      <x:c r="I1937" s="71" t="n">
        <x:v>358.44</x:v>
      </x:c>
      <x:c r="J1937" s="76" t="str">
        <x:v>SIP</x:v>
      </x:c>
    </x:row>
    <x:row r="1938">
      <x:c r="A1938" s="50" t="str">
        <x:v>019fddc2-dc5c-7cee-bc6a-2837636669aa</x:v>
      </x:c>
      <x:c r="B1938" s="50" t="str">
        <x:v>ETHA</x:v>
      </x:c>
      <x:c r="C1938" s="70" t="n">
        <x:v>46241.82364550926</x:v>
      </x:c>
      <x:c r="D1938" s="50" t="str">
        <x:v>SWING_SETUP</x:v>
      </x:c>
      <x:c r="E1938" s="50" t="str">
        <x:v>ETHA SWING SETUP</x:v>
      </x:c>
      <x:c r="F1938" s="50" t="str">
        <x:v>WATCH</x:v>
      </x:c>
      <x:c r="G1938" s="50"/>
      <x:c r="H1938" s="50" t="str">
        <x:v>LONG</x:v>
      </x:c>
      <x:c r="I1938" s="71" t="n">
        <x:v>14.462</x:v>
      </x:c>
      <x:c r="J1938" s="76" t="str">
        <x:v>SIP</x:v>
      </x:c>
    </x:row>
    <x:row r="1939">
      <x:c r="A1939" s="50" t="str">
        <x:v>019fddc2-dc79-74e9-a26f-3bc598b8998d</x:v>
      </x:c>
      <x:c r="B1939" s="50" t="str">
        <x:v>TMDX</x:v>
      </x:c>
      <x:c r="C1939" s="70" t="n">
        <x:v>46241.82364584491</x:v>
      </x:c>
      <x:c r="D1939" s="50" t="str">
        <x:v>SWING_SETUP</x:v>
      </x:c>
      <x:c r="E1939" s="50" t="str">
        <x:v>TMDX SWING SETUP</x:v>
      </x:c>
      <x:c r="F1939" s="50" t="str">
        <x:v>WATCH</x:v>
      </x:c>
      <x:c r="G1939" s="50"/>
      <x:c r="H1939" s="50" t="str">
        <x:v>LONG</x:v>
      </x:c>
      <x:c r="I1939" s="71" t="n">
        <x:v>81.5</x:v>
      </x:c>
      <x:c r="J1939" s="76" t="str">
        <x:v>SIP</x:v>
      </x:c>
    </x:row>
    <x:row r="1940">
      <x:c r="A1940" s="50" t="str">
        <x:v>019fddc2-dc89-7b9e-b3cc-33b53a3f288a</x:v>
      </x:c>
      <x:c r="B1940" s="50" t="str">
        <x:v>RCL</x:v>
      </x:c>
      <x:c r="C1940" s="70" t="n">
        <x:v>46241.82364603009</x:v>
      </x:c>
      <x:c r="D1940" s="50" t="str">
        <x:v>LONG_BUY_ZONE</x:v>
      </x:c>
      <x:c r="E1940" s="50" t="str">
        <x:v>RCL LONG BUY ZONE</x:v>
      </x:c>
      <x:c r="F1940" s="50" t="str">
        <x:v>WATCH</x:v>
      </x:c>
      <x:c r="G1940" s="50"/>
      <x:c r="H1940" s="50" t="str">
        <x:v>LONG</x:v>
      </x:c>
      <x:c r="I1940" s="71" t="n">
        <x:v>321.55</x:v>
      </x:c>
      <x:c r="J1940" s="76" t="str">
        <x:v>SIP</x:v>
      </x:c>
    </x:row>
    <x:row r="1941">
      <x:c r="A1941" s="50" t="str">
        <x:v>019fddc2-ddb2-7597-bc47-87b2868e1cce</x:v>
      </x:c>
      <x:c r="B1941" s="50" t="str">
        <x:v>CEG</x:v>
      </x:c>
      <x:c r="C1941" s="70" t="n">
        <x:v>46241.82364945602</x:v>
      </x:c>
      <x:c r="D1941" s="50" t="str">
        <x:v>SWING_SETUP</x:v>
      </x:c>
      <x:c r="E1941" s="50" t="str">
        <x:v>CEG SWING SETUP</x:v>
      </x:c>
      <x:c r="F1941" s="50" t="str">
        <x:v>WATCH</x:v>
      </x:c>
      <x:c r="G1941" s="50"/>
      <x:c r="H1941" s="50" t="str">
        <x:v>LONG</x:v>
      </x:c>
      <x:c r="I1941" s="71" t="n">
        <x:v>269.5625</x:v>
      </x:c>
      <x:c r="J1941" s="76" t="str">
        <x:v>SIP</x:v>
      </x:c>
    </x:row>
    <x:row r="1942">
      <x:c r="A1942" s="50" t="str">
        <x:v>019fddc2-ddbb-7452-946a-7d71eea8500d</x:v>
      </x:c>
      <x:c r="B1942" s="50" t="str">
        <x:v>KO</x:v>
      </x:c>
      <x:c r="C1942" s="70" t="n">
        <x:v>46241.82364957176</x:v>
      </x:c>
      <x:c r="D1942" s="50" t="str">
        <x:v>SWING_SETUP</x:v>
      </x:c>
      <x:c r="E1942" s="50" t="str">
        <x:v>KO SWING SETUP</x:v>
      </x:c>
      <x:c r="F1942" s="50" t="str">
        <x:v>WATCH</x:v>
      </x:c>
      <x:c r="G1942" s="50"/>
      <x:c r="H1942" s="50" t="str">
        <x:v>LONG</x:v>
      </x:c>
      <x:c r="I1942" s="71" t="n">
        <x:v>87.12</x:v>
      </x:c>
      <x:c r="J1942" s="76" t="str">
        <x:v>SIP</x:v>
      </x:c>
    </x:row>
    <x:row r="1943">
      <x:c r="A1943" s="50" t="str">
        <x:v>019fddc2-de54-76ed-9e50-27abe1554f6e</x:v>
      </x:c>
      <x:c r="B1943" s="50" t="str">
        <x:v>ECL</x:v>
      </x:c>
      <x:c r="C1943" s="70" t="n">
        <x:v>46241.82365133102</x:v>
      </x:c>
      <x:c r="D1943" s="50" t="str">
        <x:v>SWING_SETUP</x:v>
      </x:c>
      <x:c r="E1943" s="50" t="str">
        <x:v>ECL SWING SETUP</x:v>
      </x:c>
      <x:c r="F1943" s="50" t="str">
        <x:v>WATCH</x:v>
      </x:c>
      <x:c r="G1943" s="50"/>
      <x:c r="H1943" s="50" t="str">
        <x:v>LONG</x:v>
      </x:c>
      <x:c r="I1943" s="71" t="n">
        <x:v>284.275</x:v>
      </x:c>
      <x:c r="J1943" s="76" t="str">
        <x:v>SIP</x:v>
      </x:c>
    </x:row>
    <x:row r="1944">
      <x:c r="A1944" s="50" t="str">
        <x:v>019fddc2-dee1-7147-b711-fbc88b537062</x:v>
      </x:c>
      <x:c r="B1944" s="50" t="str">
        <x:v>SHW</x:v>
      </x:c>
      <x:c r="C1944" s="70" t="n">
        <x:v>46241.82365297453</x:v>
      </x:c>
      <x:c r="D1944" s="50" t="str">
        <x:v>SWING_SETUP</x:v>
      </x:c>
      <x:c r="E1944" s="50" t="str">
        <x:v>SHW SWING SETUP</x:v>
      </x:c>
      <x:c r="F1944" s="50" t="str">
        <x:v>WATCH</x:v>
      </x:c>
      <x:c r="G1944" s="50"/>
      <x:c r="H1944" s="50" t="str">
        <x:v>LONG</x:v>
      </x:c>
      <x:c r="I1944" s="71" t="n">
        <x:v>369.31</x:v>
      </x:c>
      <x:c r="J1944" s="76" t="str">
        <x:v>SIP</x:v>
      </x:c>
    </x:row>
    <x:row r="1945">
      <x:c r="A1945" s="50" t="str">
        <x:v>019fddc2-df1d-746c-830a-e61bf21df981</x:v>
      </x:c>
      <x:c r="B1945" s="50" t="str">
        <x:v>GS</x:v>
      </x:c>
      <x:c r="C1945" s="70" t="n">
        <x:v>46241.82365366898</x:v>
      </x:c>
      <x:c r="D1945" s="50" t="str">
        <x:v>LONG_BUY_ZONE</x:v>
      </x:c>
      <x:c r="E1945" s="50" t="str">
        <x:v>GS LONG BUY ZONE</x:v>
      </x:c>
      <x:c r="F1945" s="50" t="str">
        <x:v>WATCH</x:v>
      </x:c>
      <x:c r="G1945" s="50"/>
      <x:c r="H1945" s="50" t="str">
        <x:v>LONG</x:v>
      </x:c>
      <x:c r="I1945" s="71" t="n">
        <x:v>1039.8</x:v>
      </x:c>
      <x:c r="J1945" s="76" t="str">
        <x:v>SIP</x:v>
      </x:c>
    </x:row>
    <x:row r="1946">
      <x:c r="A1946" s="50" t="str">
        <x:v>019fddc2-df60-7e1a-b592-39b5258cc8c0</x:v>
      </x:c>
      <x:c r="B1946" s="50" t="str">
        <x:v>TEM</x:v>
      </x:c>
      <x:c r="C1946" s="70" t="n">
        <x:v>46241.823654444444</x:v>
      </x:c>
      <x:c r="D1946" s="50" t="str">
        <x:v>ENTRY_CONFIRMED</x:v>
      </x:c>
      <x:c r="E1946" s="50" t="str">
        <x:v>TEM ENTRY CONFIRMED</x:v>
      </x:c>
      <x:c r="F1946" s="50" t="str">
        <x:v>ACTION</x:v>
      </x:c>
      <x:c r="G1946" s="50" t="str">
        <x:v>L2_SWING_CONFIRMED</x:v>
      </x:c>
      <x:c r="H1946" s="50" t="str">
        <x:v>LONG</x:v>
      </x:c>
      <x:c r="I1946" s="71" t="n">
        <x:v>52.21</x:v>
      </x:c>
      <x:c r="J1946" s="76" t="str">
        <x:v>SIP</x:v>
      </x:c>
    </x:row>
    <x:row r="1947">
      <x:c r="A1947" s="50" t="str">
        <x:v>019fddc2-e024-7298-9d26-c283258aa6a8</x:v>
      </x:c>
      <x:c r="B1947" s="50" t="str">
        <x:v>HRL</x:v>
      </x:c>
      <x:c r="C1947" s="70" t="n">
        <x:v>46241.823656712964</x:v>
      </x:c>
      <x:c r="D1947" s="50" t="str">
        <x:v>LONG_BUY_ZONE</x:v>
      </x:c>
      <x:c r="E1947" s="50" t="str">
        <x:v>HRL LONG BUY ZONE</x:v>
      </x:c>
      <x:c r="F1947" s="50" t="str">
        <x:v>WATCH</x:v>
      </x:c>
      <x:c r="G1947" s="50"/>
      <x:c r="H1947" s="50" t="str">
        <x:v>LONG</x:v>
      </x:c>
      <x:c r="I1947" s="71" t="n">
        <x:v>25.065</x:v>
      </x:c>
      <x:c r="J1947" s="76" t="str">
        <x:v>SIP</x:v>
      </x:c>
    </x:row>
    <x:row r="1948">
      <x:c r="A1948" s="50" t="str">
        <x:v>019fddc2-e03a-765a-9694-0da301353284</x:v>
      </x:c>
      <x:c r="B1948" s="50" t="str">
        <x:v>DLR</x:v>
      </x:c>
      <x:c r="C1948" s="70" t="n">
        <x:v>46241.823656967594</x:v>
      </x:c>
      <x:c r="D1948" s="50" t="str">
        <x:v>SWING_SETUP</x:v>
      </x:c>
      <x:c r="E1948" s="50" t="str">
        <x:v>DLR SWING SETUP</x:v>
      </x:c>
      <x:c r="F1948" s="50" t="str">
        <x:v>WATCH</x:v>
      </x:c>
      <x:c r="G1948" s="50"/>
      <x:c r="H1948" s="50" t="str">
        <x:v>LONG</x:v>
      </x:c>
      <x:c r="I1948" s="71" t="n">
        <x:v>193.78</x:v>
      </x:c>
      <x:c r="J1948" s="76" t="str">
        <x:v>SIP</x:v>
      </x:c>
    </x:row>
    <x:row r="1949">
      <x:c r="A1949" s="50" t="str">
        <x:v>019fddc2-e043-7526-96db-ee5f8bf72f46</x:v>
      </x:c>
      <x:c r="B1949" s="50" t="str">
        <x:v>SE</x:v>
      </x:c>
      <x:c r="C1949" s="70" t="n">
        <x:v>46241.823657071756</x:v>
      </x:c>
      <x:c r="D1949" s="50" t="str">
        <x:v>SWING_SETUP</x:v>
      </x:c>
      <x:c r="E1949" s="50" t="str">
        <x:v>SE SWING SETUP</x:v>
      </x:c>
      <x:c r="F1949" s="50" t="str">
        <x:v>WATCH</x:v>
      </x:c>
      <x:c r="G1949" s="50"/>
      <x:c r="H1949" s="50" t="str">
        <x:v>LONG</x:v>
      </x:c>
      <x:c r="I1949" s="71" t="n">
        <x:v>112.935</x:v>
      </x:c>
      <x:c r="J1949" s="76" t="str">
        <x:v>SIP</x:v>
      </x:c>
    </x:row>
    <x:row r="1950">
      <x:c r="A1950" s="50" t="str">
        <x:v>019fddc2-e08e-7eae-afd3-3b99ec1bca7b</x:v>
      </x:c>
      <x:c r="B1950" s="50" t="str">
        <x:v>BLK</x:v>
      </x:c>
      <x:c r="C1950" s="70" t="n">
        <x:v>46241.823657939814</x:v>
      </x:c>
      <x:c r="D1950" s="50" t="str">
        <x:v>SWING_SETUP</x:v>
      </x:c>
      <x:c r="E1950" s="50" t="str">
        <x:v>BLK SWING SETUP</x:v>
      </x:c>
      <x:c r="F1950" s="50" t="str">
        <x:v>WATCH</x:v>
      </x:c>
      <x:c r="G1950" s="50"/>
      <x:c r="H1950" s="50" t="str">
        <x:v>LONG</x:v>
      </x:c>
      <x:c r="I1950" s="71" t="n">
        <x:v>1138.85</x:v>
      </x:c>
      <x:c r="J1950" s="76" t="str">
        <x:v>SIP</x:v>
      </x:c>
    </x:row>
    <x:row r="1951">
      <x:c r="A1951" s="50" t="str">
        <x:v>019fddc2-e0fc-7f68-b49f-766f457ba4dd</x:v>
      </x:c>
      <x:c r="B1951" s="50" t="str">
        <x:v>CRM</x:v>
      </x:c>
      <x:c r="C1951" s="70" t="n">
        <x:v>46241.82365921296</x:v>
      </x:c>
      <x:c r="D1951" s="50" t="str">
        <x:v>SWING_SETUP</x:v>
      </x:c>
      <x:c r="E1951" s="50" t="str">
        <x:v>CRM SWING SETUP</x:v>
      </x:c>
      <x:c r="F1951" s="50" t="str">
        <x:v>WATCH</x:v>
      </x:c>
      <x:c r="G1951" s="50"/>
      <x:c r="H1951" s="50" t="str">
        <x:v>LONG</x:v>
      </x:c>
      <x:c r="I1951" s="71" t="n">
        <x:v>192.64</x:v>
      </x:c>
      <x:c r="J1951" s="76" t="str">
        <x:v>SIP</x:v>
      </x:c>
    </x:row>
    <x:row r="1952">
      <x:c r="A1952" s="50" t="str">
        <x:v>019fddc2-e210-7a1f-8e6c-cc467ec4a4cd</x:v>
      </x:c>
      <x:c r="B1952" s="50" t="str">
        <x:v>MMM</x:v>
      </x:c>
      <x:c r="C1952" s="70" t="n">
        <x:v>46241.823662407405</x:v>
      </x:c>
      <x:c r="D1952" s="50" t="str">
        <x:v>SWING_SETUP</x:v>
      </x:c>
      <x:c r="E1952" s="50" t="str">
        <x:v>MMM SWING SETUP</x:v>
      </x:c>
      <x:c r="F1952" s="50" t="str">
        <x:v>WATCH</x:v>
      </x:c>
      <x:c r="G1952" s="50"/>
      <x:c r="H1952" s="50" t="str">
        <x:v>LONG</x:v>
      </x:c>
      <x:c r="I1952" s="71" t="n">
        <x:v>183.245</x:v>
      </x:c>
      <x:c r="J1952" s="76" t="str">
        <x:v>SIP</x:v>
      </x:c>
    </x:row>
    <x:row r="1953">
      <x:c r="A1953" s="50" t="str">
        <x:v>019fddc2-e221-7cc6-be2c-ff44ca72fe7b</x:v>
      </x:c>
      <x:c r="B1953" s="50" t="str">
        <x:v>ABT</x:v>
      </x:c>
      <x:c r="C1953" s="70" t="n">
        <x:v>46241.82366260417</x:v>
      </x:c>
      <x:c r="D1953" s="50" t="str">
        <x:v>SWING_SETUP</x:v>
      </x:c>
      <x:c r="E1953" s="50" t="str">
        <x:v>ABT SWING SETUP</x:v>
      </x:c>
      <x:c r="F1953" s="50" t="str">
        <x:v>WATCH</x:v>
      </x:c>
      <x:c r="G1953" s="50"/>
      <x:c r="H1953" s="50" t="str">
        <x:v>LONG</x:v>
      </x:c>
      <x:c r="I1953" s="71" t="n">
        <x:v>107.51</x:v>
      </x:c>
      <x:c r="J1953" s="76" t="str">
        <x:v>SIP</x:v>
      </x:c>
    </x:row>
    <x:row r="1954">
      <x:c r="A1954" s="50" t="str">
        <x:v>019fddc2-e36a-7a62-82ad-f7bf02939cf1</x:v>
      </x:c>
      <x:c r="B1954" s="50" t="str">
        <x:v>UEC</x:v>
      </x:c>
      <x:c r="C1954" s="70" t="n">
        <x:v>46241.823666412034</x:v>
      </x:c>
      <x:c r="D1954" s="50" t="str">
        <x:v>SWING_SETUP</x:v>
      </x:c>
      <x:c r="E1954" s="50" t="str">
        <x:v>UEC SWING SETUP</x:v>
      </x:c>
      <x:c r="F1954" s="50" t="str">
        <x:v>WATCH</x:v>
      </x:c>
      <x:c r="G1954" s="50"/>
      <x:c r="H1954" s="50" t="str">
        <x:v>LONG</x:v>
      </x:c>
      <x:c r="I1954" s="71" t="n">
        <x:v>11.3229</x:v>
      </x:c>
      <x:c r="J1954" s="76" t="str">
        <x:v>SIP</x:v>
      </x:c>
    </x:row>
    <x:row r="1955">
      <x:c r="A1955" s="50" t="str">
        <x:v>019fddc2-e499-744a-a8f2-209c74fb8700</x:v>
      </x:c>
      <x:c r="B1955" s="50" t="str">
        <x:v>GRAB</x:v>
      </x:c>
      <x:c r="C1955" s="70" t="n">
        <x:v>46241.82366991898</x:v>
      </x:c>
      <x:c r="D1955" s="50" t="str">
        <x:v>SWING_SETUP</x:v>
      </x:c>
      <x:c r="E1955" s="50" t="str">
        <x:v>GRAB SWING SETUP</x:v>
      </x:c>
      <x:c r="F1955" s="50" t="str">
        <x:v>WATCH</x:v>
      </x:c>
      <x:c r="G1955" s="50"/>
      <x:c r="H1955" s="50" t="str">
        <x:v>LONG</x:v>
      </x:c>
      <x:c r="I1955" s="71" t="n">
        <x:v>3.655</x:v>
      </x:c>
      <x:c r="J1955" s="76" t="str">
        <x:v>SIP</x:v>
      </x:c>
    </x:row>
    <x:row r="1956">
      <x:c r="A1956" s="50" t="str">
        <x:v>019fddc2-e4b1-75e7-9eda-79ffdce4b49c</x:v>
      </x:c>
      <x:c r="B1956" s="50" t="str">
        <x:v>BBWI</x:v>
      </x:c>
      <x:c r="C1956" s="70" t="n">
        <x:v>46241.82367019676</x:v>
      </x:c>
      <x:c r="D1956" s="50" t="str">
        <x:v>SWING_SETUP</x:v>
      </x:c>
      <x:c r="E1956" s="50" t="str">
        <x:v>BBWI SWING SETUP</x:v>
      </x:c>
      <x:c r="F1956" s="50" t="str">
        <x:v>WATCH</x:v>
      </x:c>
      <x:c r="G1956" s="50"/>
      <x:c r="H1956" s="50" t="str">
        <x:v>LONG</x:v>
      </x:c>
      <x:c r="I1956" s="71" t="n">
        <x:v>20.485</x:v>
      </x:c>
      <x:c r="J1956" s="76" t="str">
        <x:v>SIP</x:v>
      </x:c>
    </x:row>
    <x:row r="1957">
      <x:c r="A1957" s="50" t="str">
        <x:v>019fddc4-b084-7615-a801-a41471a7a8ad</x:v>
      </x:c>
      <x:c r="B1957" s="50" t="str">
        <x:v>TMO</x:v>
      </x:c>
      <x:c r="C1957" s="70" t="n">
        <x:v>46241.82503263889</x:v>
      </x:c>
      <x:c r="D1957" s="50" t="str">
        <x:v>SWING_SETUP</x:v>
      </x:c>
      <x:c r="E1957" s="50" t="str">
        <x:v>TMO SWING SETUP</x:v>
      </x:c>
      <x:c r="F1957" s="50" t="str">
        <x:v>WATCH</x:v>
      </x:c>
      <x:c r="G1957" s="50"/>
      <x:c r="H1957" s="50" t="str">
        <x:v>LONG</x:v>
      </x:c>
      <x:c r="I1957" s="71" t="n">
        <x:v>589.53</x:v>
      </x:c>
      <x:c r="J1957" s="76" t="str">
        <x:v>SIP</x:v>
      </x:c>
    </x:row>
    <x:row r="1958">
      <x:c r="A1958" s="50" t="str">
        <x:v>019fddc4-b16e-7c4d-bfb9-45a95acde4f5</x:v>
      </x:c>
      <x:c r="B1958" s="50" t="str">
        <x:v>SCHW</x:v>
      </x:c>
      <x:c r="C1958" s="70" t="n">
        <x:v>46241.825035347225</x:v>
      </x:c>
      <x:c r="D1958" s="50" t="str">
        <x:v>SWING_SETUP</x:v>
      </x:c>
      <x:c r="E1958" s="50" t="str">
        <x:v>SCHW SWING SETUP</x:v>
      </x:c>
      <x:c r="F1958" s="50" t="str">
        <x:v>WATCH</x:v>
      </x:c>
      <x:c r="G1958" s="50"/>
      <x:c r="H1958" s="50" t="str">
        <x:v>LONG</x:v>
      </x:c>
      <x:c r="I1958" s="71" t="n">
        <x:v>107.42</x:v>
      </x:c>
      <x:c r="J1958" s="76" t="str">
        <x:v>SIP</x:v>
      </x:c>
    </x:row>
    <x:row r="1959">
      <x:c r="A1959" s="50" t="str">
        <x:v>019fddc4-b194-707c-b891-2b806aaa7ee6</x:v>
      </x:c>
      <x:c r="B1959" s="50" t="str">
        <x:v>BKNG</x:v>
      </x:c>
      <x:c r="C1959" s="70" t="n">
        <x:v>46241.825035787035</x:v>
      </x:c>
      <x:c r="D1959" s="50" t="str">
        <x:v>SWING_SETUP</x:v>
      </x:c>
      <x:c r="E1959" s="50" t="str">
        <x:v>BKNG SWING SETUP</x:v>
      </x:c>
      <x:c r="F1959" s="50" t="str">
        <x:v>WATCH</x:v>
      </x:c>
      <x:c r="G1959" s="50"/>
      <x:c r="H1959" s="50" t="str">
        <x:v>LONG</x:v>
      </x:c>
      <x:c r="I1959" s="71" t="n">
        <x:v>214.1</x:v>
      </x:c>
      <x:c r="J1959" s="76" t="str">
        <x:v>SIP</x:v>
      </x:c>
    </x:row>
    <x:row r="1960">
      <x:c r="A1960" s="50" t="str">
        <x:v>019fddc4-b356-7259-9d89-b56484081a8a</x:v>
      </x:c>
      <x:c r="B1960" s="50" t="str">
        <x:v>DE</x:v>
      </x:c>
      <x:c r="C1960" s="70" t="n">
        <x:v>46241.82504099537</x:v>
      </x:c>
      <x:c r="D1960" s="50" t="str">
        <x:v>SWING_SETUP</x:v>
      </x:c>
      <x:c r="E1960" s="50" t="str">
        <x:v>DE SWING SETUP</x:v>
      </x:c>
      <x:c r="F1960" s="50" t="str">
        <x:v>WATCH</x:v>
      </x:c>
      <x:c r="G1960" s="50"/>
      <x:c r="H1960" s="50" t="str">
        <x:v>LONG</x:v>
      </x:c>
      <x:c r="I1960" s="71" t="n">
        <x:v>622.86</x:v>
      </x:c>
      <x:c r="J1960" s="76" t="str">
        <x:v>SIP</x:v>
      </x:c>
    </x:row>
    <x:row r="1961">
      <x:c r="A1961" s="50" t="str">
        <x:v>019fddc4-b4c7-78bf-92e1-5b8c461c4783</x:v>
      </x:c>
      <x:c r="B1961" s="50" t="str">
        <x:v>RTX</x:v>
      </x:c>
      <x:c r="C1961" s="70" t="n">
        <x:v>46241.8250452662</x:v>
      </x:c>
      <x:c r="D1961" s="50" t="str">
        <x:v>SWING_SETUP</x:v>
      </x:c>
      <x:c r="E1961" s="50" t="str">
        <x:v>RTX SWING SETUP</x:v>
      </x:c>
      <x:c r="F1961" s="50" t="str">
        <x:v>WATCH</x:v>
      </x:c>
      <x:c r="G1961" s="50"/>
      <x:c r="H1961" s="50" t="str">
        <x:v>LONG</x:v>
      </x:c>
      <x:c r="I1961" s="71" t="n">
        <x:v>222.97</x:v>
      </x:c>
      <x:c r="J1961" s="76" t="str">
        <x:v>SIP</x:v>
      </x:c>
    </x:row>
    <x:row r="1962">
      <x:c r="A1962" s="50" t="str">
        <x:v>019fddc4-bcf2-7b85-ae95-3cb090146889</x:v>
      </x:c>
      <x:c r="B1962" s="50" t="str">
        <x:v>VZ</x:v>
      </x:c>
      <x:c r="C1962" s="70" t="n">
        <x:v>46241.825069467595</x:v>
      </x:c>
      <x:c r="D1962" s="50" t="str">
        <x:v>LONG_BUY_ZONE</x:v>
      </x:c>
      <x:c r="E1962" s="50" t="str">
        <x:v>VZ LONG BUY ZONE</x:v>
      </x:c>
      <x:c r="F1962" s="50" t="str">
        <x:v>WATCH</x:v>
      </x:c>
      <x:c r="G1962" s="50"/>
      <x:c r="H1962" s="50" t="str">
        <x:v>LONG</x:v>
      </x:c>
      <x:c r="I1962" s="71" t="n">
        <x:v>47.021</x:v>
      </x:c>
      <x:c r="J1962" s="76" t="str">
        <x:v>SIP</x:v>
      </x:c>
    </x:row>
    <x:row r="1963">
      <x:c r="A1963" s="50" t="str">
        <x:v>019fddc6-85bc-7fbc-ac3d-5cc039e636ef</x:v>
      </x:c>
      <x:c r="B1963" s="50" t="str">
        <x:v>OXY</x:v>
      </x:c>
      <x:c r="C1963" s="70" t="n">
        <x:v>46241.82642291667</x:v>
      </x:c>
      <x:c r="D1963" s="50" t="str">
        <x:v>LONG_BUY_ZONE</x:v>
      </x:c>
      <x:c r="E1963" s="50" t="str">
        <x:v>OXY LONG BUY ZONE</x:v>
      </x:c>
      <x:c r="F1963" s="50" t="str">
        <x:v>WATCH</x:v>
      </x:c>
      <x:c r="G1963" s="50"/>
      <x:c r="H1963" s="50" t="str">
        <x:v>LONG</x:v>
      </x:c>
      <x:c r="I1963" s="71" t="n">
        <x:v>55.97</x:v>
      </x:c>
      <x:c r="J1963" s="76" t="str">
        <x:v>SIP</x:v>
      </x:c>
    </x:row>
    <x:row r="1964">
      <x:c r="A1964" s="50" t="str">
        <x:v>019fddc6-867b-7a2e-9f2e-fc76164580cb</x:v>
      </x:c>
      <x:c r="B1964" s="50" t="str">
        <x:v>WFC</x:v>
      </x:c>
      <x:c r="C1964" s="70" t="n">
        <x:v>46241.82642511574</x:v>
      </x:c>
      <x:c r="D1964" s="50" t="str">
        <x:v>SWING_SETUP</x:v>
      </x:c>
      <x:c r="E1964" s="50" t="str">
        <x:v>WFC SWING SETUP</x:v>
      </x:c>
      <x:c r="F1964" s="50" t="str">
        <x:v>WATCH</x:v>
      </x:c>
      <x:c r="G1964" s="50"/>
      <x:c r="H1964" s="50" t="str">
        <x:v>LONG</x:v>
      </x:c>
      <x:c r="I1964" s="71" t="n">
        <x:v>87.22</x:v>
      </x:c>
      <x:c r="J1964" s="76" t="str">
        <x:v>SIP</x:v>
      </x:c>
    </x:row>
    <x:row r="1965">
      <x:c r="A1965" s="50" t="str">
        <x:v>019fddc6-86d6-7901-b23e-8bada9306aab</x:v>
      </x:c>
      <x:c r="B1965" s="50" t="str">
        <x:v>AMGN</x:v>
      </x:c>
      <x:c r="C1965" s="70" t="n">
        <x:v>46241.82642618055</x:v>
      </x:c>
      <x:c r="D1965" s="50" t="str">
        <x:v>SWING_SETUP</x:v>
      </x:c>
      <x:c r="E1965" s="50" t="str">
        <x:v>AMGN SWING SETUP</x:v>
      </x:c>
      <x:c r="F1965" s="50" t="str">
        <x:v>WATCH</x:v>
      </x:c>
      <x:c r="G1965" s="50"/>
      <x:c r="H1965" s="50" t="str">
        <x:v>LONG</x:v>
      </x:c>
      <x:c r="I1965" s="71" t="n">
        <x:v>411.495</x:v>
      </x:c>
      <x:c r="J1965" s="76" t="str">
        <x:v>SIP</x:v>
      </x:c>
    </x:row>
    <x:row r="1966">
      <x:c r="A1966" s="50" t="str">
        <x:v>019fddc6-8743-7d4d-b678-caab88ded179</x:v>
      </x:c>
      <x:c r="B1966" s="50" t="str">
        <x:v>BLFS</x:v>
      </x:c>
      <x:c r="C1966" s="70" t="n">
        <x:v>46241.82642744213</x:v>
      </x:c>
      <x:c r="D1966" s="50" t="str">
        <x:v>SWING_SETUP</x:v>
      </x:c>
      <x:c r="E1966" s="50" t="str">
        <x:v>BLFS SWING SETUP</x:v>
      </x:c>
      <x:c r="F1966" s="50" t="str">
        <x:v>WATCH</x:v>
      </x:c>
      <x:c r="G1966" s="50"/>
      <x:c r="H1966" s="50" t="str">
        <x:v>LONG</x:v>
      </x:c>
      <x:c r="I1966" s="71" t="n">
        <x:v>34.575</x:v>
      </x:c>
      <x:c r="J1966" s="76" t="str">
        <x:v>SIP</x:v>
      </x:c>
    </x:row>
    <x:row r="1967">
      <x:c r="A1967" s="50" t="str">
        <x:v>019fddc6-8793-713a-aa08-79c9c4c569a0</x:v>
      </x:c>
      <x:c r="B1967" s="50" t="str">
        <x:v>BABA</x:v>
      </x:c>
      <x:c r="C1967" s="70" t="n">
        <x:v>46241.826428368055</x:v>
      </x:c>
      <x:c r="D1967" s="50" t="str">
        <x:v>SWING_SETUP</x:v>
      </x:c>
      <x:c r="E1967" s="50" t="str">
        <x:v>BABA SWING SETUP</x:v>
      </x:c>
      <x:c r="F1967" s="50" t="str">
        <x:v>WATCH</x:v>
      </x:c>
      <x:c r="G1967" s="50"/>
      <x:c r="H1967" s="50" t="str">
        <x:v>LONG</x:v>
      </x:c>
      <x:c r="I1967" s="71" t="n">
        <x:v>128.44</x:v>
      </x:c>
      <x:c r="J1967" s="76" t="str">
        <x:v>SIP</x:v>
      </x:c>
    </x:row>
    <x:row r="1968">
      <x:c r="A1968" s="50" t="str">
        <x:v>019fddc6-888a-7300-90e8-49d6558177a1</x:v>
      </x:c>
      <x:c r="B1968" s="50" t="str">
        <x:v>TGT</x:v>
      </x:c>
      <x:c r="C1968" s="70" t="n">
        <x:v>46241.82643122685</x:v>
      </x:c>
      <x:c r="D1968" s="50" t="str">
        <x:v>SWING_SETUP</x:v>
      </x:c>
      <x:c r="E1968" s="50" t="str">
        <x:v>TGT SWING SETUP</x:v>
      </x:c>
      <x:c r="F1968" s="50" t="str">
        <x:v>WATCH</x:v>
      </x:c>
      <x:c r="G1968" s="50"/>
      <x:c r="H1968" s="50" t="str">
        <x:v>LONG</x:v>
      </x:c>
      <x:c r="I1968" s="71" t="n">
        <x:v>148.975</x:v>
      </x:c>
      <x:c r="J1968" s="76" t="str">
        <x:v>SIP</x:v>
      </x:c>
    </x:row>
    <x:row r="1969">
      <x:c r="A1969" s="50" t="str">
        <x:v>019fddc6-88f6-7ef7-997f-51189268916e</x:v>
      </x:c>
      <x:c r="B1969" s="50" t="str">
        <x:v>TEM</x:v>
      </x:c>
      <x:c r="C1969" s="70" t="n">
        <x:v>46241.82643247685</x:v>
      </x:c>
      <x:c r="D1969" s="50" t="str">
        <x:v>SWING_SETUP</x:v>
      </x:c>
      <x:c r="E1969" s="50" t="str">
        <x:v>TEM SWING SETUP</x:v>
      </x:c>
      <x:c r="F1969" s="50" t="str">
        <x:v>WATCH</x:v>
      </x:c>
      <x:c r="G1969" s="50"/>
      <x:c r="H1969" s="50" t="str">
        <x:v>LONG</x:v>
      </x:c>
      <x:c r="I1969" s="71" t="n">
        <x:v>52.08</x:v>
      </x:c>
      <x:c r="J1969" s="76" t="str">
        <x:v>SIP</x:v>
      </x:c>
    </x:row>
    <x:row r="1970">
      <x:c r="A1970" s="50" t="str">
        <x:v>019fddc6-8976-71d7-a902-e2e52a28f684</x:v>
      </x:c>
      <x:c r="B1970" s="50" t="str">
        <x:v>CROX</x:v>
      </x:c>
      <x:c r="C1970" s="70" t="n">
        <x:v>46241.82643395833</x:v>
      </x:c>
      <x:c r="D1970" s="50" t="str">
        <x:v>SWING_SETUP</x:v>
      </x:c>
      <x:c r="E1970" s="50" t="str">
        <x:v>CROX SWING SETUP</x:v>
      </x:c>
      <x:c r="F1970" s="50" t="str">
        <x:v>WATCH</x:v>
      </x:c>
      <x:c r="G1970" s="50"/>
      <x:c r="H1970" s="50" t="str">
        <x:v>LONG</x:v>
      </x:c>
      <x:c r="I1970" s="71" t="n">
        <x:v>137.815</x:v>
      </x:c>
      <x:c r="J1970" s="76" t="str">
        <x:v>SIP</x:v>
      </x:c>
    </x:row>
    <x:row r="1971">
      <x:c r="A1971" s="50" t="str">
        <x:v>019fddc6-8f76-7c47-91df-47223e1246fc</x:v>
      </x:c>
      <x:c r="B1971" s="50" t="str">
        <x:v>XOM</x:v>
      </x:c>
      <x:c r="C1971" s="70" t="n">
        <x:v>46241.82645172453</x:v>
      </x:c>
      <x:c r="D1971" s="50" t="str">
        <x:v>ENTRY_WATCH</x:v>
      </x:c>
      <x:c r="E1971" s="50" t="str">
        <x:v>XOM ENTRY IN_ZONE EARLY WATCH</x:v>
      </x:c>
      <x:c r="F1971" s="50" t="str">
        <x:v>WATCH</x:v>
      </x:c>
      <x:c r="G1971" s="50"/>
      <x:c r="H1971" s="50" t="str">
        <x:v>LONG</x:v>
      </x:c>
      <x:c r="I1971" s="71" t="n">
        <x:v>152.42</x:v>
      </x:c>
      <x:c r="J1971" s="76" t="str">
        <x:v>SIP</x:v>
      </x:c>
    </x:row>
    <x:row r="1972">
      <x:c r="A1972" s="50" t="str">
        <x:v>019fddc6-9142-7153-a379-8faf13914bf0</x:v>
      </x:c>
      <x:c r="B1972" s="50" t="str">
        <x:v>XOM</x:v>
      </x:c>
      <x:c r="C1972" s="70" t="n">
        <x:v>46241.82645706018</x:v>
      </x:c>
      <x:c r="D1972" s="50" t="str">
        <x:v>LONG_BUY_ZONE</x:v>
      </x:c>
      <x:c r="E1972" s="50" t="str">
        <x:v>XOM LONG BUY ZONE</x:v>
      </x:c>
      <x:c r="F1972" s="50" t="str">
        <x:v>WATCH</x:v>
      </x:c>
      <x:c r="G1972" s="50"/>
      <x:c r="H1972" s="50" t="str">
        <x:v>LONG</x:v>
      </x:c>
      <x:c r="I1972" s="71" t="n">
        <x:v>152.42</x:v>
      </x:c>
      <x:c r="J1972" s="76" t="str">
        <x:v>SIP</x:v>
      </x:c>
    </x:row>
    <x:row r="1973">
      <x:c r="A1973" s="50" t="str">
        <x:v>019fddc7-7544-7df1-af0a-973e8a5db739</x:v>
      </x:c>
      <x:c r="B1973" s="50" t="str">
        <x:v>XOM</x:v>
      </x:c>
      <x:c r="C1973" s="70" t="n">
        <x:v>46241.82713262732</x:v>
      </x:c>
      <x:c r="D1973" s="50" t="str">
        <x:v>ENTRY_WATCH</x:v>
      </x:c>
      <x:c r="E1973" s="50" t="str">
        <x:v>XOM ENTRY BREAKAWAY WATCH</x:v>
      </x:c>
      <x:c r="F1973" s="50" t="str">
        <x:v>WATCH</x:v>
      </x:c>
      <x:c r="G1973" s="50"/>
      <x:c r="H1973" s="50" t="str">
        <x:v>LONG</x:v>
      </x:c>
      <x:c r="I1973" s="71" t="n">
        <x:v>152.5201</x:v>
      </x:c>
      <x:c r="J1973" s="76" t="str">
        <x:v>SIP</x:v>
      </x:c>
    </x:row>
    <x:row r="1974">
      <x:c r="A1974" s="50" t="str">
        <x:v>019fddc8-5ed3-7b16-95af-2716b2858c59</x:v>
      </x:c>
      <x:c r="B1974" s="50" t="str">
        <x:v>XOM</x:v>
      </x:c>
      <x:c r="C1974" s="70" t="n">
        <x:v>46241.82782466435</x:v>
      </x:c>
      <x:c r="D1974" s="50" t="str">
        <x:v>ENTRY_WATCH</x:v>
      </x:c>
      <x:c r="E1974" s="50" t="str">
        <x:v>XOM ENTRY IN_ZONE EARLY WATCH</x:v>
      </x:c>
      <x:c r="F1974" s="50" t="str">
        <x:v>WATCH</x:v>
      </x:c>
      <x:c r="G1974" s="50"/>
      <x:c r="H1974" s="50" t="str">
        <x:v>LONG</x:v>
      </x:c>
      <x:c r="I1974" s="71" t="n">
        <x:v>152.405</x:v>
      </x:c>
      <x:c r="J1974" s="76" t="str">
        <x:v>SIP</x:v>
      </x:c>
    </x:row>
    <x:row r="1975">
      <x:c r="A1975" s="50" t="str">
        <x:v>019fddc8-5ed9-747f-99fb-79f1e0059305</x:v>
      </x:c>
      <x:c r="B1975" s="50" t="str">
        <x:v>NXE</x:v>
      </x:c>
      <x:c r="C1975" s="70" t="n">
        <x:v>46241.827824733795</x:v>
      </x:c>
      <x:c r="D1975" s="50" t="str">
        <x:v>SWING_SETUP</x:v>
      </x:c>
      <x:c r="E1975" s="50" t="str">
        <x:v>NXE SWING SETUP</x:v>
      </x:c>
      <x:c r="F1975" s="50" t="str">
        <x:v>WATCH</x:v>
      </x:c>
      <x:c r="G1975" s="50"/>
      <x:c r="H1975" s="50" t="str">
        <x:v>LONG</x:v>
      </x:c>
      <x:c r="I1975" s="71" t="n">
        <x:v>10.455</x:v>
      </x:c>
      <x:c r="J1975" s="76" t="str">
        <x:v>SIP</x:v>
      </x:c>
    </x:row>
    <x:row r="1976">
      <x:c r="A1976" s="50" t="str">
        <x:v>019fddc8-6199-7e3d-90a6-0ef39f07c60c</x:v>
      </x:c>
      <x:c r="B1976" s="50" t="str">
        <x:v>CLPT</x:v>
      </x:c>
      <x:c r="C1976" s="70" t="n">
        <x:v>46241.82783288194</x:v>
      </x:c>
      <x:c r="D1976" s="50" t="str">
        <x:v>ENTRY_WATCH</x:v>
      </x:c>
      <x:c r="E1976" s="50" t="str">
        <x:v>CLPT ENTRY BREAKAWAY WATCH</x:v>
      </x:c>
      <x:c r="F1976" s="50" t="str">
        <x:v>WATCH</x:v>
      </x:c>
      <x:c r="G1976" s="50"/>
      <x:c r="H1976" s="50" t="str">
        <x:v>LONG</x:v>
      </x:c>
      <x:c r="I1976" s="71" t="n">
        <x:v>14.23</x:v>
      </x:c>
      <x:c r="J1976" s="76" t="str">
        <x:v>SIP</x:v>
      </x:c>
    </x:row>
    <x:row r="1977">
      <x:c r="A1977" s="50" t="str">
        <x:v>019fddc9-466f-72e6-a174-aeb368eb6207</x:v>
      </x:c>
      <x:c r="B1977" s="50" t="str">
        <x:v>AMZN</x:v>
      </x:c>
      <x:c r="C1977" s="70" t="n">
        <x:v>46241.828510914354</x:v>
      </x:c>
      <x:c r="D1977" s="50" t="str">
        <x:v>SWING_SETUP</x:v>
      </x:c>
      <x:c r="E1977" s="50" t="str">
        <x:v>AMZN SWING SETUP</x:v>
      </x:c>
      <x:c r="F1977" s="50" t="str">
        <x:v>WATCH</x:v>
      </x:c>
      <x:c r="G1977" s="50"/>
      <x:c r="H1977" s="50" t="str">
        <x:v>LONG</x:v>
      </x:c>
      <x:c r="I1977" s="71" t="n">
        <x:v>274.22</x:v>
      </x:c>
      <x:c r="J1977" s="76" t="str">
        <x:v>SIP</x:v>
      </x:c>
    </x:row>
    <x:row r="1978">
      <x:c r="A1978" s="50" t="str">
        <x:v>019fddc9-46d6-7b7c-8ca9-f10519ce08dd</x:v>
      </x:c>
      <x:c r="B1978" s="50" t="str">
        <x:v>ABNB</x:v>
      </x:c>
      <x:c r="C1978" s="70" t="n">
        <x:v>46241.828512106484</x:v>
      </x:c>
      <x:c r="D1978" s="50" t="str">
        <x:v>SWING_SETUP</x:v>
      </x:c>
      <x:c r="E1978" s="50" t="str">
        <x:v>ABNB SWING SETUP</x:v>
      </x:c>
      <x:c r="F1978" s="50" t="str">
        <x:v>WATCH</x:v>
      </x:c>
      <x:c r="G1978" s="50"/>
      <x:c r="H1978" s="50" t="str">
        <x:v>LONG</x:v>
      </x:c>
      <x:c r="I1978" s="71" t="n">
        <x:v>176.865</x:v>
      </x:c>
      <x:c r="J1978" s="76" t="str">
        <x:v>SIP</x:v>
      </x:c>
    </x:row>
    <x:row r="1979">
      <x:c r="A1979" s="50" t="str">
        <x:v>019fddc9-47e6-74f2-a786-2dbb7a3423af</x:v>
      </x:c>
      <x:c r="B1979" s="50" t="str">
        <x:v>MRK</x:v>
      </x:c>
      <x:c r="C1979" s="70" t="n">
        <x:v>46241.82851525463</x:v>
      </x:c>
      <x:c r="D1979" s="50" t="str">
        <x:v>SWING_SETUP</x:v>
      </x:c>
      <x:c r="E1979" s="50" t="str">
        <x:v>MRK SWING SETUP</x:v>
      </x:c>
      <x:c r="F1979" s="50" t="str">
        <x:v>WATCH</x:v>
      </x:c>
      <x:c r="G1979" s="50"/>
      <x:c r="H1979" s="50" t="str">
        <x:v>LONG</x:v>
      </x:c>
      <x:c r="I1979" s="71" t="n">
        <x:v>128.57</x:v>
      </x:c>
      <x:c r="J1979" s="76" t="str">
        <x:v>SIP</x:v>
      </x:c>
    </x:row>
    <x:row r="1980">
      <x:c r="A1980" s="50" t="str">
        <x:v>019fddc9-4b21-7709-99e4-8af6b51d8645</x:v>
      </x:c>
      <x:c r="B1980" s="50" t="str">
        <x:v>SNOW</x:v>
      </x:c>
      <x:c r="C1980" s="70" t="n">
        <x:v>46241.828524826386</x:v>
      </x:c>
      <x:c r="D1980" s="50" t="str">
        <x:v>SWING_SETUP</x:v>
      </x:c>
      <x:c r="E1980" s="50" t="str">
        <x:v>SNOW SWING SETUP</x:v>
      </x:c>
      <x:c r="F1980" s="50" t="str">
        <x:v>WATCH</x:v>
      </x:c>
      <x:c r="G1980" s="50"/>
      <x:c r="H1980" s="50" t="str">
        <x:v>LONG</x:v>
      </x:c>
      <x:c r="I1980" s="71" t="n">
        <x:v>329.315</x:v>
      </x:c>
      <x:c r="J1980" s="76" t="str">
        <x:v>SIP</x:v>
      </x:c>
    </x:row>
    <x:row r="1981">
      <x:c r="A1981" s="50" t="str">
        <x:v>019fddc9-4eef-7235-bb96-35af3ec54134</x:v>
      </x:c>
      <x:c r="B1981" s="50" t="str">
        <x:v>KDP</x:v>
      </x:c>
      <x:c r="C1981" s="70" t="n">
        <x:v>46241.828536099536</x:v>
      </x:c>
      <x:c r="D1981" s="50" t="str">
        <x:v>LONG_BUY_ZONE</x:v>
      </x:c>
      <x:c r="E1981" s="50" t="str">
        <x:v>KDP LONG BUY ZONE</x:v>
      </x:c>
      <x:c r="F1981" s="50" t="str">
        <x:v>WATCH</x:v>
      </x:c>
      <x:c r="G1981" s="50"/>
      <x:c r="H1981" s="50" t="str">
        <x:v>LONG</x:v>
      </x:c>
      <x:c r="I1981" s="71" t="n">
        <x:v>30.055</x:v>
      </x:c>
      <x:c r="J1981" s="76" t="str">
        <x:v>SIP</x:v>
      </x:c>
    </x:row>
    <x:row r="1982">
      <x:c r="A1982" s="50" t="str">
        <x:v>019fddca-2df5-73b2-ab78-1938d8d11445</x:v>
      </x:c>
      <x:c r="B1982" s="50" t="str">
        <x:v>DE</x:v>
      </x:c>
      <x:c r="C1982" s="70" t="n">
        <x:v>46241.82919689815</x:v>
      </x:c>
      <x:c r="D1982" s="50" t="str">
        <x:v>LONG_BUY_ZONE</x:v>
      </x:c>
      <x:c r="E1982" s="50" t="str">
        <x:v>DE LONG BUY ZONE</x:v>
      </x:c>
      <x:c r="F1982" s="50" t="str">
        <x:v>WATCH</x:v>
      </x:c>
      <x:c r="G1982" s="50"/>
      <x:c r="H1982" s="50" t="str">
        <x:v>LONG</x:v>
      </x:c>
      <x:c r="I1982" s="71" t="n">
        <x:v>620.95</x:v>
      </x:c>
      <x:c r="J1982" s="76" t="str">
        <x:v>SIP</x:v>
      </x:c>
    </x:row>
    <x:row r="1983">
      <x:c r="A1983" s="50" t="str">
        <x:v>019fddca-33dd-7ae1-a6d4-337cb456a135</x:v>
      </x:c>
      <x:c r="B1983" s="50" t="str">
        <x:v>RDW</x:v>
      </x:c>
      <x:c r="C1983" s="70" t="n">
        <x:v>46241.82921440972</x:v>
      </x:c>
      <x:c r="D1983" s="50" t="str">
        <x:v>SWING_SETUP</x:v>
      </x:c>
      <x:c r="E1983" s="50" t="str">
        <x:v>RDW SWING SETUP</x:v>
      </x:c>
      <x:c r="F1983" s="50" t="str">
        <x:v>WATCH</x:v>
      </x:c>
      <x:c r="G1983" s="50"/>
      <x:c r="H1983" s="50" t="str">
        <x:v>LONG</x:v>
      </x:c>
      <x:c r="I1983" s="71" t="n">
        <x:v>13.46</x:v>
      </x:c>
      <x:c r="J1983" s="76" t="str">
        <x:v>SIP</x:v>
      </x:c>
    </x:row>
    <x:row r="1984">
      <x:c r="A1984" s="50" t="str">
        <x:v>019fddca-34b1-7d66-852f-7dd4bda33e28</x:v>
      </x:c>
      <x:c r="B1984" s="50" t="str">
        <x:v>NOC</x:v>
      </x:c>
      <x:c r="C1984" s="70" t="n">
        <x:v>46241.82921685185</x:v>
      </x:c>
      <x:c r="D1984" s="50" t="str">
        <x:v>SWING_SETUP</x:v>
      </x:c>
      <x:c r="E1984" s="50" t="str">
        <x:v>NOC SWING SETUP</x:v>
      </x:c>
      <x:c r="F1984" s="50" t="str">
        <x:v>WATCH</x:v>
      </x:c>
      <x:c r="G1984" s="50"/>
      <x:c r="H1984" s="50" t="str">
        <x:v>LONG</x:v>
      </x:c>
      <x:c r="I1984" s="71" t="n">
        <x:v>571.78</x:v>
      </x:c>
      <x:c r="J1984" s="76" t="str">
        <x:v>SIP</x:v>
      </x:c>
    </x:row>
    <x:row r="1985">
      <x:c r="A1985" s="50" t="str">
        <x:v>019fddcb-1d08-766c-8a90-775727e47054</x:v>
      </x:c>
      <x:c r="B1985" s="50" t="str">
        <x:v>CLPT</x:v>
      </x:c>
      <x:c r="C1985" s="70" t="n">
        <x:v>46241.82990527778</x:v>
      </x:c>
      <x:c r="D1985" s="50" t="str">
        <x:v>ENTRY_WATCH</x:v>
      </x:c>
      <x:c r="E1985" s="50" t="str">
        <x:v>CLPT ENTRY IN_ZONE EARLY WATCH</x:v>
      </x:c>
      <x:c r="F1985" s="50" t="str">
        <x:v>WATCH</x:v>
      </x:c>
      <x:c r="G1985" s="50"/>
      <x:c r="H1985" s="50" t="str">
        <x:v>LONG</x:v>
      </x:c>
      <x:c r="I1985" s="71" t="n">
        <x:v>14.19</x:v>
      </x:c>
      <x:c r="J1985" s="76" t="str">
        <x:v>SIP</x:v>
      </x:c>
    </x:row>
    <x:row r="1986">
      <x:c r="A1986" s="50" t="str">
        <x:v>019fddcb-286b-799a-b86f-07d7a5c52888</x:v>
      </x:c>
      <x:c r="B1986" s="50" t="str">
        <x:v>MRK</x:v>
      </x:c>
      <x:c r="C1986" s="70" t="n">
        <x:v>46241.82993900463</x:v>
      </x:c>
      <x:c r="D1986" s="50" t="str">
        <x:v>LONG_BUY_ZONE</x:v>
      </x:c>
      <x:c r="E1986" s="50" t="str">
        <x:v>MRK LONG BUY ZONE</x:v>
      </x:c>
      <x:c r="F1986" s="50" t="str">
        <x:v>WATCH</x:v>
      </x:c>
      <x:c r="G1986" s="50"/>
      <x:c r="H1986" s="50" t="str">
        <x:v>LONG</x:v>
      </x:c>
      <x:c r="I1986" s="71" t="n">
        <x:v>128.33</x:v>
      </x:c>
      <x:c r="J1986" s="76" t="str">
        <x:v>SIP</x:v>
      </x:c>
    </x:row>
    <x:row r="1987">
      <x:c r="A1987" s="50" t="str">
        <x:v>019fddcc-04f8-7346-be6b-b074ac7bf4c9</x:v>
      </x:c>
      <x:c r="B1987" s="50" t="str">
        <x:v>VZ</x:v>
      </x:c>
      <x:c r="C1987" s="70" t="n">
        <x:v>46241.8305925</x:v>
      </x:c>
      <x:c r="D1987" s="50" t="str">
        <x:v>SWING_SETUP</x:v>
      </x:c>
      <x:c r="E1987" s="50" t="str">
        <x:v>VZ SWING SETUP</x:v>
      </x:c>
      <x:c r="F1987" s="50" t="str">
        <x:v>WATCH</x:v>
      </x:c>
      <x:c r="G1987" s="50"/>
      <x:c r="H1987" s="50" t="str">
        <x:v>LONG</x:v>
      </x:c>
      <x:c r="I1987" s="71" t="n">
        <x:v>46.97</x:v>
      </x:c>
      <x:c r="J1987" s="76" t="str">
        <x:v>SIP</x:v>
      </x:c>
    </x:row>
    <x:row r="1988">
      <x:c r="A1988" s="50" t="str">
        <x:v>019fddcc-050d-7c98-896a-72716718cdc6</x:v>
      </x:c>
      <x:c r="B1988" s="50" t="str">
        <x:v>UNP</x:v>
      </x:c>
      <x:c r="C1988" s="70" t="n">
        <x:v>46241.830592743056</x:v>
      </x:c>
      <x:c r="D1988" s="50" t="str">
        <x:v>SWING_SETUP</x:v>
      </x:c>
      <x:c r="E1988" s="50" t="str">
        <x:v>UNP SWING SETUP</x:v>
      </x:c>
      <x:c r="F1988" s="50" t="str">
        <x:v>WATCH</x:v>
      </x:c>
      <x:c r="G1988" s="50"/>
      <x:c r="H1988" s="50" t="str">
        <x:v>LONG</x:v>
      </x:c>
      <x:c r="I1988" s="71" t="n">
        <x:v>294.095</x:v>
      </x:c>
      <x:c r="J1988" s="76" t="str">
        <x:v>SIP</x:v>
      </x:c>
    </x:row>
    <x:row r="1989">
      <x:c r="A1989" s="50" t="str">
        <x:v>019fddcc-051a-76ff-970b-40deb477a54a</x:v>
      </x:c>
      <x:c r="B1989" s="50" t="str">
        <x:v>OXY</x:v>
      </x:c>
      <x:c r="C1989" s="70" t="n">
        <x:v>46241.830592893515</x:v>
      </x:c>
      <x:c r="D1989" s="50" t="str">
        <x:v>SWING_SETUP</x:v>
      </x:c>
      <x:c r="E1989" s="50" t="str">
        <x:v>OXY SWING SETUP</x:v>
      </x:c>
      <x:c r="F1989" s="50" t="str">
        <x:v>WATCH</x:v>
      </x:c>
      <x:c r="G1989" s="50"/>
      <x:c r="H1989" s="50" t="str">
        <x:v>LONG</x:v>
      </x:c>
      <x:c r="I1989" s="71" t="n">
        <x:v>56.04</x:v>
      </x:c>
      <x:c r="J1989" s="76" t="str">
        <x:v>SIP</x:v>
      </x:c>
    </x:row>
    <x:row r="1990">
      <x:c r="A1990" s="50" t="str">
        <x:v>019fddcc-0535-73ce-8837-fd5a8f9fdad1</x:v>
      </x:c>
      <x:c r="B1990" s="50" t="str">
        <x:v>COP</x:v>
      </x:c>
      <x:c r="C1990" s="70" t="n">
        <x:v>46241.83059320602</x:v>
      </x:c>
      <x:c r="D1990" s="50" t="str">
        <x:v>SWING_SETUP</x:v>
      </x:c>
      <x:c r="E1990" s="50" t="str">
        <x:v>COP SWING SETUP</x:v>
      </x:c>
      <x:c r="F1990" s="50" t="str">
        <x:v>WATCH</x:v>
      </x:c>
      <x:c r="G1990" s="50"/>
      <x:c r="H1990" s="50" t="str">
        <x:v>LONG</x:v>
      </x:c>
      <x:c r="I1990" s="71" t="n">
        <x:v>117.32</x:v>
      </x:c>
      <x:c r="J1990" s="76" t="str">
        <x:v>SIP</x:v>
      </x:c>
    </x:row>
    <x:row r="1991">
      <x:c r="A1991" s="50" t="str">
        <x:v>019fddcc-055f-7e45-ba4b-0e09f8006606</x:v>
      </x:c>
      <x:c r="B1991" s="50" t="str">
        <x:v>SBUX</x:v>
      </x:c>
      <x:c r="C1991" s="70" t="n">
        <x:v>46241.830593680555</x:v>
      </x:c>
      <x:c r="D1991" s="50" t="str">
        <x:v>SWING_SETUP</x:v>
      </x:c>
      <x:c r="E1991" s="50" t="str">
        <x:v>SBUX SWING SETUP</x:v>
      </x:c>
      <x:c r="F1991" s="50" t="str">
        <x:v>WATCH</x:v>
      </x:c>
      <x:c r="G1991" s="50"/>
      <x:c r="H1991" s="50" t="str">
        <x:v>LONG</x:v>
      </x:c>
      <x:c r="I1991" s="71" t="n">
        <x:v>106.49</x:v>
      </x:c>
      <x:c r="J1991" s="76" t="str">
        <x:v>SIP</x:v>
      </x:c>
    </x:row>
    <x:row r="1992">
      <x:c r="A1992" s="50" t="str">
        <x:v>019fddcc-0573-79bd-b10c-1904efdbe925</x:v>
      </x:c>
      <x:c r="B1992" s="50" t="str">
        <x:v>MDLZ</x:v>
      </x:c>
      <x:c r="C1992" s="70" t="n">
        <x:v>46241.83059392361</x:v>
      </x:c>
      <x:c r="D1992" s="50" t="str">
        <x:v>SWING_SETUP</x:v>
      </x:c>
      <x:c r="E1992" s="50" t="str">
        <x:v>MDLZ SWING SETUP</x:v>
      </x:c>
      <x:c r="F1992" s="50" t="str">
        <x:v>WATCH</x:v>
      </x:c>
      <x:c r="G1992" s="50"/>
      <x:c r="H1992" s="50" t="str">
        <x:v>LONG</x:v>
      </x:c>
      <x:c r="I1992" s="71" t="n">
        <x:v>62.78</x:v>
      </x:c>
      <x:c r="J1992" s="76" t="str">
        <x:v>SIP</x:v>
      </x:c>
    </x:row>
    <x:row r="1993">
      <x:c r="A1993" s="50" t="str">
        <x:v>019fddcc-08cb-74fe-854f-fb5e5bd5ed4a</x:v>
      </x:c>
      <x:c r="B1993" s="50" t="str">
        <x:v>MNST</x:v>
      </x:c>
      <x:c r="C1993" s="70" t="n">
        <x:v>46241.83060383102</x:v>
      </x:c>
      <x:c r="D1993" s="50" t="str">
        <x:v>ENTRY_WATCH</x:v>
      </x:c>
      <x:c r="E1993" s="50" t="str">
        <x:v>MNST ENTRY IN_ZONE EARLY WATCH</x:v>
      </x:c>
      <x:c r="F1993" s="50" t="str">
        <x:v>WATCH</x:v>
      </x:c>
      <x:c r="G1993" s="50"/>
      <x:c r="H1993" s="50" t="str">
        <x:v>LONG</x:v>
      </x:c>
      <x:c r="I1993" s="71" t="n">
        <x:v>90.36</x:v>
      </x:c>
      <x:c r="J1993" s="76" t="str">
        <x:v>SIP</x:v>
      </x:c>
    </x:row>
    <x:row r="1994">
      <x:c r="A1994" s="50" t="str">
        <x:v>019fddcc-1176-7483-b394-203bc904b674</x:v>
      </x:c>
      <x:c r="B1994" s="50" t="str">
        <x:v>SBUX</x:v>
      </x:c>
      <x:c r="C1994" s="70" t="n">
        <x:v>46241.83062951389</x:v>
      </x:c>
      <x:c r="D1994" s="50" t="str">
        <x:v>LONG_BUY_ZONE</x:v>
      </x:c>
      <x:c r="E1994" s="50" t="str">
        <x:v>SBUX LONG BUY ZONE</x:v>
      </x:c>
      <x:c r="F1994" s="50" t="str">
        <x:v>WATCH</x:v>
      </x:c>
      <x:c r="G1994" s="50"/>
      <x:c r="H1994" s="50" t="str">
        <x:v>LONG</x:v>
      </x:c>
      <x:c r="I1994" s="71" t="n">
        <x:v>105.84</x:v>
      </x:c>
      <x:c r="J1994" s="76" t="str">
        <x:v>SIP</x:v>
      </x:c>
    </x:row>
    <x:row r="1995">
      <x:c r="A1995" s="50" t="str">
        <x:v>019fddcc-ecc1-7d7a-b276-416a3f2c0e04</x:v>
      </x:c>
      <x:c r="B1995" s="50" t="str">
        <x:v>APH</x:v>
      </x:c>
      <x:c r="C1995" s="70" t="n">
        <x:v>46241.83127927083</x:v>
      </x:c>
      <x:c r="D1995" s="50" t="str">
        <x:v>LONG_BUY_ZONE</x:v>
      </x:c>
      <x:c r="E1995" s="50" t="str">
        <x:v>APH LONG BUY ZONE</x:v>
      </x:c>
      <x:c r="F1995" s="50" t="str">
        <x:v>WATCH</x:v>
      </x:c>
      <x:c r="G1995" s="50"/>
      <x:c r="H1995" s="50" t="str">
        <x:v>LONG</x:v>
      </x:c>
      <x:c r="I1995" s="71" t="n">
        <x:v>168.85</x:v>
      </x:c>
      <x:c r="J1995" s="76" t="str">
        <x:v>SIP</x:v>
      </x:c>
    </x:row>
    <x:row r="1996">
      <x:c r="A1996" s="50" t="str">
        <x:v>019fddcc-f154-747c-b3ec-2c99f48eedc7</x:v>
      </x:c>
      <x:c r="B1996" s="50" t="str">
        <x:v>INTU</x:v>
      </x:c>
      <x:c r="C1996" s="70" t="n">
        <x:v>46241.83129282408</x:v>
      </x:c>
      <x:c r="D1996" s="50" t="str">
        <x:v>SWING_SETUP</x:v>
      </x:c>
      <x:c r="E1996" s="50" t="str">
        <x:v>INTU SWING SETUP</x:v>
      </x:c>
      <x:c r="F1996" s="50" t="str">
        <x:v>WATCH</x:v>
      </x:c>
      <x:c r="G1996" s="50"/>
      <x:c r="H1996" s="50" t="str">
        <x:v>LONG</x:v>
      </x:c>
      <x:c r="I1996" s="71" t="n">
        <x:v>326.63</x:v>
      </x:c>
      <x:c r="J1996" s="76" t="str">
        <x:v>SIP</x:v>
      </x:c>
    </x:row>
    <x:row r="1997">
      <x:c r="A1997" s="50" t="str">
        <x:v>019fddcd-de42-73a4-bc72-d0790b8e9965</x:v>
      </x:c>
      <x:c r="B1997" s="50" t="str">
        <x:v>BMY</x:v>
      </x:c>
      <x:c r="C1997" s="70" t="n">
        <x:v>46241.83199482639</x:v>
      </x:c>
      <x:c r="D1997" s="50" t="str">
        <x:v>SWING_SETUP</x:v>
      </x:c>
      <x:c r="E1997" s="50" t="str">
        <x:v>BMY SWING SETUP</x:v>
      </x:c>
      <x:c r="F1997" s="50" t="str">
        <x:v>WATCH</x:v>
      </x:c>
      <x:c r="G1997" s="50"/>
      <x:c r="H1997" s="50" t="str">
        <x:v>LONG</x:v>
      </x:c>
      <x:c r="I1997" s="71" t="n">
        <x:v>64.615</x:v>
      </x:c>
      <x:c r="J1997" s="76" t="str">
        <x:v>SIP</x:v>
      </x:c>
    </x:row>
    <x:row r="1998">
      <x:c r="A1998" s="50" t="str">
        <x:v>019fddcd-df43-71f9-b2b5-b537d27a9c5a</x:v>
      </x:c>
      <x:c r="B1998" s="50" t="str">
        <x:v>PLTR</x:v>
      </x:c>
      <x:c r="C1998" s="70" t="n">
        <x:v>46241.8319978125</x:v>
      </x:c>
      <x:c r="D1998" s="50" t="str">
        <x:v>SWING_SETUP</x:v>
      </x:c>
      <x:c r="E1998" s="50" t="str">
        <x:v>PLTR SWING SETUP</x:v>
      </x:c>
      <x:c r="F1998" s="50" t="str">
        <x:v>WATCH</x:v>
      </x:c>
      <x:c r="G1998" s="50"/>
      <x:c r="H1998" s="50" t="str">
        <x:v>LONG</x:v>
      </x:c>
      <x:c r="I1998" s="71" t="n">
        <x:v>171.15</x:v>
      </x:c>
      <x:c r="J1998" s="76" t="str">
        <x:v>SIP</x:v>
      </x:c>
    </x:row>
    <x:row r="1999">
      <x:c r="A1999" s="50" t="str">
        <x:v>019fddcd-e0f5-7082-ac7c-341c65be524f</x:v>
      </x:c>
      <x:c r="B1999" s="50" t="str">
        <x:v>ABBV</x:v>
      </x:c>
      <x:c r="C1999" s="70" t="n">
        <x:v>46241.83200283565</x:v>
      </x:c>
      <x:c r="D1999" s="50" t="str">
        <x:v>LONG_BUY_ZONE</x:v>
      </x:c>
      <x:c r="E1999" s="50" t="str">
        <x:v>ABBV LONG BUY ZONE</x:v>
      </x:c>
      <x:c r="F1999" s="50" t="str">
        <x:v>WATCH</x:v>
      </x:c>
      <x:c r="G1999" s="50"/>
      <x:c r="H1999" s="50" t="str">
        <x:v>LONG</x:v>
      </x:c>
      <x:c r="I1999" s="71" t="n">
        <x:v>245.215</x:v>
      </x:c>
      <x:c r="J1999" s="76" t="str">
        <x:v>SIP</x:v>
      </x:c>
    </x:row>
    <x:row r="2000">
      <x:c r="A2000" s="50" t="str">
        <x:v>019fddcd-e20e-7654-a8e6-dc3fb991cf4c</x:v>
      </x:c>
      <x:c r="B2000" s="50" t="str">
        <x:v>CLPT</x:v>
      </x:c>
      <x:c r="C2000" s="70" t="n">
        <x:v>46241.83200608796</x:v>
      </x:c>
      <x:c r="D2000" s="50" t="str">
        <x:v>ENTRY_WATCH</x:v>
      </x:c>
      <x:c r="E2000" s="50" t="str">
        <x:v>CLPT ENTRY BREAKAWAY WATCH</x:v>
      </x:c>
      <x:c r="F2000" s="50" t="str">
        <x:v>WATCH</x:v>
      </x:c>
      <x:c r="G2000" s="50"/>
      <x:c r="H2000" s="50" t="str">
        <x:v>LONG</x:v>
      </x:c>
      <x:c r="I2000" s="71" t="n">
        <x:v>14.25</x:v>
      </x:c>
      <x:c r="J2000" s="76" t="str">
        <x:v>SIP</x:v>
      </x:c>
    </x:row>
    <x:row r="2001">
      <x:c r="A2001" s="50" t="str">
        <x:v>019fddcd-e28e-78c9-b526-8fb35e78e51e</x:v>
      </x:c>
      <x:c r="B2001" s="50" t="str">
        <x:v>XOM</x:v>
      </x:c>
      <x:c r="C2001" s="70" t="n">
        <x:v>46241.83200756944</x:v>
      </x:c>
      <x:c r="D2001" s="50" t="str">
        <x:v>ENTRY_WATCH</x:v>
      </x:c>
      <x:c r="E2001" s="50" t="str">
        <x:v>XOM ENTRY BREAKAWAY WATCH</x:v>
      </x:c>
      <x:c r="F2001" s="50" t="str">
        <x:v>WATCH</x:v>
      </x:c>
      <x:c r="G2001" s="50"/>
      <x:c r="H2001" s="50" t="str">
        <x:v>LONG</x:v>
      </x:c>
      <x:c r="I2001" s="71" t="n">
        <x:v>152.5099</x:v>
      </x:c>
      <x:c r="J2001" s="76" t="str">
        <x:v>SIP</x:v>
      </x:c>
    </x:row>
    <x:row r="2002">
      <x:c r="A2002" s="50" t="str">
        <x:v>019fddcd-e541-79c1-8e88-799a46b0385a</x:v>
      </x:c>
      <x:c r="B2002" s="50" t="str">
        <x:v>MNST</x:v>
      </x:c>
      <x:c r="C2002" s="70" t="n">
        <x:v>46241.83201556713</x:v>
      </x:c>
      <x:c r="D2002" s="50" t="str">
        <x:v>ENTRY_WATCH</x:v>
      </x:c>
      <x:c r="E2002" s="50" t="str">
        <x:v>MNST ENTRY BREAKAWAY WATCH</x:v>
      </x:c>
      <x:c r="F2002" s="50" t="str">
        <x:v>WATCH</x:v>
      </x:c>
      <x:c r="G2002" s="50"/>
      <x:c r="H2002" s="50" t="str">
        <x:v>LONG</x:v>
      </x:c>
      <x:c r="I2002" s="71" t="n">
        <x:v>90.5</x:v>
      </x:c>
      <x:c r="J2002" s="76" t="str">
        <x:v>SIP</x:v>
      </x:c>
    </x:row>
    <x:row r="2003">
      <x:c r="A2003" s="50" t="str">
        <x:v>019fddce-c285-78ce-be32-f41c1ce64a42</x:v>
      </x:c>
      <x:c r="B2003" s="50" t="str">
        <x:v>ANET</x:v>
      </x:c>
      <x:c r="C2003" s="70" t="n">
        <x:v>46241.83267116898</x:v>
      </x:c>
      <x:c r="D2003" s="50" t="str">
        <x:v>SWING_SETUP</x:v>
      </x:c>
      <x:c r="E2003" s="50" t="str">
        <x:v>ANET SWING SETUP</x:v>
      </x:c>
      <x:c r="F2003" s="50" t="str">
        <x:v>WATCH</x:v>
      </x:c>
      <x:c r="G2003" s="50"/>
      <x:c r="H2003" s="50" t="str">
        <x:v>LONG</x:v>
      </x:c>
      <x:c r="I2003" s="71" t="n">
        <x:v>188.68</x:v>
      </x:c>
      <x:c r="J2003" s="76" t="str">
        <x:v>SIP</x:v>
      </x:c>
    </x:row>
    <x:row r="2004">
      <x:c r="A2004" s="50" t="str">
        <x:v>019fddce-c67f-7055-95ca-d4974cd7456f</x:v>
      </x:c>
      <x:c r="B2004" s="50" t="str">
        <x:v>ECL</x:v>
      </x:c>
      <x:c r="C2004" s="70" t="n">
        <x:v>46241.83268295139</x:v>
      </x:c>
      <x:c r="D2004" s="50" t="str">
        <x:v>LONG_BUY_ZONE</x:v>
      </x:c>
      <x:c r="E2004" s="50" t="str">
        <x:v>ECL LONG BUY ZONE</x:v>
      </x:c>
      <x:c r="F2004" s="50" t="str">
        <x:v>WATCH</x:v>
      </x:c>
      <x:c r="G2004" s="50"/>
      <x:c r="H2004" s="50" t="str">
        <x:v>LONG</x:v>
      </x:c>
      <x:c r="I2004" s="71" t="n">
        <x:v>284.8</x:v>
      </x:c>
      <x:c r="J2004" s="76" t="str">
        <x:v>SIP</x:v>
      </x:c>
    </x:row>
    <x:row r="2005">
      <x:c r="A2005" s="50" t="str">
        <x:v>019fddce-c80e-76a2-bbda-2200a59edd3c</x:v>
      </x:c>
      <x:c r="B2005" s="50" t="str">
        <x:v>LMT</x:v>
      </x:c>
      <x:c r="C2005" s="70" t="n">
        <x:v>46241.83268756945</x:v>
      </x:c>
      <x:c r="D2005" s="50" t="str">
        <x:v>SWING_SETUP</x:v>
      </x:c>
      <x:c r="E2005" s="50" t="str">
        <x:v>LMT SWING SETUP</x:v>
      </x:c>
      <x:c r="F2005" s="50" t="str">
        <x:v>WATCH</x:v>
      </x:c>
      <x:c r="G2005" s="50"/>
      <x:c r="H2005" s="50" t="str">
        <x:v>LONG</x:v>
      </x:c>
      <x:c r="I2005" s="71" t="n">
        <x:v>587.38</x:v>
      </x:c>
      <x:c r="J2005" s="76" t="str">
        <x:v>SIP</x:v>
      </x:c>
    </x:row>
    <x:row r="2006">
      <x:c r="A2006" s="50" t="str">
        <x:v>019fddce-c86a-73ae-b8ce-908943a230e3</x:v>
      </x:c>
      <x:c r="B2006" s="50" t="str">
        <x:v>APA</x:v>
      </x:c>
      <x:c r="C2006" s="70" t="n">
        <x:v>46241.83268863426</x:v>
      </x:c>
      <x:c r="D2006" s="50" t="str">
        <x:v>SWING_SETUP</x:v>
      </x:c>
      <x:c r="E2006" s="50" t="str">
        <x:v>APA SWING SETUP</x:v>
      </x:c>
      <x:c r="F2006" s="50" t="str">
        <x:v>WATCH</x:v>
      </x:c>
      <x:c r="G2006" s="50"/>
      <x:c r="H2006" s="50" t="str">
        <x:v>LONG</x:v>
      </x:c>
      <x:c r="I2006" s="71" t="n">
        <x:v>37.435</x:v>
      </x:c>
      <x:c r="J2006" s="76" t="str">
        <x:v>SIP</x:v>
      </x:c>
    </x:row>
    <x:row r="2007">
      <x:c r="A2007" s="50" t="str">
        <x:v>019fddce-c872-7c9f-9bb7-c329db78ceb0</x:v>
      </x:c>
      <x:c r="B2007" s="50" t="str">
        <x:v>WELL</x:v>
      </x:c>
      <x:c r="C2007" s="70" t="n">
        <x:v>46241.83268871528</x:v>
      </x:c>
      <x:c r="D2007" s="50" t="str">
        <x:v>SWING_SETUP</x:v>
      </x:c>
      <x:c r="E2007" s="50" t="str">
        <x:v>WELL SWING SETUP</x:v>
      </x:c>
      <x:c r="F2007" s="50" t="str">
        <x:v>WATCH</x:v>
      </x:c>
      <x:c r="G2007" s="50"/>
      <x:c r="H2007" s="50" t="str">
        <x:v>LONG</x:v>
      </x:c>
      <x:c r="I2007" s="71" t="n">
        <x:v>236.86</x:v>
      </x:c>
      <x:c r="J2007" s="76" t="str">
        <x:v>SIP</x:v>
      </x:c>
    </x:row>
    <x:row r="2008">
      <x:c r="A2008" s="50" t="str">
        <x:v>019fddcf-c11b-7c66-9eb2-a4765c61be24</x:v>
      </x:c>
      <x:c r="B2008" s="50" t="str">
        <x:v>MNST</x:v>
      </x:c>
      <x:c r="C2008" s="70" t="n">
        <x:v>46241.83342549769</x:v>
      </x:c>
      <x:c r="D2008" s="50" t="str">
        <x:v>ENTRY_WATCH</x:v>
      </x:c>
      <x:c r="E2008" s="50" t="str">
        <x:v>MNST ENTRY IN_ZONE EARLY WATCH</x:v>
      </x:c>
      <x:c r="F2008" s="50" t="str">
        <x:v>WATCH</x:v>
      </x:c>
      <x:c r="G2008" s="50"/>
      <x:c r="H2008" s="50" t="str">
        <x:v>LONG</x:v>
      </x:c>
      <x:c r="I2008" s="71" t="n">
        <x:v>90.32</x:v>
      </x:c>
      <x:c r="J2008" s="76" t="str">
        <x:v>SIP</x:v>
      </x:c>
    </x:row>
    <x:row r="2009">
      <x:c r="A2009" s="50" t="str">
        <x:v>019fddd0-97a4-79de-92df-baed8c7a9804</x:v>
      </x:c>
      <x:c r="B2009" s="50" t="str">
        <x:v>NUE</x:v>
      </x:c>
      <x:c r="C2009" s="70" t="n">
        <x:v>46241.83406115741</x:v>
      </x:c>
      <x:c r="D2009" s="50" t="str">
        <x:v>SWING_SETUP</x:v>
      </x:c>
      <x:c r="E2009" s="50" t="str">
        <x:v>NUE SWING SETUP</x:v>
      </x:c>
      <x:c r="F2009" s="50" t="str">
        <x:v>WATCH</x:v>
      </x:c>
      <x:c r="G2009" s="50"/>
      <x:c r="H2009" s="50" t="str">
        <x:v>LONG</x:v>
      </x:c>
      <x:c r="I2009" s="71" t="n">
        <x:v>272.57</x:v>
      </x:c>
      <x:c r="J2009" s="76" t="str">
        <x:v>SIP</x:v>
      </x:c>
    </x:row>
    <x:row r="2010">
      <x:c r="A2010" s="50" t="str">
        <x:v>019fddd0-97f9-7ccc-b9c5-fefe36212fa9</x:v>
      </x:c>
      <x:c r="B2010" s="50" t="str">
        <x:v>PM</x:v>
      </x:c>
      <x:c r="C2010" s="70" t="n">
        <x:v>46241.834062141206</x:v>
      </x:c>
      <x:c r="D2010" s="50" t="str">
        <x:v>SWING_SETUP</x:v>
      </x:c>
      <x:c r="E2010" s="50" t="str">
        <x:v>PM SWING SETUP</x:v>
      </x:c>
      <x:c r="F2010" s="50" t="str">
        <x:v>WATCH</x:v>
      </x:c>
      <x:c r="G2010" s="50"/>
      <x:c r="H2010" s="50" t="str">
        <x:v>LONG</x:v>
      </x:c>
      <x:c r="I2010" s="71" t="n">
        <x:v>189.46</x:v>
      </x:c>
      <x:c r="J2010" s="76" t="str">
        <x:v>SIP</x:v>
      </x:c>
    </x:row>
    <x:row r="2011">
      <x:c r="A2011" s="50" t="str">
        <x:v>019fddd0-9805-7f33-a370-82c89d5aac69</x:v>
      </x:c>
      <x:c r="B2011" s="50" t="str">
        <x:v>ACHV</x:v>
      </x:c>
      <x:c r="C2011" s="70" t="n">
        <x:v>46241.83406228009</x:v>
      </x:c>
      <x:c r="D2011" s="50" t="str">
        <x:v>SWING_SETUP</x:v>
      </x:c>
      <x:c r="E2011" s="50" t="str">
        <x:v>ACHV SWING SETUP</x:v>
      </x:c>
      <x:c r="F2011" s="50" t="str">
        <x:v>WATCH</x:v>
      </x:c>
      <x:c r="G2011" s="50"/>
      <x:c r="H2011" s="50" t="str">
        <x:v>LONG</x:v>
      </x:c>
      <x:c r="I2011" s="71" t="n">
        <x:v>6.65</x:v>
      </x:c>
      <x:c r="J2011" s="76" t="str">
        <x:v>SIP</x:v>
      </x:c>
    </x:row>
    <x:row r="2012">
      <x:c r="A2012" s="50" t="str">
        <x:v>019fddd0-98b2-7fc2-ae94-f5e0b778ddfc</x:v>
      </x:c>
      <x:c r="B2012" s="50" t="str">
        <x:v>PSX</x:v>
      </x:c>
      <x:c r="C2012" s="70" t="n">
        <x:v>46241.834064270835</x:v>
      </x:c>
      <x:c r="D2012" s="50" t="str">
        <x:v>SWING_SETUP</x:v>
      </x:c>
      <x:c r="E2012" s="50" t="str">
        <x:v>PSX SWING SETUP</x:v>
      </x:c>
      <x:c r="F2012" s="50" t="str">
        <x:v>WATCH</x:v>
      </x:c>
      <x:c r="G2012" s="50"/>
      <x:c r="H2012" s="50" t="str">
        <x:v>LONG</x:v>
      </x:c>
      <x:c r="I2012" s="71" t="n">
        <x:v>203.89</x:v>
      </x:c>
      <x:c r="J2012" s="76" t="str">
        <x:v>SIP</x:v>
      </x:c>
    </x:row>
    <x:row r="2013">
      <x:c r="A2013" s="50" t="str">
        <x:v>019fddd0-991a-7da0-b3c4-e00c442ff50e</x:v>
      </x:c>
      <x:c r="B2013" s="50" t="str">
        <x:v>NVDA</x:v>
      </x:c>
      <x:c r="C2013" s="70" t="n">
        <x:v>46241.83406547453</x:v>
      </x:c>
      <x:c r="D2013" s="50" t="str">
        <x:v>SWING_SETUP</x:v>
      </x:c>
      <x:c r="E2013" s="50" t="str">
        <x:v>NVDA SWING SETUP</x:v>
      </x:c>
      <x:c r="F2013" s="50" t="str">
        <x:v>WATCH</x:v>
      </x:c>
      <x:c r="G2013" s="50"/>
      <x:c r="H2013" s="50" t="str">
        <x:v>LONG</x:v>
      </x:c>
      <x:c r="I2013" s="71" t="n">
        <x:v>223.98</x:v>
      </x:c>
      <x:c r="J2013" s="76" t="str">
        <x:v>SIP</x:v>
      </x:c>
    </x:row>
    <x:row r="2014">
      <x:c r="A2014" s="50" t="str">
        <x:v>019fddd0-9c04-79fe-a43d-f4a7dab0dc11</x:v>
      </x:c>
      <x:c r="B2014" s="50" t="str">
        <x:v>NEM</x:v>
      </x:c>
      <x:c r="C2014" s="70" t="n">
        <x:v>46241.83407412037</x:v>
      </x:c>
      <x:c r="D2014" s="50" t="str">
        <x:v>SWING_SETUP</x:v>
      </x:c>
      <x:c r="E2014" s="50" t="str">
        <x:v>NEM SWING SETUP</x:v>
      </x:c>
      <x:c r="F2014" s="50" t="str">
        <x:v>WATCH</x:v>
      </x:c>
      <x:c r="G2014" s="50"/>
      <x:c r="H2014" s="50" t="str">
        <x:v>LONG</x:v>
      </x:c>
      <x:c r="I2014" s="71" t="n">
        <x:v>112.98</x:v>
      </x:c>
      <x:c r="J2014" s="76" t="str">
        <x:v>SIP</x:v>
      </x:c>
    </x:row>
    <x:row r="2015">
      <x:c r="A2015" s="50" t="str">
        <x:v>019fddd0-9d20-7179-8b26-4a771dd7020b</x:v>
      </x:c>
      <x:c r="B2015" s="50" t="str">
        <x:v>RCL</x:v>
      </x:c>
      <x:c r="C2015" s="70" t="n">
        <x:v>46241.83407740741</x:v>
      </x:c>
      <x:c r="D2015" s="50" t="str">
        <x:v>SWING_SETUP</x:v>
      </x:c>
      <x:c r="E2015" s="50" t="str">
        <x:v>RCL SWING SETUP</x:v>
      </x:c>
      <x:c r="F2015" s="50" t="str">
        <x:v>WATCH</x:v>
      </x:c>
      <x:c r="G2015" s="50"/>
      <x:c r="H2015" s="50" t="str">
        <x:v>LONG</x:v>
      </x:c>
      <x:c r="I2015" s="71" t="n">
        <x:v>319.98</x:v>
      </x:c>
      <x:c r="J2015" s="76" t="str">
        <x:v>SIP</x:v>
      </x:c>
    </x:row>
    <x:row r="2016">
      <x:c r="A2016" s="50" t="str">
        <x:v>019fddd0-9e5c-7b25-9616-2eba3dbb840c</x:v>
      </x:c>
      <x:c r="B2016" s="50" t="str">
        <x:v>PFE</x:v>
      </x:c>
      <x:c r="C2016" s="70" t="n">
        <x:v>46241.834081064815</x:v>
      </x:c>
      <x:c r="D2016" s="50" t="str">
        <x:v>SWING_SETUP</x:v>
      </x:c>
      <x:c r="E2016" s="50" t="str">
        <x:v>PFE SWING SETUP</x:v>
      </x:c>
      <x:c r="F2016" s="50" t="str">
        <x:v>WATCH</x:v>
      </x:c>
      <x:c r="G2016" s="50"/>
      <x:c r="H2016" s="50" t="str">
        <x:v>LONG</x:v>
      </x:c>
      <x:c r="I2016" s="71" t="n">
        <x:v>26.75</x:v>
      </x:c>
      <x:c r="J2016" s="76" t="str">
        <x:v>SIP</x:v>
      </x:c>
    </x:row>
    <x:row r="2017">
      <x:c r="A2017" s="50" t="str">
        <x:v>019fddd0-9ecb-7ebb-9c98-30aebbbf2f93</x:v>
      </x:c>
      <x:c r="B2017" s="50" t="str">
        <x:v>GS</x:v>
      </x:c>
      <x:c r="C2017" s="70" t="n">
        <x:v>46241.83408234954</x:v>
      </x:c>
      <x:c r="D2017" s="50" t="str">
        <x:v>LONG_BUY_ZONE</x:v>
      </x:c>
      <x:c r="E2017" s="50" t="str">
        <x:v>GS LONG BUY ZONE</x:v>
      </x:c>
      <x:c r="F2017" s="50" t="str">
        <x:v>WATCH</x:v>
      </x:c>
      <x:c r="G2017" s="50"/>
      <x:c r="H2017" s="50" t="str">
        <x:v>LONG</x:v>
      </x:c>
      <x:c r="I2017" s="71" t="n">
        <x:v>1039.61</x:v>
      </x:c>
      <x:c r="J2017" s="76" t="str">
        <x:v>SIP</x:v>
      </x:c>
    </x:row>
    <x:row r="2018">
      <x:c r="A2018" s="50" t="str">
        <x:v>019fddd0-9f0d-7c99-b1b6-f6c914845125</x:v>
      </x:c>
      <x:c r="B2018" s="50" t="str">
        <x:v>PM</x:v>
      </x:c>
      <x:c r="C2018" s="70" t="n">
        <x:v>46241.83408311343</x:v>
      </x:c>
      <x:c r="D2018" s="50" t="str">
        <x:v>LONG_BUY_ZONE</x:v>
      </x:c>
      <x:c r="E2018" s="50" t="str">
        <x:v>PM LONG BUY ZONE</x:v>
      </x:c>
      <x:c r="F2018" s="50" t="str">
        <x:v>WATCH</x:v>
      </x:c>
      <x:c r="G2018" s="50"/>
      <x:c r="H2018" s="50" t="str">
        <x:v>LONG</x:v>
      </x:c>
      <x:c r="I2018" s="71" t="n">
        <x:v>189.57</x:v>
      </x:c>
      <x:c r="J2018" s="76" t="str">
        <x:v>SIP</x:v>
      </x:c>
    </x:row>
    <x:row r="2019">
      <x:c r="A2019" s="50" t="str">
        <x:v>019fddd0-9f63-7665-900d-32b8ee2f04cc</x:v>
      </x:c>
      <x:c r="B2019" s="50" t="str">
        <x:v>APH</x:v>
      </x:c>
      <x:c r="C2019" s="70" t="n">
        <x:v>46241.8340841088</x:v>
      </x:c>
      <x:c r="D2019" s="50" t="str">
        <x:v>SWING_SETUP</x:v>
      </x:c>
      <x:c r="E2019" s="50" t="str">
        <x:v>APH SWING SETUP</x:v>
      </x:c>
      <x:c r="F2019" s="50" t="str">
        <x:v>WATCH</x:v>
      </x:c>
      <x:c r="G2019" s="50"/>
      <x:c r="H2019" s="50" t="str">
        <x:v>LONG</x:v>
      </x:c>
      <x:c r="I2019" s="71" t="n">
        <x:v>169.17</x:v>
      </x:c>
      <x:c r="J2019" s="76" t="str">
        <x:v>SIP</x:v>
      </x:c>
    </x:row>
    <x:row r="2020">
      <x:c r="A2020" s="50" t="str">
        <x:v>019fddd0-9f7a-762f-a3a6-07383c214d7e</x:v>
      </x:c>
      <x:c r="B2020" s="50" t="str">
        <x:v>PYPL</x:v>
      </x:c>
      <x:c r="C2020" s="70" t="n">
        <x:v>46241.834084375</x:v>
      </x:c>
      <x:c r="D2020" s="50" t="str">
        <x:v>SWING_SETUP</x:v>
      </x:c>
      <x:c r="E2020" s="50" t="str">
        <x:v>PYPL SWING SETUP</x:v>
      </x:c>
      <x:c r="F2020" s="50" t="str">
        <x:v>WATCH</x:v>
      </x:c>
      <x:c r="G2020" s="50"/>
      <x:c r="H2020" s="50" t="str">
        <x:v>LONG</x:v>
      </x:c>
      <x:c r="I2020" s="71" t="n">
        <x:v>59.07</x:v>
      </x:c>
      <x:c r="J2020" s="76" t="str">
        <x:v>SIP</x:v>
      </x:c>
    </x:row>
    <x:row r="2021">
      <x:c r="A2021" s="50" t="str">
        <x:v>019fddd0-9fa0-7b19-9da5-bd41bb14858e</x:v>
      </x:c>
      <x:c r="B2021" s="50" t="str">
        <x:v>CTRE</x:v>
      </x:c>
      <x:c r="C2021" s="70" t="n">
        <x:v>46241.834084814815</x:v>
      </x:c>
      <x:c r="D2021" s="50" t="str">
        <x:v>SWING_SETUP</x:v>
      </x:c>
      <x:c r="E2021" s="50" t="str">
        <x:v>CTRE SWING SETUP</x:v>
      </x:c>
      <x:c r="F2021" s="50" t="str">
        <x:v>WATCH</x:v>
      </x:c>
      <x:c r="G2021" s="50"/>
      <x:c r="H2021" s="50" t="str">
        <x:v>LONG</x:v>
      </x:c>
      <x:c r="I2021" s="71" t="n">
        <x:v>41.22</x:v>
      </x:c>
      <x:c r="J2021" s="76" t="str">
        <x:v>SIP</x:v>
      </x:c>
    </x:row>
    <x:row r="2022">
      <x:c r="A2022" s="50" t="str">
        <x:v>019fddd0-9fdf-7aec-9c5c-3b0d3af33f9c</x:v>
      </x:c>
      <x:c r="B2022" s="50" t="str">
        <x:v>SMR</x:v>
      </x:c>
      <x:c r="C2022" s="70" t="n">
        <x:v>46241.83408554398</x:v>
      </x:c>
      <x:c r="D2022" s="50" t="str">
        <x:v>SWING_SETUP</x:v>
      </x:c>
      <x:c r="E2022" s="50" t="str">
        <x:v>SMR SWING SETUP</x:v>
      </x:c>
      <x:c r="F2022" s="50" t="str">
        <x:v>WATCH</x:v>
      </x:c>
      <x:c r="G2022" s="50"/>
      <x:c r="H2022" s="50" t="str">
        <x:v>LONG</x:v>
      </x:c>
      <x:c r="I2022" s="71" t="n">
        <x:v>9.83</x:v>
      </x:c>
      <x:c r="J2022" s="76" t="str">
        <x:v>SIP</x:v>
      </x:c>
    </x:row>
    <x:row r="2023">
      <x:c r="A2023" s="50" t="str">
        <x:v>019fddd0-a031-77f7-95ed-8b810a29511e</x:v>
      </x:c>
      <x:c r="B2023" s="50" t="str">
        <x:v>SHW</x:v>
      </x:c>
      <x:c r="C2023" s="70" t="n">
        <x:v>46241.83408649306</x:v>
      </x:c>
      <x:c r="D2023" s="50" t="str">
        <x:v>SWING_SETUP</x:v>
      </x:c>
      <x:c r="E2023" s="50" t="str">
        <x:v>SHW SWING SETUP</x:v>
      </x:c>
      <x:c r="F2023" s="50" t="str">
        <x:v>WATCH</x:v>
      </x:c>
      <x:c r="G2023" s="50"/>
      <x:c r="H2023" s="50" t="str">
        <x:v>LONG</x:v>
      </x:c>
      <x:c r="I2023" s="71" t="n">
        <x:v>369.68</x:v>
      </x:c>
      <x:c r="J2023" s="76" t="str">
        <x:v>SIP</x:v>
      </x:c>
    </x:row>
    <x:row r="2024">
      <x:c r="A2024" s="50" t="str">
        <x:v>019fddd0-a045-7395-8c84-3750a504f232</x:v>
      </x:c>
      <x:c r="B2024" s="50" t="str">
        <x:v>JPM</x:v>
      </x:c>
      <x:c r="C2024" s="70" t="n">
        <x:v>46241.834086724535</x:v>
      </x:c>
      <x:c r="D2024" s="50" t="str">
        <x:v>SWING_SETUP</x:v>
      </x:c>
      <x:c r="E2024" s="50" t="str">
        <x:v>JPM SWING SETUP</x:v>
      </x:c>
      <x:c r="F2024" s="50" t="str">
        <x:v>WATCH</x:v>
      </x:c>
      <x:c r="G2024" s="50"/>
      <x:c r="H2024" s="50" t="str">
        <x:v>LONG</x:v>
      </x:c>
      <x:c r="I2024" s="71" t="n">
        <x:v>357.47</x:v>
      </x:c>
      <x:c r="J2024" s="76" t="str">
        <x:v>SIP</x:v>
      </x:c>
    </x:row>
    <x:row r="2025">
      <x:c r="A2025" s="50" t="str">
        <x:v>019fddd0-a059-7579-b12a-c2a334d5f62b</x:v>
      </x:c>
      <x:c r="B2025" s="50" t="str">
        <x:v>SE</x:v>
      </x:c>
      <x:c r="C2025" s="70" t="n">
        <x:v>46241.83408695602</x:v>
      </x:c>
      <x:c r="D2025" s="50" t="str">
        <x:v>SWING_SETUP</x:v>
      </x:c>
      <x:c r="E2025" s="50" t="str">
        <x:v>SE SWING SETUP</x:v>
      </x:c>
      <x:c r="F2025" s="50" t="str">
        <x:v>WATCH</x:v>
      </x:c>
      <x:c r="G2025" s="50"/>
      <x:c r="H2025" s="50" t="str">
        <x:v>LONG</x:v>
      </x:c>
      <x:c r="I2025" s="71" t="n">
        <x:v>113.34</x:v>
      </x:c>
      <x:c r="J2025" s="76" t="str">
        <x:v>SIP</x:v>
      </x:c>
    </x:row>
    <x:row r="2026">
      <x:c r="A2026" s="50" t="str">
        <x:v>019fddd0-a077-7316-8d89-db7e7cbef057</x:v>
      </x:c>
      <x:c r="B2026" s="50" t="str">
        <x:v>ECL</x:v>
      </x:c>
      <x:c r="C2026" s="70" t="n">
        <x:v>46241.83408729167</x:v>
      </x:c>
      <x:c r="D2026" s="50" t="str">
        <x:v>SWING_SETUP</x:v>
      </x:c>
      <x:c r="E2026" s="50" t="str">
        <x:v>ECL SWING SETUP</x:v>
      </x:c>
      <x:c r="F2026" s="50" t="str">
        <x:v>WATCH</x:v>
      </x:c>
      <x:c r="G2026" s="50"/>
      <x:c r="H2026" s="50" t="str">
        <x:v>LONG</x:v>
      </x:c>
      <x:c r="I2026" s="71" t="n">
        <x:v>284.275</x:v>
      </x:c>
      <x:c r="J2026" s="76" t="str">
        <x:v>SIP</x:v>
      </x:c>
    </x:row>
    <x:row r="2027">
      <x:c r="A2027" s="50" t="str">
        <x:v>019fddd0-a0e7-7184-82ea-db9a4f1f7ffb</x:v>
      </x:c>
      <x:c r="B2027" s="50" t="str">
        <x:v>JD</x:v>
      </x:c>
      <x:c r="C2027" s="70" t="n">
        <x:v>46241.834088599535</x:v>
      </x:c>
      <x:c r="D2027" s="50" t="str">
        <x:v>SWING_SETUP</x:v>
      </x:c>
      <x:c r="E2027" s="50" t="str">
        <x:v>JD SWING SETUP</x:v>
      </x:c>
      <x:c r="F2027" s="50" t="str">
        <x:v>WATCH</x:v>
      </x:c>
      <x:c r="G2027" s="50"/>
      <x:c r="H2027" s="50" t="str">
        <x:v>LONG</x:v>
      </x:c>
      <x:c r="I2027" s="71" t="n">
        <x:v>32.955</x:v>
      </x:c>
      <x:c r="J2027" s="76" t="str">
        <x:v>SIP</x:v>
      </x:c>
    </x:row>
    <x:row r="2028">
      <x:c r="A2028" s="50" t="str">
        <x:v>019fddd0-a107-7059-a9db-8dce7beb464a</x:v>
      </x:c>
      <x:c r="B2028" s="50" t="str">
        <x:v>CRM</x:v>
      </x:c>
      <x:c r="C2028" s="70" t="n">
        <x:v>46241.834088958334</x:v>
      </x:c>
      <x:c r="D2028" s="50" t="str">
        <x:v>SWING_SETUP</x:v>
      </x:c>
      <x:c r="E2028" s="50" t="str">
        <x:v>CRM SWING SETUP</x:v>
      </x:c>
      <x:c r="F2028" s="50" t="str">
        <x:v>WATCH</x:v>
      </x:c>
      <x:c r="G2028" s="50"/>
      <x:c r="H2028" s="50" t="str">
        <x:v>LONG</x:v>
      </x:c>
      <x:c r="I2028" s="71" t="n">
        <x:v>192.72</x:v>
      </x:c>
      <x:c r="J2028" s="76" t="str">
        <x:v>SIP</x:v>
      </x:c>
    </x:row>
    <x:row r="2029">
      <x:c r="A2029" s="50" t="str">
        <x:v>019fddd0-a15f-784e-bdc2-b45477497dd8</x:v>
      </x:c>
      <x:c r="B2029" s="50" t="str">
        <x:v>DLR</x:v>
      </x:c>
      <x:c r="C2029" s="70" t="n">
        <x:v>46241.83408997685</x:v>
      </x:c>
      <x:c r="D2029" s="50" t="str">
        <x:v>SWING_SETUP</x:v>
      </x:c>
      <x:c r="E2029" s="50" t="str">
        <x:v>DLR SWING SETUP</x:v>
      </x:c>
      <x:c r="F2029" s="50" t="str">
        <x:v>WATCH</x:v>
      </x:c>
      <x:c r="G2029" s="50"/>
      <x:c r="H2029" s="50" t="str">
        <x:v>LONG</x:v>
      </x:c>
      <x:c r="I2029" s="71" t="n">
        <x:v>193.78</x:v>
      </x:c>
      <x:c r="J2029" s="76" t="str">
        <x:v>SIP</x:v>
      </x:c>
    </x:row>
    <x:row r="2030">
      <x:c r="A2030" s="50" t="str">
        <x:v>019fddd0-a16f-72e0-b08d-9e9bfc939bba</x:v>
      </x:c>
      <x:c r="B2030" s="50" t="str">
        <x:v>BAC</x:v>
      </x:c>
      <x:c r="C2030" s="70" t="n">
        <x:v>46241.83409017361</x:v>
      </x:c>
      <x:c r="D2030" s="50" t="str">
        <x:v>SWING_SETUP</x:v>
      </x:c>
      <x:c r="E2030" s="50" t="str">
        <x:v>BAC SWING SETUP</x:v>
      </x:c>
      <x:c r="F2030" s="50" t="str">
        <x:v>WATCH</x:v>
      </x:c>
      <x:c r="G2030" s="50"/>
      <x:c r="H2030" s="50" t="str">
        <x:v>LONG</x:v>
      </x:c>
      <x:c r="I2030" s="71" t="n">
        <x:v>63.16</x:v>
      </x:c>
      <x:c r="J2030" s="76" t="str">
        <x:v>SIP</x:v>
      </x:c>
    </x:row>
    <x:row r="2031">
      <x:c r="A2031" s="50" t="str">
        <x:v>019fddd0-a1a8-745d-ad9d-53781218172b</x:v>
      </x:c>
      <x:c r="B2031" s="50" t="str">
        <x:v>ETHA</x:v>
      </x:c>
      <x:c r="C2031" s="70" t="n">
        <x:v>46241.834090833334</x:v>
      </x:c>
      <x:c r="D2031" s="50" t="str">
        <x:v>SWING_SETUP</x:v>
      </x:c>
      <x:c r="E2031" s="50" t="str">
        <x:v>ETHA SWING SETUP</x:v>
      </x:c>
      <x:c r="F2031" s="50" t="str">
        <x:v>WATCH</x:v>
      </x:c>
      <x:c r="G2031" s="50"/>
      <x:c r="H2031" s="50" t="str">
        <x:v>LONG</x:v>
      </x:c>
      <x:c r="I2031" s="71" t="n">
        <x:v>14.48</x:v>
      </x:c>
      <x:c r="J2031" s="76" t="str">
        <x:v>SIP</x:v>
      </x:c>
    </x:row>
    <x:row r="2032">
      <x:c r="A2032" s="50" t="str">
        <x:v>019fddd0-a1b3-737f-9438-561190590541</x:v>
      </x:c>
      <x:c r="B2032" s="50" t="str">
        <x:v>ETN</x:v>
      </x:c>
      <x:c r="C2032" s="70" t="n">
        <x:v>46241.83409094907</x:v>
      </x:c>
      <x:c r="D2032" s="50" t="str">
        <x:v>SWING_SETUP</x:v>
      </x:c>
      <x:c r="E2032" s="50" t="str">
        <x:v>ETN SWING SETUP</x:v>
      </x:c>
      <x:c r="F2032" s="50" t="str">
        <x:v>WATCH</x:v>
      </x:c>
      <x:c r="G2032" s="50"/>
      <x:c r="H2032" s="50" t="str">
        <x:v>LONG</x:v>
      </x:c>
      <x:c r="I2032" s="71" t="n">
        <x:v>448.67</x:v>
      </x:c>
      <x:c r="J2032" s="76" t="str">
        <x:v>SIP</x:v>
      </x:c>
    </x:row>
    <x:row r="2033">
      <x:c r="A2033" s="50" t="str">
        <x:v>019fddd0-a1c7-7fc5-a11f-276cac6567ef</x:v>
      </x:c>
      <x:c r="B2033" s="50" t="str">
        <x:v>KO</x:v>
      </x:c>
      <x:c r="C2033" s="70" t="n">
        <x:v>46241.83409119213</x:v>
      </x:c>
      <x:c r="D2033" s="50" t="str">
        <x:v>SWING_SETUP</x:v>
      </x:c>
      <x:c r="E2033" s="50" t="str">
        <x:v>KO SWING SETUP</x:v>
      </x:c>
      <x:c r="F2033" s="50" t="str">
        <x:v>WATCH</x:v>
      </x:c>
      <x:c r="G2033" s="50"/>
      <x:c r="H2033" s="50" t="str">
        <x:v>LONG</x:v>
      </x:c>
      <x:c r="I2033" s="71" t="n">
        <x:v>87.055</x:v>
      </x:c>
      <x:c r="J2033" s="76" t="str">
        <x:v>SIP</x:v>
      </x:c>
    </x:row>
    <x:row r="2034">
      <x:c r="A2034" s="50" t="str">
        <x:v>019fddd0-a1d1-7a02-80a6-4ff35b7eecb8</x:v>
      </x:c>
      <x:c r="B2034" s="50" t="str">
        <x:v>TMDX</x:v>
      </x:c>
      <x:c r="C2034" s="70" t="n">
        <x:v>46241.83409130787</x:v>
      </x:c>
      <x:c r="D2034" s="50" t="str">
        <x:v>SWING_SETUP</x:v>
      </x:c>
      <x:c r="E2034" s="50" t="str">
        <x:v>TMDX SWING SETUP</x:v>
      </x:c>
      <x:c r="F2034" s="50" t="str">
        <x:v>WATCH</x:v>
      </x:c>
      <x:c r="G2034" s="50"/>
      <x:c r="H2034" s="50" t="str">
        <x:v>LONG</x:v>
      </x:c>
      <x:c r="I2034" s="71" t="n">
        <x:v>83.23</x:v>
      </x:c>
      <x:c r="J2034" s="76" t="str">
        <x:v>SIP</x:v>
      </x:c>
    </x:row>
    <x:row r="2035">
      <x:c r="A2035" s="50" t="str">
        <x:v>019fddd0-a39a-7608-a47f-fa4b1a7a58cc</x:v>
      </x:c>
      <x:c r="B2035" s="50" t="str">
        <x:v>CEG</x:v>
      </x:c>
      <x:c r="C2035" s="70" t="n">
        <x:v>46241.834096597224</x:v>
      </x:c>
      <x:c r="D2035" s="50" t="str">
        <x:v>SWING_SETUP</x:v>
      </x:c>
      <x:c r="E2035" s="50" t="str">
        <x:v>CEG SWING SETUP</x:v>
      </x:c>
      <x:c r="F2035" s="50" t="str">
        <x:v>WATCH</x:v>
      </x:c>
      <x:c r="G2035" s="50"/>
      <x:c r="H2035" s="50" t="str">
        <x:v>LONG</x:v>
      </x:c>
      <x:c r="I2035" s="71" t="n">
        <x:v>269.98</x:v>
      </x:c>
      <x:c r="J2035" s="76" t="str">
        <x:v>SIP</x:v>
      </x:c>
    </x:row>
    <x:row r="2036">
      <x:c r="A2036" s="50" t="str">
        <x:v>019fddd0-a3d5-734d-a82a-abecc592017c</x:v>
      </x:c>
      <x:c r="B2036" s="50" t="str">
        <x:v>MMM</x:v>
      </x:c>
      <x:c r="C2036" s="70" t="n">
        <x:v>46241.834097280094</x:v>
      </x:c>
      <x:c r="D2036" s="50" t="str">
        <x:v>SWING_SETUP</x:v>
      </x:c>
      <x:c r="E2036" s="50" t="str">
        <x:v>MMM SWING SETUP</x:v>
      </x:c>
      <x:c r="F2036" s="50" t="str">
        <x:v>WATCH</x:v>
      </x:c>
      <x:c r="G2036" s="50"/>
      <x:c r="H2036" s="50" t="str">
        <x:v>LONG</x:v>
      </x:c>
      <x:c r="I2036" s="71" t="n">
        <x:v>182.89</x:v>
      </x:c>
      <x:c r="J2036" s="76" t="str">
        <x:v>SIP</x:v>
      </x:c>
    </x:row>
    <x:row r="2037">
      <x:c r="A2037" s="50" t="str">
        <x:v>019fddd0-a3ea-7fc1-9f21-8d2b4240ceee</x:v>
      </x:c>
      <x:c r="B2037" s="50" t="str">
        <x:v>SLV</x:v>
      </x:c>
      <x:c r="C2037" s="70" t="n">
        <x:v>46241.83409752315</x:v>
      </x:c>
      <x:c r="D2037" s="50" t="str">
        <x:v>SWING_SETUP</x:v>
      </x:c>
      <x:c r="E2037" s="50" t="str">
        <x:v>SLV SWING SETUP</x:v>
      </x:c>
      <x:c r="F2037" s="50" t="str">
        <x:v>WATCH</x:v>
      </x:c>
      <x:c r="G2037" s="50"/>
      <x:c r="H2037" s="50" t="str">
        <x:v>LONG</x:v>
      </x:c>
      <x:c r="I2037" s="71" t="n">
        <x:v>57.51</x:v>
      </x:c>
      <x:c r="J2037" s="76" t="str">
        <x:v>SIP</x:v>
      </x:c>
    </x:row>
    <x:row r="2038">
      <x:c r="A2038" s="50" t="str">
        <x:v>019fddd0-a59a-71e4-bb78-69f1c8e057ff</x:v>
      </x:c>
      <x:c r="B2038" s="50" t="str">
        <x:v>GRAB</x:v>
      </x:c>
      <x:c r="C2038" s="70" t="n">
        <x:v>46241.83410252315</x:v>
      </x:c>
      <x:c r="D2038" s="50" t="str">
        <x:v>SWING_SETUP</x:v>
      </x:c>
      <x:c r="E2038" s="50" t="str">
        <x:v>GRAB SWING SETUP</x:v>
      </x:c>
      <x:c r="F2038" s="50" t="str">
        <x:v>WATCH</x:v>
      </x:c>
      <x:c r="G2038" s="50"/>
      <x:c r="H2038" s="50" t="str">
        <x:v>LONG</x:v>
      </x:c>
      <x:c r="I2038" s="71" t="n">
        <x:v>3.655</x:v>
      </x:c>
      <x:c r="J2038" s="76" t="str">
        <x:v>SIP</x:v>
      </x:c>
    </x:row>
    <x:row r="2039">
      <x:c r="A2039" s="50" t="str">
        <x:v>019fddd2-6d4f-7c3f-88a1-2907ca8f593a</x:v>
      </x:c>
      <x:c r="B2039" s="50" t="str">
        <x:v>SCHW</x:v>
      </x:c>
      <x:c r="C2039" s="70" t="n">
        <x:v>46241.8354527662</x:v>
      </x:c>
      <x:c r="D2039" s="50" t="str">
        <x:v>SWING_SETUP</x:v>
      </x:c>
      <x:c r="E2039" s="50" t="str">
        <x:v>SCHW SWING SETUP</x:v>
      </x:c>
      <x:c r="F2039" s="50" t="str">
        <x:v>WATCH</x:v>
      </x:c>
      <x:c r="G2039" s="50"/>
      <x:c r="H2039" s="50" t="str">
        <x:v>LONG</x:v>
      </x:c>
      <x:c r="I2039" s="71" t="n">
        <x:v>107.59</x:v>
      </x:c>
      <x:c r="J2039" s="76" t="str">
        <x:v>SIP</x:v>
      </x:c>
    </x:row>
    <x:row r="2040">
      <x:c r="A2040" s="50" t="str">
        <x:v>019fddd2-6d73-7c2a-bb1c-0399f6d9f89e</x:v>
      </x:c>
      <x:c r="B2040" s="50" t="str">
        <x:v>BKNG</x:v>
      </x:c>
      <x:c r="C2040" s="70" t="n">
        <x:v>46241.83545318287</x:v>
      </x:c>
      <x:c r="D2040" s="50" t="str">
        <x:v>SWING_SETUP</x:v>
      </x:c>
      <x:c r="E2040" s="50" t="str">
        <x:v>BKNG SWING SETUP</x:v>
      </x:c>
      <x:c r="F2040" s="50" t="str">
        <x:v>WATCH</x:v>
      </x:c>
      <x:c r="G2040" s="50"/>
      <x:c r="H2040" s="50" t="str">
        <x:v>LONG</x:v>
      </x:c>
      <x:c r="I2040" s="71" t="n">
        <x:v>214.43</x:v>
      </x:c>
      <x:c r="J2040" s="76" t="str">
        <x:v>SIP</x:v>
      </x:c>
    </x:row>
    <x:row r="2041">
      <x:c r="A2041" s="50" t="str">
        <x:v>019fddd2-6f36-766e-8a55-d545106b48e4</x:v>
      </x:c>
      <x:c r="B2041" s="50" t="str">
        <x:v>ABT</x:v>
      </x:c>
      <x:c r="C2041" s="70" t="n">
        <x:v>46241.83545840278</x:v>
      </x:c>
      <x:c r="D2041" s="50" t="str">
        <x:v>SWING_SETUP</x:v>
      </x:c>
      <x:c r="E2041" s="50" t="str">
        <x:v>ABT SWING SETUP</x:v>
      </x:c>
      <x:c r="F2041" s="50" t="str">
        <x:v>WATCH</x:v>
      </x:c>
      <x:c r="G2041" s="50"/>
      <x:c r="H2041" s="50" t="str">
        <x:v>LONG</x:v>
      </x:c>
      <x:c r="I2041" s="71" t="n">
        <x:v>107.665</x:v>
      </x:c>
      <x:c r="J2041" s="76" t="str">
        <x:v>SIP</x:v>
      </x:c>
    </x:row>
    <x:row r="2042">
      <x:c r="A2042" s="50" t="str">
        <x:v>019fddd2-701a-7c2a-a013-f785ea2ff8bc</x:v>
      </x:c>
      <x:c r="B2042" s="50" t="str">
        <x:v>HRL</x:v>
      </x:c>
      <x:c r="C2042" s="70" t="n">
        <x:v>46241.835461041665</x:v>
      </x:c>
      <x:c r="D2042" s="50" t="str">
        <x:v>LONG_BUY_ZONE</x:v>
      </x:c>
      <x:c r="E2042" s="50" t="str">
        <x:v>HRL LONG BUY ZONE</x:v>
      </x:c>
      <x:c r="F2042" s="50" t="str">
        <x:v>WATCH</x:v>
      </x:c>
      <x:c r="G2042" s="50"/>
      <x:c r="H2042" s="50" t="str">
        <x:v>LONG</x:v>
      </x:c>
      <x:c r="I2042" s="71" t="n">
        <x:v>25.02</x:v>
      </x:c>
      <x:c r="J2042" s="76" t="str">
        <x:v>SIP</x:v>
      </x:c>
    </x:row>
    <x:row r="2043">
      <x:c r="A2043" s="50" t="str">
        <x:v>019fddd3-5744-7677-ae9c-901ddb360f5c</x:v>
      </x:c>
      <x:c r="B2043" s="50" t="str">
        <x:v>DE</x:v>
      </x:c>
      <x:c r="C2043" s="70" t="n">
        <x:v>46241.83614597222</x:v>
      </x:c>
      <x:c r="D2043" s="50" t="str">
        <x:v>SWING_SETUP</x:v>
      </x:c>
      <x:c r="E2043" s="50" t="str">
        <x:v>DE SWING SETUP</x:v>
      </x:c>
      <x:c r="F2043" s="50" t="str">
        <x:v>WATCH</x:v>
      </x:c>
      <x:c r="G2043" s="50"/>
      <x:c r="H2043" s="50" t="str">
        <x:v>LONG</x:v>
      </x:c>
      <x:c r="I2043" s="71" t="n">
        <x:v>620.77</x:v>
      </x:c>
      <x:c r="J2043" s="76" t="str">
        <x:v>SIP</x:v>
      </x:c>
    </x:row>
    <x:row r="2044">
      <x:c r="A2044" s="50" t="str">
        <x:v>019fddd3-5879-723c-897a-1e95a19f9919</x:v>
      </x:c>
      <x:c r="B2044" s="50" t="str">
        <x:v>RTX</x:v>
      </x:c>
      <x:c r="C2044" s="70" t="n">
        <x:v>46241.83614953703</x:v>
      </x:c>
      <x:c r="D2044" s="50" t="str">
        <x:v>SWING_SETUP</x:v>
      </x:c>
      <x:c r="E2044" s="50" t="str">
        <x:v>RTX SWING SETUP</x:v>
      </x:c>
      <x:c r="F2044" s="50" t="str">
        <x:v>WATCH</x:v>
      </x:c>
      <x:c r="G2044" s="50"/>
      <x:c r="H2044" s="50" t="str">
        <x:v>LONG</x:v>
      </x:c>
      <x:c r="I2044" s="71" t="n">
        <x:v>222.98</x:v>
      </x:c>
      <x:c r="J2044" s="76" t="str">
        <x:v>SIP</x:v>
      </x:c>
    </x:row>
    <x:row r="2045">
      <x:c r="A2045" s="50" t="str">
        <x:v>019fddd3-588b-7694-9100-05cf1a0e44b6</x:v>
      </x:c>
      <x:c r="B2045" s="50" t="str">
        <x:v>BLK</x:v>
      </x:c>
      <x:c r="C2045" s="70" t="n">
        <x:v>46241.83614975694</x:v>
      </x:c>
      <x:c r="D2045" s="50" t="str">
        <x:v>SWING_SETUP</x:v>
      </x:c>
      <x:c r="E2045" s="50" t="str">
        <x:v>BLK SWING SETUP</x:v>
      </x:c>
      <x:c r="F2045" s="50" t="str">
        <x:v>WATCH</x:v>
      </x:c>
      <x:c r="G2045" s="50"/>
      <x:c r="H2045" s="50" t="str">
        <x:v>LONG</x:v>
      </x:c>
      <x:c r="I2045" s="71" t="n">
        <x:v>1136.4</x:v>
      </x:c>
      <x:c r="J2045" s="76" t="str">
        <x:v>SIP</x:v>
      </x:c>
    </x:row>
    <x:row r="2046">
      <x:c r="A2046" s="50" t="str">
        <x:v>019fddd3-59ef-7025-88d3-0103621fa930</x:v>
      </x:c>
      <x:c r="B2046" s="50" t="str">
        <x:v>TMO</x:v>
      </x:c>
      <x:c r="C2046" s="70" t="n">
        <x:v>46241.83615387732</x:v>
      </x:c>
      <x:c r="D2046" s="50" t="str">
        <x:v>SWING_SETUP</x:v>
      </x:c>
      <x:c r="E2046" s="50" t="str">
        <x:v>TMO SWING SETUP</x:v>
      </x:c>
      <x:c r="F2046" s="50" t="str">
        <x:v>WATCH</x:v>
      </x:c>
      <x:c r="G2046" s="50"/>
      <x:c r="H2046" s="50" t="str">
        <x:v>LONG</x:v>
      </x:c>
      <x:c r="I2046" s="71" t="n">
        <x:v>593.8799</x:v>
      </x:c>
      <x:c r="J2046" s="76" t="str">
        <x:v>SIP</x:v>
      </x:c>
    </x:row>
    <x:row r="2047">
      <x:c r="A2047" s="50" t="str">
        <x:v>019fddd4-42af-7d24-a450-4e5bbc854e1e</x:v>
      </x:c>
      <x:c r="B2047" s="50" t="str">
        <x:v>WFC</x:v>
      </x:c>
      <x:c r="C2047" s="70" t="n">
        <x:v>46241.83684350694</x:v>
      </x:c>
      <x:c r="D2047" s="50" t="str">
        <x:v>SWING_SETUP</x:v>
      </x:c>
      <x:c r="E2047" s="50" t="str">
        <x:v>WFC SWING SETUP</x:v>
      </x:c>
      <x:c r="F2047" s="50" t="str">
        <x:v>WATCH</x:v>
      </x:c>
      <x:c r="G2047" s="50"/>
      <x:c r="H2047" s="50" t="str">
        <x:v>LONG</x:v>
      </x:c>
      <x:c r="I2047" s="71" t="n">
        <x:v>87.235</x:v>
      </x:c>
      <x:c r="J2047" s="76" t="str">
        <x:v>SIP</x:v>
      </x:c>
    </x:row>
    <x:row r="2048">
      <x:c r="A2048" s="50" t="str">
        <x:v>019fddd4-42ec-714f-a5a4-f5b84821ec5f</x:v>
      </x:c>
      <x:c r="B2048" s="50" t="str">
        <x:v>AMGN</x:v>
      </x:c>
      <x:c r="C2048" s="70" t="n">
        <x:v>46241.836844212965</x:v>
      </x:c>
      <x:c r="D2048" s="50" t="str">
        <x:v>SWING_SETUP</x:v>
      </x:c>
      <x:c r="E2048" s="50" t="str">
        <x:v>AMGN SWING SETUP</x:v>
      </x:c>
      <x:c r="F2048" s="50" t="str">
        <x:v>WATCH</x:v>
      </x:c>
      <x:c r="G2048" s="50"/>
      <x:c r="H2048" s="50" t="str">
        <x:v>LONG</x:v>
      </x:c>
      <x:c r="I2048" s="71" t="n">
        <x:v>410.89</x:v>
      </x:c>
      <x:c r="J2048" s="76" t="str">
        <x:v>SIP</x:v>
      </x:c>
    </x:row>
    <x:row r="2049">
      <x:c r="A2049" s="50" t="str">
        <x:v>019fddd4-4336-77c3-8626-9b164bdd4a3f</x:v>
      </x:c>
      <x:c r="B2049" s="50" t="str">
        <x:v>BABA</x:v>
      </x:c>
      <x:c r="C2049" s="70" t="n">
        <x:v>46241.83684506945</x:v>
      </x:c>
      <x:c r="D2049" s="50" t="str">
        <x:v>SWING_SETUP</x:v>
      </x:c>
      <x:c r="E2049" s="50" t="str">
        <x:v>BABA SWING SETUP</x:v>
      </x:c>
      <x:c r="F2049" s="50" t="str">
        <x:v>WATCH</x:v>
      </x:c>
      <x:c r="G2049" s="50"/>
      <x:c r="H2049" s="50" t="str">
        <x:v>LONG</x:v>
      </x:c>
      <x:c r="I2049" s="71" t="n">
        <x:v>128.395</x:v>
      </x:c>
      <x:c r="J2049" s="76" t="str">
        <x:v>SIP</x:v>
      </x:c>
    </x:row>
    <x:row r="2050">
      <x:c r="A2050" s="50" t="str">
        <x:v>019fddd4-4364-7e9c-ba6e-c7f353f99d6a</x:v>
      </x:c>
      <x:c r="B2050" s="50" t="str">
        <x:v>BLFS</x:v>
      </x:c>
      <x:c r="C2050" s="70" t="n">
        <x:v>46241.83684560185</x:v>
      </x:c>
      <x:c r="D2050" s="50" t="str">
        <x:v>SWING_SETUP</x:v>
      </x:c>
      <x:c r="E2050" s="50" t="str">
        <x:v>BLFS SWING SETUP</x:v>
      </x:c>
      <x:c r="F2050" s="50" t="str">
        <x:v>WATCH</x:v>
      </x:c>
      <x:c r="G2050" s="50"/>
      <x:c r="H2050" s="50" t="str">
        <x:v>LONG</x:v>
      </x:c>
      <x:c r="I2050" s="71" t="n">
        <x:v>34.645</x:v>
      </x:c>
      <x:c r="J2050" s="76" t="str">
        <x:v>SIP</x:v>
      </x:c>
    </x:row>
    <x:row r="2051">
      <x:c r="A2051" s="50" t="str">
        <x:v>019fddd4-4524-71a9-8267-187111c84784</x:v>
      </x:c>
      <x:c r="B2051" s="50" t="str">
        <x:v>CROX</x:v>
      </x:c>
      <x:c r="C2051" s="70" t="n">
        <x:v>46241.83685078704</x:v>
      </x:c>
      <x:c r="D2051" s="50" t="str">
        <x:v>SWING_SETUP</x:v>
      </x:c>
      <x:c r="E2051" s="50" t="str">
        <x:v>CROX SWING SETUP</x:v>
      </x:c>
      <x:c r="F2051" s="50" t="str">
        <x:v>WATCH</x:v>
      </x:c>
      <x:c r="G2051" s="50"/>
      <x:c r="H2051" s="50" t="str">
        <x:v>LONG</x:v>
      </x:c>
      <x:c r="I2051" s="71" t="n">
        <x:v>136.56</x:v>
      </x:c>
      <x:c r="J2051" s="76" t="str">
        <x:v>SIP</x:v>
      </x:c>
    </x:row>
    <x:row r="2052">
      <x:c r="A2052" s="50" t="str">
        <x:v>019fddd5-2c3f-7ca6-b7fd-7b8ee696f3c6</x:v>
      </x:c>
      <x:c r="B2052" s="50" t="str">
        <x:v>TGT</x:v>
      </x:c>
      <x:c r="C2052" s="70" t="n">
        <x:v>46241.83753554398</x:v>
      </x:c>
      <x:c r="D2052" s="50" t="str">
        <x:v>SWING_SETUP</x:v>
      </x:c>
      <x:c r="E2052" s="50" t="str">
        <x:v>TGT SWING SETUP</x:v>
      </x:c>
      <x:c r="F2052" s="50" t="str">
        <x:v>WATCH</x:v>
      </x:c>
      <x:c r="G2052" s="50"/>
      <x:c r="H2052" s="50" t="str">
        <x:v>LONG</x:v>
      </x:c>
      <x:c r="I2052" s="71" t="n">
        <x:v>149.675</x:v>
      </x:c>
      <x:c r="J2052" s="76" t="str">
        <x:v>SIP</x:v>
      </x:c>
    </x:row>
    <x:row r="2053">
      <x:c r="A2053" s="50" t="str">
        <x:v>019fddd5-2c47-740c-bd89-18b019071eb6</x:v>
      </x:c>
      <x:c r="B2053" s="50" t="str">
        <x:v>TEM</x:v>
      </x:c>
      <x:c r="C2053" s="70" t="n">
        <x:v>46241.837535625</x:v>
      </x:c>
      <x:c r="D2053" s="50" t="str">
        <x:v>SWING_SETUP</x:v>
      </x:c>
      <x:c r="E2053" s="50" t="str">
        <x:v>TEM SWING SETUP</x:v>
      </x:c>
      <x:c r="F2053" s="50" t="str">
        <x:v>WATCH</x:v>
      </x:c>
      <x:c r="G2053" s="50"/>
      <x:c r="H2053" s="50" t="str">
        <x:v>LONG</x:v>
      </x:c>
      <x:c r="I2053" s="71" t="n">
        <x:v>52.065</x:v>
      </x:c>
      <x:c r="J2053" s="76" t="str">
        <x:v>SIP</x:v>
      </x:c>
    </x:row>
    <x:row r="2054">
      <x:c r="A2054" s="50" t="str">
        <x:v>019fddd7-0145-7d9c-9176-70a2de492cfd</x:v>
      </x:c>
      <x:c r="B2054" s="50" t="str">
        <x:v>NXE</x:v>
      </x:c>
      <x:c r="C2054" s="70" t="n">
        <x:v>46241.83892523148</x:v>
      </x:c>
      <x:c r="D2054" s="50" t="str">
        <x:v>SWING_SETUP</x:v>
      </x:c>
      <x:c r="E2054" s="50" t="str">
        <x:v>NXE SWING SETUP</x:v>
      </x:c>
      <x:c r="F2054" s="50" t="str">
        <x:v>WATCH</x:v>
      </x:c>
      <x:c r="G2054" s="50"/>
      <x:c r="H2054" s="50" t="str">
        <x:v>LONG</x:v>
      </x:c>
      <x:c r="I2054" s="71" t="n">
        <x:v>10.425</x:v>
      </x:c>
      <x:c r="J2054" s="76" t="str">
        <x:v>SIP</x:v>
      </x:c>
    </x:row>
    <x:row r="2055">
      <x:c r="A2055" s="50" t="str">
        <x:v>019fddd7-e990-75a6-8f2c-bf8bb3ed0372</x:v>
      </x:c>
      <x:c r="B2055" s="50" t="str">
        <x:v>ABNB</x:v>
      </x:c>
      <x:c r="C2055" s="70" t="n">
        <x:v>46241.83961351852</x:v>
      </x:c>
      <x:c r="D2055" s="50" t="str">
        <x:v>SWING_SETUP</x:v>
      </x:c>
      <x:c r="E2055" s="50" t="str">
        <x:v>ABNB SWING SETUP</x:v>
      </x:c>
      <x:c r="F2055" s="50" t="str">
        <x:v>WATCH</x:v>
      </x:c>
      <x:c r="G2055" s="50"/>
      <x:c r="H2055" s="50" t="str">
        <x:v>LONG</x:v>
      </x:c>
      <x:c r="I2055" s="71" t="n">
        <x:v>178.02</x:v>
      </x:c>
      <x:c r="J2055" s="76" t="str">
        <x:v>SIP</x:v>
      </x:c>
    </x:row>
    <x:row r="2056">
      <x:c r="A2056" s="50" t="str">
        <x:v>019fddd7-ebb2-7ca3-bfdd-ed07f1de2132</x:v>
      </x:c>
      <x:c r="B2056" s="50" t="str">
        <x:v>SNOW</x:v>
      </x:c>
      <x:c r="C2056" s="70" t="n">
        <x:v>46241.83961983796</x:v>
      </x:c>
      <x:c r="D2056" s="50" t="str">
        <x:v>SWING_SETUP</x:v>
      </x:c>
      <x:c r="E2056" s="50" t="str">
        <x:v>SNOW SWING SETUP</x:v>
      </x:c>
      <x:c r="F2056" s="50" t="str">
        <x:v>WATCH</x:v>
      </x:c>
      <x:c r="G2056" s="50"/>
      <x:c r="H2056" s="50" t="str">
        <x:v>LONG</x:v>
      </x:c>
      <x:c r="I2056" s="71" t="n">
        <x:v>330.51</x:v>
      </x:c>
      <x:c r="J2056" s="76" t="str">
        <x:v>SIP</x:v>
      </x:c>
    </x:row>
    <x:row r="2057">
      <x:c r="A2057" s="50" t="str">
        <x:v>019fddd7-ed41-7227-811a-4ec33e3e7322</x:v>
      </x:c>
      <x:c r="B2057" s="50" t="str">
        <x:v>AMZN</x:v>
      </x:c>
      <x:c r="C2057" s="70" t="n">
        <x:v>46241.83962445602</x:v>
      </x:c>
      <x:c r="D2057" s="50" t="str">
        <x:v>SWING_SETUP</x:v>
      </x:c>
      <x:c r="E2057" s="50" t="str">
        <x:v>AMZN SWING SETUP</x:v>
      </x:c>
      <x:c r="F2057" s="50" t="str">
        <x:v>WATCH</x:v>
      </x:c>
      <x:c r="G2057" s="50"/>
      <x:c r="H2057" s="50" t="str">
        <x:v>LONG</x:v>
      </x:c>
      <x:c r="I2057" s="71" t="n">
        <x:v>274.45</x:v>
      </x:c>
      <x:c r="J2057" s="76" t="str">
        <x:v>SIP</x:v>
      </x:c>
    </x:row>
    <x:row r="2058">
      <x:c r="A2058" s="50" t="str">
        <x:v>019fddd8-d623-76fc-81cd-b49223e410ae</x:v>
      </x:c>
      <x:c r="B2058" s="50" t="str">
        <x:v>RDW</x:v>
      </x:c>
      <x:c r="C2058" s="70" t="n">
        <x:v>46241.84031446759</x:v>
      </x:c>
      <x:c r="D2058" s="50" t="str">
        <x:v>SWING_SETUP</x:v>
      </x:c>
      <x:c r="E2058" s="50" t="str">
        <x:v>RDW SWING SETUP</x:v>
      </x:c>
      <x:c r="F2058" s="50" t="str">
        <x:v>WATCH</x:v>
      </x:c>
      <x:c r="G2058" s="50"/>
      <x:c r="H2058" s="50" t="str">
        <x:v>LONG</x:v>
      </x:c>
      <x:c r="I2058" s="71" t="n">
        <x:v>13.585</x:v>
      </x:c>
      <x:c r="J2058" s="76" t="str">
        <x:v>SIP</x:v>
      </x:c>
    </x:row>
    <x:row r="2059">
      <x:c r="A2059" s="50" t="str">
        <x:v>019fddd8-d69e-7f70-bf3d-66d819246323</x:v>
      </x:c>
      <x:c r="B2059" s="50" t="str">
        <x:v>NOC</x:v>
      </x:c>
      <x:c r="C2059" s="70" t="n">
        <x:v>46241.84031590278</x:v>
      </x:c>
      <x:c r="D2059" s="50" t="str">
        <x:v>SWING_SETUP</x:v>
      </x:c>
      <x:c r="E2059" s="50" t="str">
        <x:v>NOC SWING SETUP</x:v>
      </x:c>
      <x:c r="F2059" s="50" t="str">
        <x:v>WATCH</x:v>
      </x:c>
      <x:c r="G2059" s="50"/>
      <x:c r="H2059" s="50" t="str">
        <x:v>LONG</x:v>
      </x:c>
      <x:c r="I2059" s="71" t="n">
        <x:v>571.51</x:v>
      </x:c>
      <x:c r="J2059" s="76" t="str">
        <x:v>SIP</x:v>
      </x:c>
    </x:row>
    <x:row r="2060">
      <x:c r="A2060" s="50" t="str">
        <x:v>019fddd8-d727-7288-839c-72c1d25319a2</x:v>
      </x:c>
      <x:c r="B2060" s="50" t="str">
        <x:v>VZ</x:v>
      </x:c>
      <x:c r="C2060" s="70" t="n">
        <x:v>46241.84031748842</x:v>
      </x:c>
      <x:c r="D2060" s="50" t="str">
        <x:v>LONG_BUY_ZONE</x:v>
      </x:c>
      <x:c r="E2060" s="50" t="str">
        <x:v>VZ LONG BUY ZONE</x:v>
      </x:c>
      <x:c r="F2060" s="50" t="str">
        <x:v>WATCH</x:v>
      </x:c>
      <x:c r="G2060" s="50"/>
      <x:c r="H2060" s="50" t="str">
        <x:v>LONG</x:v>
      </x:c>
      <x:c r="I2060" s="71" t="n">
        <x:v>47.01</x:v>
      </x:c>
      <x:c r="J2060" s="76" t="str">
        <x:v>SIP</x:v>
      </x:c>
    </x:row>
    <x:row r="2061">
      <x:c r="A2061" s="50" t="str">
        <x:v>019fddd8-d773-7dc2-af41-6de52c75a0d5</x:v>
      </x:c>
      <x:c r="B2061" s="50" t="str">
        <x:v>MRK</x:v>
      </x:c>
      <x:c r="C2061" s="70" t="n">
        <x:v>46241.84031836806</x:v>
      </x:c>
      <x:c r="D2061" s="50" t="str">
        <x:v>SWING_SETUP</x:v>
      </x:c>
      <x:c r="E2061" s="50" t="str">
        <x:v>MRK SWING SETUP</x:v>
      </x:c>
      <x:c r="F2061" s="50" t="str">
        <x:v>WATCH</x:v>
      </x:c>
      <x:c r="G2061" s="50"/>
      <x:c r="H2061" s="50" t="str">
        <x:v>LONG</x:v>
      </x:c>
      <x:c r="I2061" s="71" t="n">
        <x:v>128.57</x:v>
      </x:c>
      <x:c r="J2061" s="76" t="str">
        <x:v>SIP</x:v>
      </x:c>
    </x:row>
    <x:row r="2062">
      <x:c r="A2062" s="50" t="str">
        <x:v>019fddda-abcf-7f7c-88df-a84dc8bdbc71</x:v>
      </x:c>
      <x:c r="B2062" s="50" t="str">
        <x:v>UNP</x:v>
      </x:c>
      <x:c r="C2062" s="70" t="n">
        <x:v>46241.841706099534</x:v>
      </x:c>
      <x:c r="D2062" s="50" t="str">
        <x:v>SWING_SETUP</x:v>
      </x:c>
      <x:c r="E2062" s="50" t="str">
        <x:v>UNP SWING SETUP</x:v>
      </x:c>
      <x:c r="F2062" s="50" t="str">
        <x:v>WATCH</x:v>
      </x:c>
      <x:c r="G2062" s="50"/>
      <x:c r="H2062" s="50" t="str">
        <x:v>LONG</x:v>
      </x:c>
      <x:c r="I2062" s="71" t="n">
        <x:v>293.07</x:v>
      </x:c>
      <x:c r="J2062" s="76" t="str">
        <x:v>SIP</x:v>
      </x:c>
    </x:row>
    <x:row r="2063">
      <x:c r="A2063" s="50" t="str">
        <x:v>019fddda-abdc-70ae-8e91-21d1eab1ca82</x:v>
      </x:c>
      <x:c r="B2063" s="50" t="str">
        <x:v>OXY</x:v>
      </x:c>
      <x:c r="C2063" s="70" t="n">
        <x:v>46241.84170625</x:v>
      </x:c>
      <x:c r="D2063" s="50" t="str">
        <x:v>SWING_SETUP</x:v>
      </x:c>
      <x:c r="E2063" s="50" t="str">
        <x:v>OXY SWING SETUP</x:v>
      </x:c>
      <x:c r="F2063" s="50" t="str">
        <x:v>WATCH</x:v>
      </x:c>
      <x:c r="G2063" s="50"/>
      <x:c r="H2063" s="50" t="str">
        <x:v>LONG</x:v>
      </x:c>
      <x:c r="I2063" s="71" t="n">
        <x:v>55.91</x:v>
      </x:c>
      <x:c r="J2063" s="76" t="str">
        <x:v>SIP</x:v>
      </x:c>
    </x:row>
    <x:row r="2064">
      <x:c r="A2064" s="50" t="str">
        <x:v>019fddda-abf9-7e29-bd34-60ec93d06508</x:v>
      </x:c>
      <x:c r="B2064" s="50" t="str">
        <x:v>VZ</x:v>
      </x:c>
      <x:c r="C2064" s="70" t="n">
        <x:v>46241.84170657407</x:v>
      </x:c>
      <x:c r="D2064" s="50" t="str">
        <x:v>SWING_SETUP</x:v>
      </x:c>
      <x:c r="E2064" s="50" t="str">
        <x:v>VZ SWING SETUP</x:v>
      </x:c>
      <x:c r="F2064" s="50" t="str">
        <x:v>WATCH</x:v>
      </x:c>
      <x:c r="G2064" s="50"/>
      <x:c r="H2064" s="50" t="str">
        <x:v>LONG</x:v>
      </x:c>
      <x:c r="I2064" s="71" t="n">
        <x:v>47.045</x:v>
      </x:c>
      <x:c r="J2064" s="76" t="str">
        <x:v>SIP</x:v>
      </x:c>
    </x:row>
    <x:row r="2065">
      <x:c r="A2065" s="50" t="str">
        <x:v>019fdddb-958e-7387-b317-b609df3d81ff</x:v>
      </x:c>
      <x:c r="B2065" s="50" t="str">
        <x:v>INTU</x:v>
      </x:c>
      <x:c r="C2065" s="70" t="n">
        <x:v>46241.84239868056</x:v>
      </x:c>
      <x:c r="D2065" s="50" t="str">
        <x:v>SWING_SETUP</x:v>
      </x:c>
      <x:c r="E2065" s="50" t="str">
        <x:v>INTU SWING SETUP</x:v>
      </x:c>
      <x:c r="F2065" s="50" t="str">
        <x:v>WATCH</x:v>
      </x:c>
      <x:c r="G2065" s="50"/>
      <x:c r="H2065" s="50" t="str">
        <x:v>LONG</x:v>
      </x:c>
      <x:c r="I2065" s="71" t="n">
        <x:v>325.14</x:v>
      </x:c>
      <x:c r="J2065" s="76" t="str">
        <x:v>SIP</x:v>
      </x:c>
    </x:row>
    <x:row r="2066">
      <x:c r="A2066" s="50" t="str">
        <x:v>019fdddb-9649-704d-8a82-c83567a93575</x:v>
      </x:c>
      <x:c r="B2066" s="50" t="str">
        <x:v>SBUX</x:v>
      </x:c>
      <x:c r="C2066" s="70" t="n">
        <x:v>46241.84240084491</x:v>
      </x:c>
      <x:c r="D2066" s="50" t="str">
        <x:v>SWING_SETUP</x:v>
      </x:c>
      <x:c r="E2066" s="50" t="str">
        <x:v>SBUX SWING SETUP</x:v>
      </x:c>
      <x:c r="F2066" s="50" t="str">
        <x:v>WATCH</x:v>
      </x:c>
      <x:c r="G2066" s="50"/>
      <x:c r="H2066" s="50" t="str">
        <x:v>LONG</x:v>
      </x:c>
      <x:c r="I2066" s="71" t="n">
        <x:v>105.6</x:v>
      </x:c>
      <x:c r="J2066" s="76" t="str">
        <x:v>SIP</x:v>
      </x:c>
    </x:row>
    <x:row r="2067">
      <x:c r="A2067" s="50" t="str">
        <x:v>019fdddb-965e-7393-8f88-7274bcad4aca</x:v>
      </x:c>
      <x:c r="B2067" s="50" t="str">
        <x:v>MDLZ</x:v>
      </x:c>
      <x:c r="C2067" s="70" t="n">
        <x:v>46241.84240108796</x:v>
      </x:c>
      <x:c r="D2067" s="50" t="str">
        <x:v>SWING_SETUP</x:v>
      </x:c>
      <x:c r="E2067" s="50" t="str">
        <x:v>MDLZ SWING SETUP</x:v>
      </x:c>
      <x:c r="F2067" s="50" t="str">
        <x:v>WATCH</x:v>
      </x:c>
      <x:c r="G2067" s="50"/>
      <x:c r="H2067" s="50" t="str">
        <x:v>LONG</x:v>
      </x:c>
      <x:c r="I2067" s="71" t="n">
        <x:v>62.6</x:v>
      </x:c>
      <x:c r="J2067" s="76" t="str">
        <x:v>SIP</x:v>
      </x:c>
    </x:row>
    <x:row r="2068">
      <x:c r="A2068" s="50" t="str">
        <x:v>019fdddb-968d-707a-8088-b4c8b4725752</x:v>
      </x:c>
      <x:c r="B2068" s="50" t="str">
        <x:v>COP</x:v>
      </x:c>
      <x:c r="C2068" s="70" t="n">
        <x:v>46241.84240163195</x:v>
      </x:c>
      <x:c r="D2068" s="50" t="str">
        <x:v>SWING_SETUP</x:v>
      </x:c>
      <x:c r="E2068" s="50" t="str">
        <x:v>COP SWING SETUP</x:v>
      </x:c>
      <x:c r="F2068" s="50" t="str">
        <x:v>WATCH</x:v>
      </x:c>
      <x:c r="G2068" s="50"/>
      <x:c r="H2068" s="50" t="str">
        <x:v>LONG</x:v>
      </x:c>
      <x:c r="I2068" s="71" t="n">
        <x:v>117.61</x:v>
      </x:c>
      <x:c r="J2068" s="76" t="str">
        <x:v>SIP</x:v>
      </x:c>
    </x:row>
    <x:row r="2069">
      <x:c r="A2069" s="50" t="str">
        <x:v>019fdddc-7fab-7269-9c5e-60316c93a1d2</x:v>
      </x:c>
      <x:c r="B2069" s="50" t="str">
        <x:v>OXY</x:v>
      </x:c>
      <x:c r="C2069" s="70" t="n">
        <x:v>46241.84309234954</x:v>
      </x:c>
      <x:c r="D2069" s="50" t="str">
        <x:v>LONG_BUY_ZONE</x:v>
      </x:c>
      <x:c r="E2069" s="50" t="str">
        <x:v>OXY LONG BUY ZONE</x:v>
      </x:c>
      <x:c r="F2069" s="50" t="str">
        <x:v>WATCH</x:v>
      </x:c>
      <x:c r="G2069" s="50"/>
      <x:c r="H2069" s="50" t="str">
        <x:v>LONG</x:v>
      </x:c>
      <x:c r="I2069" s="71" t="n">
        <x:v>56.03</x:v>
      </x:c>
      <x:c r="J2069" s="76" t="str">
        <x:v>SIP</x:v>
      </x:c>
    </x:row>
    <x:row r="2070">
      <x:c r="A2070" s="50" t="str">
        <x:v>019fdddc-7fbb-7c38-a382-39acd68755f5</x:v>
      </x:c>
      <x:c r="B2070" s="50" t="str">
        <x:v>BMY</x:v>
      </x:c>
      <x:c r="C2070" s="70" t="n">
        <x:v>46241.84309252315</x:v>
      </x:c>
      <x:c r="D2070" s="50" t="str">
        <x:v>SWING_SETUP</x:v>
      </x:c>
      <x:c r="E2070" s="50" t="str">
        <x:v>BMY SWING SETUP</x:v>
      </x:c>
      <x:c r="F2070" s="50" t="str">
        <x:v>WATCH</x:v>
      </x:c>
      <x:c r="G2070" s="50"/>
      <x:c r="H2070" s="50" t="str">
        <x:v>LONG</x:v>
      </x:c>
      <x:c r="I2070" s="71" t="n">
        <x:v>64.71</x:v>
      </x:c>
      <x:c r="J2070" s="76" t="str">
        <x:v>SIP</x:v>
      </x:c>
    </x:row>
    <x:row r="2071">
      <x:c r="A2071" s="50" t="str">
        <x:v>019fdddc-7fc2-7858-87b5-837fbe8ce97f</x:v>
      </x:c>
      <x:c r="B2071" s="50" t="str">
        <x:v>SBUX</x:v>
      </x:c>
      <x:c r="C2071" s="70" t="n">
        <x:v>46241.84309261574</x:v>
      </x:c>
      <x:c r="D2071" s="50" t="str">
        <x:v>LONG_BUY_ZONE</x:v>
      </x:c>
      <x:c r="E2071" s="50" t="str">
        <x:v>SBUX LONG BUY ZONE</x:v>
      </x:c>
      <x:c r="F2071" s="50" t="str">
        <x:v>WATCH</x:v>
      </x:c>
      <x:c r="G2071" s="50"/>
      <x:c r="H2071" s="50" t="str">
        <x:v>LONG</x:v>
      </x:c>
      <x:c r="I2071" s="71" t="n">
        <x:v>105.47</x:v>
      </x:c>
      <x:c r="J2071" s="76" t="str">
        <x:v>SIP</x:v>
      </x:c>
    </x:row>
    <x:row r="2072">
      <x:c r="A2072" s="50" t="str">
        <x:v>019fdddc-807d-7656-a4de-5d05ed2a620e</x:v>
      </x:c>
      <x:c r="B2072" s="50" t="str">
        <x:v>PLTR</x:v>
      </x:c>
      <x:c r="C2072" s="70" t="n">
        <x:v>46241.843094780095</x:v>
      </x:c>
      <x:c r="D2072" s="50" t="str">
        <x:v>SWING_SETUP</x:v>
      </x:c>
      <x:c r="E2072" s="50" t="str">
        <x:v>PLTR SWING SETUP</x:v>
      </x:c>
      <x:c r="F2072" s="50" t="str">
        <x:v>WATCH</x:v>
      </x:c>
      <x:c r="G2072" s="50"/>
      <x:c r="H2072" s="50" t="str">
        <x:v>LONG</x:v>
      </x:c>
      <x:c r="I2072" s="71" t="n">
        <x:v>171.995</x:v>
      </x:c>
      <x:c r="J2072" s="76" t="str">
        <x:v>SIP</x:v>
      </x:c>
    </x:row>
    <x:row r="2073">
      <x:c r="A2073" s="50" t="str">
        <x:v>019fdddd-6a29-78db-8066-48acac858920</x:v>
      </x:c>
      <x:c r="B2073" s="50" t="str">
        <x:v>ANET</x:v>
      </x:c>
      <x:c r="C2073" s="70" t="n">
        <x:v>46241.8437871412</x:v>
      </x:c>
      <x:c r="D2073" s="50" t="str">
        <x:v>SWING_SETUP</x:v>
      </x:c>
      <x:c r="E2073" s="50" t="str">
        <x:v>ANET SWING SETUP</x:v>
      </x:c>
      <x:c r="F2073" s="50" t="str">
        <x:v>WATCH</x:v>
      </x:c>
      <x:c r="G2073" s="50"/>
      <x:c r="H2073" s="50" t="str">
        <x:v>LONG</x:v>
      </x:c>
      <x:c r="I2073" s="71" t="n">
        <x:v>188.635</x:v>
      </x:c>
      <x:c r="J2073" s="76" t="str">
        <x:v>SIP</x:v>
      </x:c>
    </x:row>
    <x:row r="2074">
      <x:c r="A2074" s="50" t="str">
        <x:v>019fddde-52a4-7e3d-a86d-e398c33480e3</x:v>
      </x:c>
      <x:c r="B2074" s="50" t="str">
        <x:v>APA</x:v>
      </x:c>
      <x:c r="C2074" s="70" t="n">
        <x:v>46241.84447597222</x:v>
      </x:c>
      <x:c r="D2074" s="50" t="str">
        <x:v>SWING_SETUP</x:v>
      </x:c>
      <x:c r="E2074" s="50" t="str">
        <x:v>APA SWING SETUP</x:v>
      </x:c>
      <x:c r="F2074" s="50" t="str">
        <x:v>WATCH</x:v>
      </x:c>
      <x:c r="G2074" s="50"/>
      <x:c r="H2074" s="50" t="str">
        <x:v>LONG</x:v>
      </x:c>
      <x:c r="I2074" s="71" t="n">
        <x:v>37.635</x:v>
      </x:c>
      <x:c r="J2074" s="76" t="str">
        <x:v>SIP</x:v>
      </x:c>
    </x:row>
    <x:row r="2075">
      <x:c r="A2075" s="50" t="str">
        <x:v>019fddde-52b8-77e3-923b-489bdd902d74</x:v>
      </x:c>
      <x:c r="B2075" s="50" t="str">
        <x:v>WELL</x:v>
      </x:c>
      <x:c r="C2075" s="70" t="n">
        <x:v>46241.8444762037</x:v>
      </x:c>
      <x:c r="D2075" s="50" t="str">
        <x:v>SWING_SETUP</x:v>
      </x:c>
      <x:c r="E2075" s="50" t="str">
        <x:v>WELL SWING SETUP</x:v>
      </x:c>
      <x:c r="F2075" s="50" t="str">
        <x:v>WATCH</x:v>
      </x:c>
      <x:c r="G2075" s="50"/>
      <x:c r="H2075" s="50" t="str">
        <x:v>LONG</x:v>
      </x:c>
      <x:c r="I2075" s="71" t="n">
        <x:v>236.92</x:v>
      </x:c>
      <x:c r="J2075" s="76" t="str">
        <x:v>SIP</x:v>
      </x:c>
    </x:row>
    <x:row r="2076">
      <x:c r="A2076" s="50" t="str">
        <x:v>019fddde-546b-7950-b7d8-ccd1a02bd320</x:v>
      </x:c>
      <x:c r="B2076" s="50" t="str">
        <x:v>PM</x:v>
      </x:c>
      <x:c r="C2076" s="70" t="n">
        <x:v>46241.844481238426</x:v>
      </x:c>
      <x:c r="D2076" s="50" t="str">
        <x:v>SWING_SETUP</x:v>
      </x:c>
      <x:c r="E2076" s="50" t="str">
        <x:v>PM SWING SETUP</x:v>
      </x:c>
      <x:c r="F2076" s="50" t="str">
        <x:v>WATCH</x:v>
      </x:c>
      <x:c r="G2076" s="50"/>
      <x:c r="H2076" s="50" t="str">
        <x:v>LONG</x:v>
      </x:c>
      <x:c r="I2076" s="71" t="n">
        <x:v>189.47</x:v>
      </x:c>
      <x:c r="J2076" s="76" t="str">
        <x:v>SIP</x:v>
      </x:c>
    </x:row>
    <x:row r="2077">
      <x:c r="A2077" s="50" t="str">
        <x:v>019fddde-54e2-7894-951f-cddf4d94159c</x:v>
      </x:c>
      <x:c r="B2077" s="50" t="str">
        <x:v>ACHV</x:v>
      </x:c>
      <x:c r="C2077" s="70" t="n">
        <x:v>46241.84448261574</x:v>
      </x:c>
      <x:c r="D2077" s="50" t="str">
        <x:v>SWING_SETUP</x:v>
      </x:c>
      <x:c r="E2077" s="50" t="str">
        <x:v>ACHV SWING SETUP</x:v>
      </x:c>
      <x:c r="F2077" s="50" t="str">
        <x:v>WATCH</x:v>
      </x:c>
      <x:c r="G2077" s="50"/>
      <x:c r="H2077" s="50" t="str">
        <x:v>LONG</x:v>
      </x:c>
      <x:c r="I2077" s="71" t="n">
        <x:v>6.65</x:v>
      </x:c>
      <x:c r="J2077" s="76" t="str">
        <x:v>SIP</x:v>
      </x:c>
    </x:row>
    <x:row r="2078">
      <x:c r="A2078" s="50" t="str">
        <x:v>019fddde-551a-7c5f-827c-5421837b8d15</x:v>
      </x:c>
      <x:c r="B2078" s="50" t="str">
        <x:v>NVDA</x:v>
      </x:c>
      <x:c r="C2078" s="70" t="n">
        <x:v>46241.84448326389</x:v>
      </x:c>
      <x:c r="D2078" s="50" t="str">
        <x:v>SWING_SETUP</x:v>
      </x:c>
      <x:c r="E2078" s="50" t="str">
        <x:v>NVDA SWING SETUP</x:v>
      </x:c>
      <x:c r="F2078" s="50" t="str">
        <x:v>WATCH</x:v>
      </x:c>
      <x:c r="G2078" s="50"/>
      <x:c r="H2078" s="50" t="str">
        <x:v>LONG</x:v>
      </x:c>
      <x:c r="I2078" s="71" t="n">
        <x:v>223.51</x:v>
      </x:c>
      <x:c r="J2078" s="76" t="str">
        <x:v>SIP</x:v>
      </x:c>
    </x:row>
    <x:row r="2079">
      <x:c r="A2079" s="50" t="str">
        <x:v>019fddde-58e6-7cf4-8f66-46d903fe3b1c</x:v>
      </x:c>
      <x:c r="B2079" s="50" t="str">
        <x:v>LMT</x:v>
      </x:c>
      <x:c r="C2079" s="70" t="n">
        <x:v>46241.84449451389</x:v>
      </x:c>
      <x:c r="D2079" s="50" t="str">
        <x:v>SWING_SETUP</x:v>
      </x:c>
      <x:c r="E2079" s="50" t="str">
        <x:v>LMT SWING SETUP</x:v>
      </x:c>
      <x:c r="F2079" s="50" t="str">
        <x:v>WATCH</x:v>
      </x:c>
      <x:c r="G2079" s="50"/>
      <x:c r="H2079" s="50" t="str">
        <x:v>LONG</x:v>
      </x:c>
      <x:c r="I2079" s="71" t="n">
        <x:v>587.92</x:v>
      </x:c>
      <x:c r="J2079" s="76" t="str">
        <x:v>SIP</x:v>
      </x:c>
    </x:row>
    <x:row r="2080">
      <x:c r="A2080" s="50" t="str">
        <x:v>019fdddf-3c75-7ad6-b12b-f0859cda8117</x:v>
      </x:c>
      <x:c r="B2080" s="50" t="str">
        <x:v>GRAB</x:v>
      </x:c>
      <x:c r="C2080" s="70" t="n">
        <x:v>46241.845168761574</x:v>
      </x:c>
      <x:c r="D2080" s="50" t="str">
        <x:v>SWING_SETUP</x:v>
      </x:c>
      <x:c r="E2080" s="50" t="str">
        <x:v>GRAB SWING SETUP</x:v>
      </x:c>
      <x:c r="F2080" s="50" t="str">
        <x:v>WATCH</x:v>
      </x:c>
      <x:c r="G2080" s="50"/>
      <x:c r="H2080" s="50" t="str">
        <x:v>LONG</x:v>
      </x:c>
      <x:c r="I2080" s="71" t="n">
        <x:v>3.6597</x:v>
      </x:c>
      <x:c r="J2080" s="76" t="str">
        <x:v>SIP</x:v>
      </x:c>
    </x:row>
    <x:row r="2081">
      <x:c r="A2081" s="50" t="str">
        <x:v>019fdddf-3dd4-7439-99f3-fbbdd9d91b96</x:v>
      </x:c>
      <x:c r="B2081" s="50" t="str">
        <x:v>PYPL</x:v>
      </x:c>
      <x:c r="C2081" s="70" t="n">
        <x:v>46241.845172824076</x:v>
      </x:c>
      <x:c r="D2081" s="50" t="str">
        <x:v>SWING_SETUP</x:v>
      </x:c>
      <x:c r="E2081" s="50" t="str">
        <x:v>PYPL SWING SETUP</x:v>
      </x:c>
      <x:c r="F2081" s="50" t="str">
        <x:v>WATCH</x:v>
      </x:c>
      <x:c r="G2081" s="50"/>
      <x:c r="H2081" s="50" t="str">
        <x:v>LONG</x:v>
      </x:c>
      <x:c r="I2081" s="71" t="n">
        <x:v>59.07</x:v>
      </x:c>
      <x:c r="J2081" s="76" t="str">
        <x:v>SIP</x:v>
      </x:c>
    </x:row>
    <x:row r="2082">
      <x:c r="A2082" s="50" t="str">
        <x:v>019fdddf-3de6-7f81-beac-9e2285e4386a</x:v>
      </x:c>
      <x:c r="B2082" s="50" t="str">
        <x:v>RCL</x:v>
      </x:c>
      <x:c r="C2082" s="70" t="n">
        <x:v>46241.84517303241</x:v>
      </x:c>
      <x:c r="D2082" s="50" t="str">
        <x:v>SWING_SETUP</x:v>
      </x:c>
      <x:c r="E2082" s="50" t="str">
        <x:v>RCL SWING SETUP</x:v>
      </x:c>
      <x:c r="F2082" s="50" t="str">
        <x:v>WATCH</x:v>
      </x:c>
      <x:c r="G2082" s="50"/>
      <x:c r="H2082" s="50" t="str">
        <x:v>LONG</x:v>
      </x:c>
      <x:c r="I2082" s="71" t="n">
        <x:v>319.98</x:v>
      </x:c>
      <x:c r="J2082" s="76" t="str">
        <x:v>SIP</x:v>
      </x:c>
    </x:row>
    <x:row r="2083">
      <x:c r="A2083" s="50" t="str">
        <x:v>019fdddf-3e6b-7de1-b27a-02033dec82bc</x:v>
      </x:c>
      <x:c r="B2083" s="50" t="str">
        <x:v>CRM</x:v>
      </x:c>
      <x:c r="C2083" s="70" t="n">
        <x:v>46241.84517457176</x:v>
      </x:c>
      <x:c r="D2083" s="50" t="str">
        <x:v>SWING_SETUP</x:v>
      </x:c>
      <x:c r="E2083" s="50" t="str">
        <x:v>CRM SWING SETUP</x:v>
      </x:c>
      <x:c r="F2083" s="50" t="str">
        <x:v>WATCH</x:v>
      </x:c>
      <x:c r="G2083" s="50"/>
      <x:c r="H2083" s="50" t="str">
        <x:v>LONG</x:v>
      </x:c>
      <x:c r="I2083" s="71" t="n">
        <x:v>191.94</x:v>
      </x:c>
      <x:c r="J2083" s="76" t="str">
        <x:v>SIP</x:v>
      </x:c>
    </x:row>
    <x:row r="2084">
      <x:c r="A2084" s="50" t="str">
        <x:v>019fdddf-3e82-72bd-81bb-baf3ee6e3241</x:v>
      </x:c>
      <x:c r="B2084" s="50" t="str">
        <x:v>BAC</x:v>
      </x:c>
      <x:c r="C2084" s="70" t="n">
        <x:v>46241.84517483796</x:v>
      </x:c>
      <x:c r="D2084" s="50" t="str">
        <x:v>SWING_SETUP</x:v>
      </x:c>
      <x:c r="E2084" s="50" t="str">
        <x:v>BAC SWING SETUP</x:v>
      </x:c>
      <x:c r="F2084" s="50" t="str">
        <x:v>WATCH</x:v>
      </x:c>
      <x:c r="G2084" s="50"/>
      <x:c r="H2084" s="50" t="str">
        <x:v>LONG</x:v>
      </x:c>
      <x:c r="I2084" s="71" t="n">
        <x:v>63.19</x:v>
      </x:c>
      <x:c r="J2084" s="76" t="str">
        <x:v>SIP</x:v>
      </x:c>
    </x:row>
    <x:row r="2085">
      <x:c r="A2085" s="50" t="str">
        <x:v>019fdddf-3e9c-75e4-9b8a-57e503f82c27</x:v>
      </x:c>
      <x:c r="B2085" s="50" t="str">
        <x:v>ECL</x:v>
      </x:c>
      <x:c r="C2085" s="70" t="n">
        <x:v>46241.845175138886</x:v>
      </x:c>
      <x:c r="D2085" s="50" t="str">
        <x:v>SWING_SETUP</x:v>
      </x:c>
      <x:c r="E2085" s="50" t="str">
        <x:v>ECL SWING SETUP</x:v>
      </x:c>
      <x:c r="F2085" s="50" t="str">
        <x:v>WATCH</x:v>
      </x:c>
      <x:c r="G2085" s="50"/>
      <x:c r="H2085" s="50" t="str">
        <x:v>LONG</x:v>
      </x:c>
      <x:c r="I2085" s="71" t="n">
        <x:v>285.03</x:v>
      </x:c>
      <x:c r="J2085" s="76" t="str">
        <x:v>SIP</x:v>
      </x:c>
    </x:row>
    <x:row r="2086">
      <x:c r="A2086" s="50" t="str">
        <x:v>019fdddf-3ea6-7b05-b463-ad14d60dc394</x:v>
      </x:c>
      <x:c r="B2086" s="50" t="str">
        <x:v>PFE</x:v>
      </x:c>
      <x:c r="C2086" s="70" t="n">
        <x:v>46241.84517525463</x:v>
      </x:c>
      <x:c r="D2086" s="50" t="str">
        <x:v>SWING_SETUP</x:v>
      </x:c>
      <x:c r="E2086" s="50" t="str">
        <x:v>PFE SWING SETUP</x:v>
      </x:c>
      <x:c r="F2086" s="50" t="str">
        <x:v>WATCH</x:v>
      </x:c>
      <x:c r="G2086" s="50"/>
      <x:c r="H2086" s="50" t="str">
        <x:v>LONG</x:v>
      </x:c>
      <x:c r="I2086" s="71" t="n">
        <x:v>26.675</x:v>
      </x:c>
      <x:c r="J2086" s="76" t="str">
        <x:v>SIP</x:v>
      </x:c>
    </x:row>
    <x:row r="2087">
      <x:c r="A2087" s="50" t="str">
        <x:v>019fdddf-3ec9-71f6-a7a2-870950aae1d0</x:v>
      </x:c>
      <x:c r="B2087" s="50" t="str">
        <x:v>ETHA</x:v>
      </x:c>
      <x:c r="C2087" s="70" t="n">
        <x:v>46241.84517565972</x:v>
      </x:c>
      <x:c r="D2087" s="50" t="str">
        <x:v>SWING_SETUP</x:v>
      </x:c>
      <x:c r="E2087" s="50" t="str">
        <x:v>ETHA SWING SETUP</x:v>
      </x:c>
      <x:c r="F2087" s="50" t="str">
        <x:v>WATCH</x:v>
      </x:c>
      <x:c r="G2087" s="50"/>
      <x:c r="H2087" s="50" t="str">
        <x:v>LONG</x:v>
      </x:c>
      <x:c r="I2087" s="71" t="n">
        <x:v>14.48</x:v>
      </x:c>
      <x:c r="J2087" s="76" t="str">
        <x:v>SIP</x:v>
      </x:c>
    </x:row>
    <x:row r="2088">
      <x:c r="A2088" s="50" t="str">
        <x:v>019fdddf-3f1a-729a-bdb9-b74f3481339b</x:v>
      </x:c>
      <x:c r="B2088" s="50" t="str">
        <x:v>KO</x:v>
      </x:c>
      <x:c r="C2088" s="70" t="n">
        <x:v>46241.84517659722</x:v>
      </x:c>
      <x:c r="D2088" s="50" t="str">
        <x:v>SWING_SETUP</x:v>
      </x:c>
      <x:c r="E2088" s="50" t="str">
        <x:v>KO SWING SETUP</x:v>
      </x:c>
      <x:c r="F2088" s="50" t="str">
        <x:v>WATCH</x:v>
      </x:c>
      <x:c r="G2088" s="50"/>
      <x:c r="H2088" s="50" t="str">
        <x:v>LONG</x:v>
      </x:c>
      <x:c r="I2088" s="71" t="n">
        <x:v>87.055</x:v>
      </x:c>
      <x:c r="J2088" s="76" t="str">
        <x:v>SIP</x:v>
      </x:c>
    </x:row>
    <x:row r="2089">
      <x:c r="A2089" s="50" t="str">
        <x:v>019fdddf-3f48-7910-bb62-d8647a4faa58</x:v>
      </x:c>
      <x:c r="B2089" s="50" t="str">
        <x:v>CEG</x:v>
      </x:c>
      <x:c r="C2089" s="70" t="n">
        <x:v>46241.84517712963</x:v>
      </x:c>
      <x:c r="D2089" s="50" t="str">
        <x:v>SWING_SETUP</x:v>
      </x:c>
      <x:c r="E2089" s="50" t="str">
        <x:v>CEG SWING SETUP</x:v>
      </x:c>
      <x:c r="F2089" s="50" t="str">
        <x:v>WATCH</x:v>
      </x:c>
      <x:c r="G2089" s="50"/>
      <x:c r="H2089" s="50" t="str">
        <x:v>LONG</x:v>
      </x:c>
      <x:c r="I2089" s="71" t="n">
        <x:v>269.5</x:v>
      </x:c>
      <x:c r="J2089" s="76" t="str">
        <x:v>SIP</x:v>
      </x:c>
    </x:row>
    <x:row r="2090">
      <x:c r="A2090" s="50" t="str">
        <x:v>019fdddf-3f91-7876-887f-20359ed3c3d6</x:v>
      </x:c>
      <x:c r="B2090" s="50" t="str">
        <x:v>ETN</x:v>
      </x:c>
      <x:c r="C2090" s="70" t="n">
        <x:v>46241.84517797454</x:v>
      </x:c>
      <x:c r="D2090" s="50" t="str">
        <x:v>SWING_SETUP</x:v>
      </x:c>
      <x:c r="E2090" s="50" t="str">
        <x:v>ETN SWING SETUP</x:v>
      </x:c>
      <x:c r="F2090" s="50" t="str">
        <x:v>WATCH</x:v>
      </x:c>
      <x:c r="G2090" s="50"/>
      <x:c r="H2090" s="50" t="str">
        <x:v>LONG</x:v>
      </x:c>
      <x:c r="I2090" s="71" t="n">
        <x:v>448.67</x:v>
      </x:c>
      <x:c r="J2090" s="76" t="str">
        <x:v>SIP</x:v>
      </x:c>
    </x:row>
    <x:row r="2091">
      <x:c r="A2091" s="50" t="str">
        <x:v>019fdddf-3f9f-7a90-89c3-c1008136695e</x:v>
      </x:c>
      <x:c r="B2091" s="50" t="str">
        <x:v>NUE</x:v>
      </x:c>
      <x:c r="C2091" s="70" t="n">
        <x:v>46241.84517813657</x:v>
      </x:c>
      <x:c r="D2091" s="50" t="str">
        <x:v>SWING_SETUP</x:v>
      </x:c>
      <x:c r="E2091" s="50" t="str">
        <x:v>NUE SWING SETUP</x:v>
      </x:c>
      <x:c r="F2091" s="50" t="str">
        <x:v>WATCH</x:v>
      </x:c>
      <x:c r="G2091" s="50"/>
      <x:c r="H2091" s="50" t="str">
        <x:v>LONG</x:v>
      </x:c>
      <x:c r="I2091" s="71" t="n">
        <x:v>272.57</x:v>
      </x:c>
      <x:c r="J2091" s="76" t="str">
        <x:v>SIP</x:v>
      </x:c>
    </x:row>
    <x:row r="2092">
      <x:c r="A2092" s="50" t="str">
        <x:v>019fdddf-3fc5-7322-bba8-a0333e172be9</x:v>
      </x:c>
      <x:c r="B2092" s="50" t="str">
        <x:v>NEM</x:v>
      </x:c>
      <x:c r="C2092" s="70" t="n">
        <x:v>46241.84517857639</x:v>
      </x:c>
      <x:c r="D2092" s="50" t="str">
        <x:v>SWING_SETUP</x:v>
      </x:c>
      <x:c r="E2092" s="50" t="str">
        <x:v>NEM SWING SETUP</x:v>
      </x:c>
      <x:c r="F2092" s="50" t="str">
        <x:v>WATCH</x:v>
      </x:c>
      <x:c r="G2092" s="50"/>
      <x:c r="H2092" s="50" t="str">
        <x:v>LONG</x:v>
      </x:c>
      <x:c r="I2092" s="71" t="n">
        <x:v>112.98</x:v>
      </x:c>
      <x:c r="J2092" s="76" t="str">
        <x:v>SIP</x:v>
      </x:c>
    </x:row>
    <x:row r="2093">
      <x:c r="A2093" s="50" t="str">
        <x:v>019fdddf-4037-7482-9fdd-178fae8e7a5d</x:v>
      </x:c>
      <x:c r="B2093" s="50" t="str">
        <x:v>APH</x:v>
      </x:c>
      <x:c r="C2093" s="70" t="n">
        <x:v>46241.845179895834</x:v>
      </x:c>
      <x:c r="D2093" s="50" t="str">
        <x:v>SWING_SETUP</x:v>
      </x:c>
      <x:c r="E2093" s="50" t="str">
        <x:v>APH SWING SETUP</x:v>
      </x:c>
      <x:c r="F2093" s="50" t="str">
        <x:v>WATCH</x:v>
      </x:c>
      <x:c r="G2093" s="50"/>
      <x:c r="H2093" s="50" t="str">
        <x:v>LONG</x:v>
      </x:c>
      <x:c r="I2093" s="71" t="n">
        <x:v>169.17</x:v>
      </x:c>
      <x:c r="J2093" s="76" t="str">
        <x:v>SIP</x:v>
      </x:c>
    </x:row>
    <x:row r="2094">
      <x:c r="A2094" s="50" t="str">
        <x:v>019fdde0-284e-708b-b355-a0471fe5dbd3</x:v>
      </x:c>
      <x:c r="B2094" s="50" t="str">
        <x:v>JD</x:v>
      </x:c>
      <x:c r="C2094" s="70" t="n">
        <x:v>46241.84586756944</x:v>
      </x:c>
      <x:c r="D2094" s="50" t="str">
        <x:v>SWING_SETUP</x:v>
      </x:c>
      <x:c r="E2094" s="50" t="str">
        <x:v>JD SWING SETUP</x:v>
      </x:c>
      <x:c r="F2094" s="50" t="str">
        <x:v>WATCH</x:v>
      </x:c>
      <x:c r="G2094" s="50"/>
      <x:c r="H2094" s="50" t="str">
        <x:v>LONG</x:v>
      </x:c>
      <x:c r="I2094" s="71" t="n">
        <x:v>32.955</x:v>
      </x:c>
      <x:c r="J2094" s="76" t="str">
        <x:v>SIP</x:v>
      </x:c>
    </x:row>
    <x:row r="2095">
      <x:c r="A2095" s="50" t="str">
        <x:v>019fdde0-2874-7e39-a563-ce22e667b93a</x:v>
      </x:c>
      <x:c r="B2095" s="50" t="str">
        <x:v>TMDX</x:v>
      </x:c>
      <x:c r="C2095" s="70" t="n">
        <x:v>46241.84586799768</x:v>
      </x:c>
      <x:c r="D2095" s="50" t="str">
        <x:v>SWING_SETUP</x:v>
      </x:c>
      <x:c r="E2095" s="50" t="str">
        <x:v>TMDX SWING SETUP</x:v>
      </x:c>
      <x:c r="F2095" s="50" t="str">
        <x:v>WATCH</x:v>
      </x:c>
      <x:c r="G2095" s="50"/>
      <x:c r="H2095" s="50" t="str">
        <x:v>LONG</x:v>
      </x:c>
      <x:c r="I2095" s="71" t="n">
        <x:v>83.97</x:v>
      </x:c>
      <x:c r="J2095" s="76" t="str">
        <x:v>SIP</x:v>
      </x:c>
    </x:row>
    <x:row r="2096">
      <x:c r="A2096" s="50" t="str">
        <x:v>019fdde0-295d-7268-be52-8154a3a3808f</x:v>
      </x:c>
      <x:c r="B2096" s="50" t="str">
        <x:v>PSX</x:v>
      </x:c>
      <x:c r="C2096" s="70" t="n">
        <x:v>46241.845870694444</x:v>
      </x:c>
      <x:c r="D2096" s="50" t="str">
        <x:v>SWING_SETUP</x:v>
      </x:c>
      <x:c r="E2096" s="50" t="str">
        <x:v>PSX SWING SETUP</x:v>
      </x:c>
      <x:c r="F2096" s="50" t="str">
        <x:v>WATCH</x:v>
      </x:c>
      <x:c r="G2096" s="50"/>
      <x:c r="H2096" s="50" t="str">
        <x:v>LONG</x:v>
      </x:c>
      <x:c r="I2096" s="71" t="n">
        <x:v>203.89</x:v>
      </x:c>
      <x:c r="J2096" s="76" t="str">
        <x:v>SIP</x:v>
      </x:c>
    </x:row>
    <x:row r="2097">
      <x:c r="A2097" s="50" t="str">
        <x:v>019fdde0-29c7-7f1d-9958-1e1bf8be7137</x:v>
      </x:c>
      <x:c r="B2097" s="50" t="str">
        <x:v>DLR</x:v>
      </x:c>
      <x:c r="C2097" s="70" t="n">
        <x:v>46241.845871921294</x:v>
      </x:c>
      <x:c r="D2097" s="50" t="str">
        <x:v>SWING_SETUP</x:v>
      </x:c>
      <x:c r="E2097" s="50" t="str">
        <x:v>DLR SWING SETUP</x:v>
      </x:c>
      <x:c r="F2097" s="50" t="str">
        <x:v>WATCH</x:v>
      </x:c>
      <x:c r="G2097" s="50"/>
      <x:c r="H2097" s="50" t="str">
        <x:v>LONG</x:v>
      </x:c>
      <x:c r="I2097" s="71" t="n">
        <x:v>193.78</x:v>
      </x:c>
      <x:c r="J2097" s="76" t="str">
        <x:v>SIP</x:v>
      </x:c>
    </x:row>
    <x:row r="2098">
      <x:c r="A2098" s="50" t="str">
        <x:v>019fdde0-2ab1-7639-8b5c-521dba9439e2</x:v>
      </x:c>
      <x:c r="B2098" s="50" t="str">
        <x:v>MMM</x:v>
      </x:c>
      <x:c r="C2098" s="70" t="n">
        <x:v>46241.84587464121</x:v>
      </x:c>
      <x:c r="D2098" s="50" t="str">
        <x:v>SWING_SETUP</x:v>
      </x:c>
      <x:c r="E2098" s="50" t="str">
        <x:v>MMM SWING SETUP</x:v>
      </x:c>
      <x:c r="F2098" s="50" t="str">
        <x:v>WATCH</x:v>
      </x:c>
      <x:c r="G2098" s="50"/>
      <x:c r="H2098" s="50" t="str">
        <x:v>LONG</x:v>
      </x:c>
      <x:c r="I2098" s="71" t="n">
        <x:v>182.89</x:v>
      </x:c>
      <x:c r="J2098" s="76" t="str">
        <x:v>SIP</x:v>
      </x:c>
    </x:row>
    <x:row r="2099">
      <x:c r="A2099" s="50" t="str">
        <x:v>019fdde1-11a7-7a11-8667-f28f7cf87246</x:v>
      </x:c>
      <x:c r="B2099" s="50" t="str">
        <x:v>UEC</x:v>
      </x:c>
      <x:c r="C2099" s="70" t="n">
        <x:v>46241.846558958336</x:v>
      </x:c>
      <x:c r="D2099" s="50" t="str">
        <x:v>SWING_SETUP</x:v>
      </x:c>
      <x:c r="E2099" s="50" t="str">
        <x:v>UEC SWING SETUP</x:v>
      </x:c>
      <x:c r="F2099" s="50" t="str">
        <x:v>WATCH</x:v>
      </x:c>
      <x:c r="G2099" s="50"/>
      <x:c r="H2099" s="50" t="str">
        <x:v>LONG</x:v>
      </x:c>
      <x:c r="I2099" s="71" t="n">
        <x:v>11.2707</x:v>
      </x:c>
      <x:c r="J2099" s="76" t="str">
        <x:v>SIP</x:v>
      </x:c>
    </x:row>
    <x:row r="2100">
      <x:c r="A2100" s="50" t="str">
        <x:v>019fdde1-1394-739c-a79e-7399ae00e62a</x:v>
      </x:c>
      <x:c r="B2100" s="50" t="str">
        <x:v>JPM</x:v>
      </x:c>
      <x:c r="C2100" s="70" t="n">
        <x:v>46241.84656467593</x:v>
      </x:c>
      <x:c r="D2100" s="50" t="str">
        <x:v>SWING_SETUP</x:v>
      </x:c>
      <x:c r="E2100" s="50" t="str">
        <x:v>JPM SWING SETUP</x:v>
      </x:c>
      <x:c r="F2100" s="50" t="str">
        <x:v>WATCH</x:v>
      </x:c>
      <x:c r="G2100" s="50"/>
      <x:c r="H2100" s="50" t="str">
        <x:v>LONG</x:v>
      </x:c>
      <x:c r="I2100" s="71" t="n">
        <x:v>357.47</x:v>
      </x:c>
      <x:c r="J2100" s="76" t="str">
        <x:v>SIP</x:v>
      </x:c>
    </x:row>
    <x:row r="2101">
      <x:c r="A2101" s="50" t="str">
        <x:v>019fdde1-13d6-726d-aa77-e66ed53c9aa0</x:v>
      </x:c>
      <x:c r="B2101" s="50" t="str">
        <x:v>SCHW</x:v>
      </x:c>
      <x:c r="C2101" s="70" t="n">
        <x:v>46241.84656543982</x:v>
      </x:c>
      <x:c r="D2101" s="50" t="str">
        <x:v>SWING_SETUP</x:v>
      </x:c>
      <x:c r="E2101" s="50" t="str">
        <x:v>SCHW SWING SETUP</x:v>
      </x:c>
      <x:c r="F2101" s="50" t="str">
        <x:v>WATCH</x:v>
      </x:c>
      <x:c r="G2101" s="50"/>
      <x:c r="H2101" s="50" t="str">
        <x:v>LONG</x:v>
      </x:c>
      <x:c r="I2101" s="71" t="n">
        <x:v>107.59</x:v>
      </x:c>
      <x:c r="J2101" s="76" t="str">
        <x:v>SIP</x:v>
      </x:c>
    </x:row>
    <x:row r="2102">
      <x:c r="A2102" s="50" t="str">
        <x:v>019fdde1-149f-7471-938d-a396de203a8a</x:v>
      </x:c>
      <x:c r="B2102" s="50" t="str">
        <x:v>SE</x:v>
      </x:c>
      <x:c r="C2102" s="70" t="n">
        <x:v>46241.8465677662</x:v>
      </x:c>
      <x:c r="D2102" s="50" t="str">
        <x:v>SWING_SETUP</x:v>
      </x:c>
      <x:c r="E2102" s="50" t="str">
        <x:v>SE SWING SETUP</x:v>
      </x:c>
      <x:c r="F2102" s="50" t="str">
        <x:v>WATCH</x:v>
      </x:c>
      <x:c r="G2102" s="50"/>
      <x:c r="H2102" s="50" t="str">
        <x:v>LONG</x:v>
      </x:c>
      <x:c r="I2102" s="71" t="n">
        <x:v>113.34</x:v>
      </x:c>
      <x:c r="J2102" s="76" t="str">
        <x:v>SIP</x:v>
      </x:c>
    </x:row>
    <x:row r="2103">
      <x:c r="A2103" s="50" t="str">
        <x:v>019fdde1-14c1-77e8-b540-6dc31737c6e7</x:v>
      </x:c>
      <x:c r="B2103" s="50" t="str">
        <x:v>SHW</x:v>
      </x:c>
      <x:c r="C2103" s="70" t="n">
        <x:v>46241.84656815972</x:v>
      </x:c>
      <x:c r="D2103" s="50" t="str">
        <x:v>SWING_SETUP</x:v>
      </x:c>
      <x:c r="E2103" s="50" t="str">
        <x:v>SHW SWING SETUP</x:v>
      </x:c>
      <x:c r="F2103" s="50" t="str">
        <x:v>WATCH</x:v>
      </x:c>
      <x:c r="G2103" s="50"/>
      <x:c r="H2103" s="50" t="str">
        <x:v>LONG</x:v>
      </x:c>
      <x:c r="I2103" s="71" t="n">
        <x:v>369.68</x:v>
      </x:c>
      <x:c r="J2103" s="76" t="str">
        <x:v>SIP</x:v>
      </x:c>
    </x:row>
    <x:row r="2104">
      <x:c r="A2104" s="50" t="str">
        <x:v>019fdde1-1614-7922-9527-27e4a5016640</x:v>
      </x:c>
      <x:c r="B2104" s="50" t="str">
        <x:v>RTX</x:v>
      </x:c>
      <x:c r="C2104" s="70" t="n">
        <x:v>46241.846572083334</x:v>
      </x:c>
      <x:c r="D2104" s="50" t="str">
        <x:v>SWING_SETUP</x:v>
      </x:c>
      <x:c r="E2104" s="50" t="str">
        <x:v>RTX SWING SETUP</x:v>
      </x:c>
      <x:c r="F2104" s="50" t="str">
        <x:v>WATCH</x:v>
      </x:c>
      <x:c r="G2104" s="50"/>
      <x:c r="H2104" s="50" t="str">
        <x:v>LONG</x:v>
      </x:c>
      <x:c r="I2104" s="71" t="n">
        <x:v>222.98</x:v>
      </x:c>
      <x:c r="J2104" s="76" t="str">
        <x:v>SIP</x:v>
      </x:c>
    </x:row>
    <x:row r="2105">
      <x:c r="A2105" s="50" t="str">
        <x:v>019fdde1-fdec-7a50-8594-773dc6a64c0e</x:v>
      </x:c>
      <x:c r="B2105" s="50" t="str">
        <x:v>BKNG</x:v>
      </x:c>
      <x:c r="C2105" s="70" t="n">
        <x:v>46241.847259027774</x:v>
      </x:c>
      <x:c r="D2105" s="50" t="str">
        <x:v>SWING_SETUP</x:v>
      </x:c>
      <x:c r="E2105" s="50" t="str">
        <x:v>BKNG SWING SETUP</x:v>
      </x:c>
      <x:c r="F2105" s="50" t="str">
        <x:v>WATCH</x:v>
      </x:c>
      <x:c r="G2105" s="50"/>
      <x:c r="H2105" s="50" t="str">
        <x:v>LONG</x:v>
      </x:c>
      <x:c r="I2105" s="71" t="n">
        <x:v>213.65</x:v>
      </x:c>
      <x:c r="J2105" s="76" t="str">
        <x:v>SIP</x:v>
      </x:c>
    </x:row>
    <x:row r="2106">
      <x:c r="A2106" s="50" t="str">
        <x:v>019fdde1-ff14-7372-bff2-ddbdbecf30a6</x:v>
      </x:c>
      <x:c r="B2106" s="50" t="str">
        <x:v>ABT</x:v>
      </x:c>
      <x:c r="C2106" s="70" t="n">
        <x:v>46241.8472624537</x:v>
      </x:c>
      <x:c r="D2106" s="50" t="str">
        <x:v>SWING_SETUP</x:v>
      </x:c>
      <x:c r="E2106" s="50" t="str">
        <x:v>ABT SWING SETUP</x:v>
      </x:c>
      <x:c r="F2106" s="50" t="str">
        <x:v>WATCH</x:v>
      </x:c>
      <x:c r="G2106" s="50"/>
      <x:c r="H2106" s="50" t="str">
        <x:v>LONG</x:v>
      </x:c>
      <x:c r="I2106" s="71" t="n">
        <x:v>107.81</x:v>
      </x:c>
      <x:c r="J2106" s="76" t="str">
        <x:v>SIP</x:v>
      </x:c>
    </x:row>
    <x:row r="2107">
      <x:c r="A2107" s="50" t="str">
        <x:v>019fdde2-e7f8-7cbe-8f7e-f01bc63d529e</x:v>
      </x:c>
      <x:c r="B2107" s="50" t="str">
        <x:v>BLK</x:v>
      </x:c>
      <x:c r="C2107" s="70" t="n">
        <x:v>46241.8479525</x:v>
      </x:c>
      <x:c r="D2107" s="50" t="str">
        <x:v>SWING_SETUP</x:v>
      </x:c>
      <x:c r="E2107" s="50" t="str">
        <x:v>BLK SWING SETUP</x:v>
      </x:c>
      <x:c r="F2107" s="50" t="str">
        <x:v>WATCH</x:v>
      </x:c>
      <x:c r="G2107" s="50"/>
      <x:c r="H2107" s="50" t="str">
        <x:v>LONG</x:v>
      </x:c>
      <x:c r="I2107" s="71" t="n">
        <x:v>1136.4</x:v>
      </x:c>
      <x:c r="J2107" s="76" t="str">
        <x:v>SIP</x:v>
      </x:c>
    </x:row>
    <x:row r="2108">
      <x:c r="A2108" s="50" t="str">
        <x:v>019fdde2-e877-7094-965c-c85218ce6039</x:v>
      </x:c>
      <x:c r="B2108" s="50" t="str">
        <x:v>WFC</x:v>
      </x:c>
      <x:c r="C2108" s="70" t="n">
        <x:v>46241.84795396991</x:v>
      </x:c>
      <x:c r="D2108" s="50" t="str">
        <x:v>SWING_SETUP</x:v>
      </x:c>
      <x:c r="E2108" s="50" t="str">
        <x:v>WFC SWING SETUP</x:v>
      </x:c>
      <x:c r="F2108" s="50" t="str">
        <x:v>WATCH</x:v>
      </x:c>
      <x:c r="G2108" s="50"/>
      <x:c r="H2108" s="50" t="str">
        <x:v>LONG</x:v>
      </x:c>
      <x:c r="I2108" s="71" t="n">
        <x:v>87.235</x:v>
      </x:c>
      <x:c r="J2108" s="76" t="str">
        <x:v>SIP</x:v>
      </x:c>
    </x:row>
    <x:row r="2109">
      <x:c r="A2109" s="50" t="str">
        <x:v>019fdde2-e8e8-751d-9a0b-ec905b4233bc</x:v>
      </x:c>
      <x:c r="B2109" s="50" t="str">
        <x:v>BABA</x:v>
      </x:c>
      <x:c r="C2109" s="70" t="n">
        <x:v>46241.84795527778</x:v>
      </x:c>
      <x:c r="D2109" s="50" t="str">
        <x:v>SWING_SETUP</x:v>
      </x:c>
      <x:c r="E2109" s="50" t="str">
        <x:v>BABA SWING SETUP</x:v>
      </x:c>
      <x:c r="F2109" s="50" t="str">
        <x:v>WATCH</x:v>
      </x:c>
      <x:c r="G2109" s="50"/>
      <x:c r="H2109" s="50" t="str">
        <x:v>LONG</x:v>
      </x:c>
      <x:c r="I2109" s="71" t="n">
        <x:v>128.25</x:v>
      </x:c>
      <x:c r="J2109" s="76" t="str">
        <x:v>SIP</x:v>
      </x:c>
    </x:row>
    <x:row r="2110">
      <x:c r="A2110" s="50" t="str">
        <x:v>019fdde2-e912-75db-8bf3-cb1da50449a7</x:v>
      </x:c>
      <x:c r="B2110" s="50" t="str">
        <x:v>BLFS</x:v>
      </x:c>
      <x:c r="C2110" s="70" t="n">
        <x:v>46241.847955763886</x:v>
      </x:c>
      <x:c r="D2110" s="50" t="str">
        <x:v>SWING_SETUP</x:v>
      </x:c>
      <x:c r="E2110" s="50" t="str">
        <x:v>BLFS SWING SETUP</x:v>
      </x:c>
      <x:c r="F2110" s="50" t="str">
        <x:v>WATCH</x:v>
      </x:c>
      <x:c r="G2110" s="50"/>
      <x:c r="H2110" s="50" t="str">
        <x:v>LONG</x:v>
      </x:c>
      <x:c r="I2110" s="71" t="n">
        <x:v>34.645</x:v>
      </x:c>
      <x:c r="J2110" s="76" t="str">
        <x:v>SIP</x:v>
      </x:c>
    </x:row>
    <x:row r="2111">
      <x:c r="A2111" s="50" t="str">
        <x:v>019fdde2-e971-7e29-b8aa-c5ef1b3d307d</x:v>
      </x:c>
      <x:c r="B2111" s="50" t="str">
        <x:v>TMO</x:v>
      </x:c>
      <x:c r="C2111" s="70" t="n">
        <x:v>46241.84795686343</x:v>
      </x:c>
      <x:c r="D2111" s="50" t="str">
        <x:v>SWING_SETUP</x:v>
      </x:c>
      <x:c r="E2111" s="50" t="str">
        <x:v>TMO SWING SETUP</x:v>
      </x:c>
      <x:c r="F2111" s="50" t="str">
        <x:v>WATCH</x:v>
      </x:c>
      <x:c r="G2111" s="50"/>
      <x:c r="H2111" s="50" t="str">
        <x:v>LONG</x:v>
      </x:c>
      <x:c r="I2111" s="71" t="n">
        <x:v>593.8799</x:v>
      </x:c>
      <x:c r="J2111" s="76" t="str">
        <x:v>SIP</x:v>
      </x:c>
    </x:row>
    <x:row r="2112">
      <x:c r="A2112" s="50" t="str">
        <x:v>019fdde2-e9c1-752f-b2bf-37bb5111785a</x:v>
      </x:c>
      <x:c r="B2112" s="50" t="str">
        <x:v>TGT</x:v>
      </x:c>
      <x:c r="C2112" s="70" t="n">
        <x:v>46241.84795778935</x:v>
      </x:c>
      <x:c r="D2112" s="50" t="str">
        <x:v>SWING_SETUP</x:v>
      </x:c>
      <x:c r="E2112" s="50" t="str">
        <x:v>TGT SWING SETUP</x:v>
      </x:c>
      <x:c r="F2112" s="50" t="str">
        <x:v>WATCH</x:v>
      </x:c>
      <x:c r="G2112" s="50"/>
      <x:c r="H2112" s="50" t="str">
        <x:v>LONG</x:v>
      </x:c>
      <x:c r="I2112" s="71" t="n">
        <x:v>149.675</x:v>
      </x:c>
      <x:c r="J2112" s="76" t="str">
        <x:v>SIP</x:v>
      </x:c>
    </x:row>
    <x:row r="2113">
      <x:c r="A2113" s="50" t="str">
        <x:v>019fdde2-ea06-77e4-bf88-35d171a6edaf</x:v>
      </x:c>
      <x:c r="B2113" s="50" t="str">
        <x:v>TEM</x:v>
      </x:c>
      <x:c r="C2113" s="70" t="n">
        <x:v>46241.84795858796</x:v>
      </x:c>
      <x:c r="D2113" s="50" t="str">
        <x:v>SWING_SETUP</x:v>
      </x:c>
      <x:c r="E2113" s="50" t="str">
        <x:v>TEM SWING SETUP</x:v>
      </x:c>
      <x:c r="F2113" s="50" t="str">
        <x:v>WATCH</x:v>
      </x:c>
      <x:c r="G2113" s="50"/>
      <x:c r="H2113" s="50" t="str">
        <x:v>LONG</x:v>
      </x:c>
      <x:c r="I2113" s="71" t="n">
        <x:v>52.05</x:v>
      </x:c>
      <x:c r="J2113" s="76" t="str">
        <x:v>SIP</x:v>
      </x:c>
    </x:row>
    <x:row r="2114">
      <x:c r="A2114" s="50" t="str">
        <x:v>019fdde2-ea78-7d5c-ac1b-e01c1252478e</x:v>
      </x:c>
      <x:c r="B2114" s="50" t="str">
        <x:v>CROX</x:v>
      </x:c>
      <x:c r="C2114" s="70" t="n">
        <x:v>46241.847959907405</x:v>
      </x:c>
      <x:c r="D2114" s="50" t="str">
        <x:v>SWING_SETUP</x:v>
      </x:c>
      <x:c r="E2114" s="50" t="str">
        <x:v>CROX SWING SETUP</x:v>
      </x:c>
      <x:c r="F2114" s="50" t="str">
        <x:v>WATCH</x:v>
      </x:c>
      <x:c r="G2114" s="50"/>
      <x:c r="H2114" s="50" t="str">
        <x:v>LONG</x:v>
      </x:c>
      <x:c r="I2114" s="71" t="n">
        <x:v>136.56</x:v>
      </x:c>
      <x:c r="J2114" s="76" t="str">
        <x:v>SIP</x:v>
      </x:c>
    </x:row>
    <x:row r="2115">
      <x:c r="A2115" s="50" t="str">
        <x:v>019fdde2-eb9b-722b-8174-a0fea919f419</x:v>
      </x:c>
      <x:c r="B2115" s="50" t="str">
        <x:v>DE</x:v>
      </x:c>
      <x:c r="C2115" s="70" t="n">
        <x:v>46241.84796327546</x:v>
      </x:c>
      <x:c r="D2115" s="50" t="str">
        <x:v>SWING_SETUP</x:v>
      </x:c>
      <x:c r="E2115" s="50" t="str">
        <x:v>DE SWING SETUP</x:v>
      </x:c>
      <x:c r="F2115" s="50" t="str">
        <x:v>WATCH</x:v>
      </x:c>
      <x:c r="G2115" s="50"/>
      <x:c r="H2115" s="50" t="str">
        <x:v>LONG</x:v>
      </x:c>
      <x:c r="I2115" s="71" t="n">
        <x:v>620.77</x:v>
      </x:c>
      <x:c r="J2115" s="76" t="str">
        <x:v>SIP</x:v>
      </x:c>
    </x:row>
    <x:row r="2116">
      <x:c r="A2116" s="50" t="str">
        <x:v>019fdde3-d2fd-7b37-8e07-183fe383523a</x:v>
      </x:c>
      <x:c r="B2116" s="50" t="str">
        <x:v>AMGN</x:v>
      </x:c>
      <x:c r="C2116" s="70" t="n">
        <x:v>46241.84864885417</x:v>
      </x:c>
      <x:c r="D2116" s="50" t="str">
        <x:v>SWING_SETUP</x:v>
      </x:c>
      <x:c r="E2116" s="50" t="str">
        <x:v>AMGN SWING SETUP</x:v>
      </x:c>
      <x:c r="F2116" s="50" t="str">
        <x:v>WATCH</x:v>
      </x:c>
      <x:c r="G2116" s="50"/>
      <x:c r="H2116" s="50" t="str">
        <x:v>LONG</x:v>
      </x:c>
      <x:c r="I2116" s="71" t="n">
        <x:v>410.89</x:v>
      </x:c>
      <x:c r="J2116" s="76" t="str">
        <x:v>SIP</x:v>
      </x:c>
    </x:row>
    <x:row r="2117">
      <x:c r="A2117" s="50" t="str">
        <x:v>019fdde4-bed1-73f8-a2ff-85fb3a4eeb0f</x:v>
      </x:c>
      <x:c r="B2117" s="50" t="str">
        <x:v>NXE</x:v>
      </x:c>
      <x:c r="C2117" s="70" t="n">
        <x:v>46241.84934760417</x:v>
      </x:c>
      <x:c r="D2117" s="50" t="str">
        <x:v>SWING_SETUP</x:v>
      </x:c>
      <x:c r="E2117" s="50" t="str">
        <x:v>NXE SWING SETUP</x:v>
      </x:c>
      <x:c r="F2117" s="50" t="str">
        <x:v>WATCH</x:v>
      </x:c>
      <x:c r="G2117" s="50"/>
      <x:c r="H2117" s="50" t="str">
        <x:v>LONG</x:v>
      </x:c>
      <x:c r="I2117" s="71" t="n">
        <x:v>10.43</x:v>
      </x:c>
      <x:c r="J2117" s="76" t="str">
        <x:v>SIP</x:v>
      </x:c>
    </x:row>
    <x:row r="2118">
      <x:c r="A2118" s="50" t="str">
        <x:v>019fdde5-a5be-71f7-be2f-1a4e56a53323</x:v>
      </x:c>
      <x:c r="B2118" s="50" t="str">
        <x:v>ABNB</x:v>
      </x:c>
      <x:c r="C2118" s="70" t="n">
        <x:v>46241.850031828704</x:v>
      </x:c>
      <x:c r="D2118" s="50" t="str">
        <x:v>SWING_SETUP</x:v>
      </x:c>
      <x:c r="E2118" s="50" t="str">
        <x:v>ABNB SWING SETUP</x:v>
      </x:c>
      <x:c r="F2118" s="50" t="str">
        <x:v>WATCH</x:v>
      </x:c>
      <x:c r="G2118" s="50"/>
      <x:c r="H2118" s="50" t="str">
        <x:v>LONG</x:v>
      </x:c>
      <x:c r="I2118" s="71" t="n">
        <x:v>177.54</x:v>
      </x:c>
      <x:c r="J2118" s="76" t="str">
        <x:v>SIP</x:v>
      </x:c>
    </x:row>
    <x:row r="2119">
      <x:c r="A2119" s="50" t="str">
        <x:v>019fdde5-a7e1-77e6-b03e-b65c4805e475</x:v>
      </x:c>
      <x:c r="B2119" s="50" t="str">
        <x:v>SNOW</x:v>
      </x:c>
      <x:c r="C2119" s="70" t="n">
        <x:v>46241.85003815972</x:v>
      </x:c>
      <x:c r="D2119" s="50" t="str">
        <x:v>SWING_SETUP</x:v>
      </x:c>
      <x:c r="E2119" s="50" t="str">
        <x:v>SNOW SWING SETUP</x:v>
      </x:c>
      <x:c r="F2119" s="50" t="str">
        <x:v>WATCH</x:v>
      </x:c>
      <x:c r="G2119" s="50"/>
      <x:c r="H2119" s="50" t="str">
        <x:v>LONG</x:v>
      </x:c>
      <x:c r="I2119" s="71" t="n">
        <x:v>330.1</x:v>
      </x:c>
      <x:c r="J2119" s="76" t="str">
        <x:v>SIP</x:v>
      </x:c>
    </x:row>
    <x:row r="2120">
      <x:c r="A2120" s="50" t="str">
        <x:v>019fdde6-9235-761f-bb38-2b8dde5849bf</x:v>
      </x:c>
      <x:c r="B2120" s="50" t="str">
        <x:v>KDP</x:v>
      </x:c>
      <x:c r="C2120" s="70" t="n">
        <x:v>46241.850732465275</x:v>
      </x:c>
      <x:c r="D2120" s="50" t="str">
        <x:v>LONG_BUY_ZONE</x:v>
      </x:c>
      <x:c r="E2120" s="50" t="str">
        <x:v>KDP LONG BUY ZONE</x:v>
      </x:c>
      <x:c r="F2120" s="50" t="str">
        <x:v>WATCH</x:v>
      </x:c>
      <x:c r="G2120" s="50"/>
      <x:c r="H2120" s="50" t="str">
        <x:v>LONG</x:v>
      </x:c>
      <x:c r="I2120" s="71" t="n">
        <x:v>30.01</x:v>
      </x:c>
      <x:c r="J2120" s="76" t="str">
        <x:v>SIP</x:v>
      </x:c>
    </x:row>
    <x:row r="2121">
      <x:c r="A2121" s="50" t="str">
        <x:v>019fdde6-925f-7e32-a632-ef17624fb2b0</x:v>
      </x:c>
      <x:c r="B2121" s="50" t="str">
        <x:v>RDW</x:v>
      </x:c>
      <x:c r="C2121" s="70" t="n">
        <x:v>46241.85073295139</x:v>
      </x:c>
      <x:c r="D2121" s="50" t="str">
        <x:v>SWING_SETUP</x:v>
      </x:c>
      <x:c r="E2121" s="50" t="str">
        <x:v>RDW SWING SETUP</x:v>
      </x:c>
      <x:c r="F2121" s="50" t="str">
        <x:v>WATCH</x:v>
      </x:c>
      <x:c r="G2121" s="50"/>
      <x:c r="H2121" s="50" t="str">
        <x:v>LONG</x:v>
      </x:c>
      <x:c r="I2121" s="71" t="n">
        <x:v>13.52</x:v>
      </x:c>
      <x:c r="J2121" s="76" t="str">
        <x:v>SIP</x:v>
      </x:c>
    </x:row>
    <x:row r="2122">
      <x:c r="A2122" s="50" t="str">
        <x:v>019fdde6-92ca-70d7-8b9d-67f1532ea5ff</x:v>
      </x:c>
      <x:c r="B2122" s="50" t="str">
        <x:v>AMZN</x:v>
      </x:c>
      <x:c r="C2122" s="70" t="n">
        <x:v>46241.850734189815</x:v>
      </x:c>
      <x:c r="D2122" s="50" t="str">
        <x:v>SWING_SETUP</x:v>
      </x:c>
      <x:c r="E2122" s="50" t="str">
        <x:v>AMZN SWING SETUP</x:v>
      </x:c>
      <x:c r="F2122" s="50" t="str">
        <x:v>WATCH</x:v>
      </x:c>
      <x:c r="G2122" s="50"/>
      <x:c r="H2122" s="50" t="str">
        <x:v>LONG</x:v>
      </x:c>
      <x:c r="I2122" s="71" t="n">
        <x:v>274.22</x:v>
      </x:c>
      <x:c r="J2122" s="76" t="str">
        <x:v>SIP</x:v>
      </x:c>
    </x:row>
    <x:row r="2123">
      <x:c r="A2123" s="50" t="str">
        <x:v>019fdde6-9338-7ca0-8757-02dfa25193be</x:v>
      </x:c>
      <x:c r="B2123" s="50" t="str">
        <x:v>MRK</x:v>
      </x:c>
      <x:c r="C2123" s="70" t="n">
        <x:v>46241.85073546296</x:v>
      </x:c>
      <x:c r="D2123" s="50" t="str">
        <x:v>SWING_SETUP</x:v>
      </x:c>
      <x:c r="E2123" s="50" t="str">
        <x:v>MRK SWING SETUP</x:v>
      </x:c>
      <x:c r="F2123" s="50" t="str">
        <x:v>WATCH</x:v>
      </x:c>
      <x:c r="G2123" s="50"/>
      <x:c r="H2123" s="50" t="str">
        <x:v>LONG</x:v>
      </x:c>
      <x:c r="I2123" s="71" t="n">
        <x:v>128.57</x:v>
      </x:c>
      <x:c r="J2123" s="76" t="str">
        <x:v>SIP</x:v>
      </x:c>
    </x:row>
    <x:row r="2124">
      <x:c r="A2124" s="50" t="str">
        <x:v>019fdde7-7c6c-7959-b99f-51f36f7b609a</x:v>
      </x:c>
      <x:c r="B2124" s="50" t="str">
        <x:v>VZ</x:v>
      </x:c>
      <x:c r="C2124" s="70" t="n">
        <x:v>46241.85142643518</x:v>
      </x:c>
      <x:c r="D2124" s="50" t="str">
        <x:v>LONG_BUY_ZONE</x:v>
      </x:c>
      <x:c r="E2124" s="50" t="str">
        <x:v>VZ LONG BUY ZONE</x:v>
      </x:c>
      <x:c r="F2124" s="50" t="str">
        <x:v>WATCH</x:v>
      </x:c>
      <x:c r="G2124" s="50"/>
      <x:c r="H2124" s="50" t="str">
        <x:v>LONG</x:v>
      </x:c>
      <x:c r="I2124" s="71" t="n">
        <x:v>46.9793</x:v>
      </x:c>
      <x:c r="J2124" s="76" t="str">
        <x:v>SIP</x:v>
      </x:c>
    </x:row>
    <x:row r="2125">
      <x:c r="A2125" s="50" t="str">
        <x:v>019fdde7-7d91-7196-8813-901c1ff090dc</x:v>
      </x:c>
      <x:c r="B2125" s="50" t="str">
        <x:v>NOC</x:v>
      </x:c>
      <x:c r="C2125" s="70" t="n">
        <x:v>46241.85142982639</x:v>
      </x:c>
      <x:c r="D2125" s="50" t="str">
        <x:v>SWING_SETUP</x:v>
      </x:c>
      <x:c r="E2125" s="50" t="str">
        <x:v>NOC SWING SETUP</x:v>
      </x:c>
      <x:c r="F2125" s="50" t="str">
        <x:v>WATCH</x:v>
      </x:c>
      <x:c r="G2125" s="50"/>
      <x:c r="H2125" s="50" t="str">
        <x:v>LONG</x:v>
      </x:c>
      <x:c r="I2125" s="71" t="n">
        <x:v>571.58</x:v>
      </x:c>
      <x:c r="J2125" s="76" t="str">
        <x:v>SIP</x:v>
      </x:c>
    </x:row>
    <x:row r="2126">
      <x:c r="A2126" s="50" t="str">
        <x:v>019fdde8-6935-7e80-a22b-b47fe04e4cef</x:v>
      </x:c>
      <x:c r="B2126" s="50" t="str">
        <x:v>VZ</x:v>
      </x:c>
      <x:c r="C2126" s="70" t="n">
        <x:v>46241.85212802083</x:v>
      </x:c>
      <x:c r="D2126" s="50" t="str">
        <x:v>SWING_SETUP</x:v>
      </x:c>
      <x:c r="E2126" s="50" t="str">
        <x:v>VZ SWING SETUP</x:v>
      </x:c>
      <x:c r="F2126" s="50" t="str">
        <x:v>WATCH</x:v>
      </x:c>
      <x:c r="G2126" s="50"/>
      <x:c r="H2126" s="50" t="str">
        <x:v>LONG</x:v>
      </x:c>
      <x:c r="I2126" s="71" t="n">
        <x:v>46.9839</x:v>
      </x:c>
      <x:c r="J2126" s="76" t="str">
        <x:v>SIP</x:v>
      </x:c>
    </x:row>
    <x:row r="2127">
      <x:c r="A2127" s="50" t="str">
        <x:v>019fdde8-6949-7712-b432-63fdfea1446a</x:v>
      </x:c>
      <x:c r="B2127" s="50" t="str">
        <x:v>OXY</x:v>
      </x:c>
      <x:c r="C2127" s="70" t="n">
        <x:v>46241.852128252314</x:v>
      </x:c>
      <x:c r="D2127" s="50" t="str">
        <x:v>SWING_SETUP</x:v>
      </x:c>
      <x:c r="E2127" s="50" t="str">
        <x:v>OXY SWING SETUP</x:v>
      </x:c>
      <x:c r="F2127" s="50" t="str">
        <x:v>WATCH</x:v>
      </x:c>
      <x:c r="G2127" s="50"/>
      <x:c r="H2127" s="50" t="str">
        <x:v>LONG</x:v>
      </x:c>
      <x:c r="I2127" s="71" t="n">
        <x:v>56.03</x:v>
      </x:c>
      <x:c r="J2127" s="76" t="str">
        <x:v>SIP</x:v>
      </x:c>
    </x:row>
    <x:row r="2128">
      <x:c r="A2128" s="50" t="str">
        <x:v>019fdde9-5174-73db-a02e-1abd8a35f058</x:v>
      </x:c>
      <x:c r="B2128" s="50" t="str">
        <x:v>UNP</x:v>
      </x:c>
      <x:c r="C2128" s="70" t="n">
        <x:v>46241.85281615741</x:v>
      </x:c>
      <x:c r="D2128" s="50" t="str">
        <x:v>SWING_SETUP</x:v>
      </x:c>
      <x:c r="E2128" s="50" t="str">
        <x:v>UNP SWING SETUP</x:v>
      </x:c>
      <x:c r="F2128" s="50" t="str">
        <x:v>WATCH</x:v>
      </x:c>
      <x:c r="G2128" s="50"/>
      <x:c r="H2128" s="50" t="str">
        <x:v>LONG</x:v>
      </x:c>
      <x:c r="I2128" s="71" t="n">
        <x:v>293.07</x:v>
      </x:c>
      <x:c r="J2128" s="76" t="str">
        <x:v>SIP</x:v>
      </x:c>
    </x:row>
    <x:row r="2129">
      <x:c r="A2129" s="50" t="str">
        <x:v>019fddea-39ef-7e69-a6c1-c56c0532d316</x:v>
      </x:c>
      <x:c r="B2129" s="50" t="str">
        <x:v>HRL</x:v>
      </x:c>
      <x:c r="C2129" s="70" t="n">
        <x:v>46241.85350498842</x:v>
      </x:c>
      <x:c r="D2129" s="50" t="str">
        <x:v>LONG_BUY_ZONE</x:v>
      </x:c>
      <x:c r="E2129" s="50" t="str">
        <x:v>HRL LONG BUY ZONE</x:v>
      </x:c>
      <x:c r="F2129" s="50" t="str">
        <x:v>WATCH</x:v>
      </x:c>
      <x:c r="G2129" s="50"/>
      <x:c r="H2129" s="50" t="str">
        <x:v>LONG</x:v>
      </x:c>
      <x:c r="I2129" s="71" t="n">
        <x:v>25.02</x:v>
      </x:c>
      <x:c r="J2129" s="76" t="str">
        <x:v>SIP</x:v>
      </x:c>
    </x:row>
    <x:row r="2130">
      <x:c r="A2130" s="50" t="str">
        <x:v>019fddea-3a7e-7b98-8adf-ac4888b797b2</x:v>
      </x:c>
      <x:c r="B2130" s="50" t="str">
        <x:v>INTU</x:v>
      </x:c>
      <x:c r="C2130" s="70" t="n">
        <x:v>46241.85350664352</x:v>
      </x:c>
      <x:c r="D2130" s="50" t="str">
        <x:v>SWING_SETUP</x:v>
      </x:c>
      <x:c r="E2130" s="50" t="str">
        <x:v>INTU SWING SETUP</x:v>
      </x:c>
      <x:c r="F2130" s="50" t="str">
        <x:v>WATCH</x:v>
      </x:c>
      <x:c r="G2130" s="50"/>
      <x:c r="H2130" s="50" t="str">
        <x:v>LONG</x:v>
      </x:c>
      <x:c r="I2130" s="71" t="n">
        <x:v>325.25</x:v>
      </x:c>
      <x:c r="J2130" s="76" t="str">
        <x:v>SIP</x:v>
      </x:c>
    </x:row>
    <x:row r="2131">
      <x:c r="A2131" s="50" t="str">
        <x:v>019fddea-3b16-7a88-8595-f55208556e90</x:v>
      </x:c>
      <x:c r="B2131" s="50" t="str">
        <x:v>COP</x:v>
      </x:c>
      <x:c r="C2131" s="70" t="n">
        <x:v>46241.85350839121</x:v>
      </x:c>
      <x:c r="D2131" s="50" t="str">
        <x:v>SWING_SETUP</x:v>
      </x:c>
      <x:c r="E2131" s="50" t="str">
        <x:v>COP SWING SETUP</x:v>
      </x:c>
      <x:c r="F2131" s="50" t="str">
        <x:v>WATCH</x:v>
      </x:c>
      <x:c r="G2131" s="50"/>
      <x:c r="H2131" s="50" t="str">
        <x:v>LONG</x:v>
      </x:c>
      <x:c r="I2131" s="71" t="n">
        <x:v>117.61</x:v>
      </x:c>
      <x:c r="J2131" s="76" t="str">
        <x:v>SIP</x:v>
      </x:c>
    </x:row>
    <x:row r="2132">
      <x:c r="A2132" s="50" t="str">
        <x:v>019fddea-3c9b-7d1b-8dd0-55956593dd86</x:v>
      </x:c>
      <x:c r="B2132" s="50" t="str">
        <x:v>PLTR</x:v>
      </x:c>
      <x:c r="C2132" s="70" t="n">
        <x:v>46241.853512905094</x:v>
      </x:c>
      <x:c r="D2132" s="50" t="str">
        <x:v>SWING_SETUP</x:v>
      </x:c>
      <x:c r="E2132" s="50" t="str">
        <x:v>PLTR SWING SETUP</x:v>
      </x:c>
      <x:c r="F2132" s="50" t="str">
        <x:v>WATCH</x:v>
      </x:c>
      <x:c r="G2132" s="50"/>
      <x:c r="H2132" s="50" t="str">
        <x:v>LONG</x:v>
      </x:c>
      <x:c r="I2132" s="71" t="n">
        <x:v>171.7597</x:v>
      </x:c>
      <x:c r="J2132" s="76" t="str">
        <x:v>SIP</x:v>
      </x:c>
    </x:row>
    <x:row r="2133">
      <x:c r="A2133" s="50" t="str">
        <x:v>019fddeb-254f-7606-9b5c-0a938be45e15</x:v>
      </x:c>
      <x:c r="B2133" s="50" t="str">
        <x:v>SBUX</x:v>
      </x:c>
      <x:c r="C2133" s="70" t="n">
        <x:v>46241.854202395836</x:v>
      </x:c>
      <x:c r="D2133" s="50" t="str">
        <x:v>SWING_SETUP</x:v>
      </x:c>
      <x:c r="E2133" s="50" t="str">
        <x:v>SBUX SWING SETUP</x:v>
      </x:c>
      <x:c r="F2133" s="50" t="str">
        <x:v>WATCH</x:v>
      </x:c>
      <x:c r="G2133" s="50"/>
      <x:c r="H2133" s="50" t="str">
        <x:v>LONG</x:v>
      </x:c>
      <x:c r="I2133" s="71" t="n">
        <x:v>105.6</x:v>
      </x:c>
      <x:c r="J2133" s="76" t="str">
        <x:v>SIP</x:v>
      </x:c>
    </x:row>
    <x:row r="2134">
      <x:c r="A2134" s="50" t="str">
        <x:v>019fddeb-26ba-73fe-9140-84fa370ce566</x:v>
      </x:c>
      <x:c r="B2134" s="50" t="str">
        <x:v>BMY</x:v>
      </x:c>
      <x:c r="C2134" s="70" t="n">
        <x:v>46241.85420659722</x:v>
      </x:c>
      <x:c r="D2134" s="50" t="str">
        <x:v>SWING_SETUP</x:v>
      </x:c>
      <x:c r="E2134" s="50" t="str">
        <x:v>BMY SWING SETUP</x:v>
      </x:c>
      <x:c r="F2134" s="50" t="str">
        <x:v>WATCH</x:v>
      </x:c>
      <x:c r="G2134" s="50"/>
      <x:c r="H2134" s="50" t="str">
        <x:v>LONG</x:v>
      </x:c>
      <x:c r="I2134" s="71" t="n">
        <x:v>64.71</x:v>
      </x:c>
      <x:c r="J2134" s="76" t="str">
        <x:v>SIP</x:v>
      </x:c>
    </x:row>
    <x:row r="2135">
      <x:c r="A2135" s="50" t="str">
        <x:v>019fddec-0edc-7f4c-a7c1-524c24d19c6b</x:v>
      </x:c>
      <x:c r="B2135" s="50" t="str">
        <x:v>APA</x:v>
      </x:c>
      <x:c r="C2135" s="70" t="n">
        <x:v>46241.85489439815</x:v>
      </x:c>
      <x:c r="D2135" s="50" t="str">
        <x:v>SWING_SETUP</x:v>
      </x:c>
      <x:c r="E2135" s="50" t="str">
        <x:v>APA SWING SETUP</x:v>
      </x:c>
      <x:c r="F2135" s="50" t="str">
        <x:v>WATCH</x:v>
      </x:c>
      <x:c r="G2135" s="50"/>
      <x:c r="H2135" s="50" t="str">
        <x:v>LONG</x:v>
      </x:c>
      <x:c r="I2135" s="71" t="n">
        <x:v>37.635</x:v>
      </x:c>
      <x:c r="J2135" s="76" t="str">
        <x:v>SIP</x:v>
      </x:c>
    </x:row>
    <x:row r="2136">
      <x:c r="A2136" s="50" t="str">
        <x:v>019fddec-0f2e-70d0-81ad-7d7b1cdc7a83</x:v>
      </x:c>
      <x:c r="B2136" s="50" t="str">
        <x:v>WELL</x:v>
      </x:c>
      <x:c r="C2136" s="70" t="n">
        <x:v>46241.85489534722</x:v>
      </x:c>
      <x:c r="D2136" s="50" t="str">
        <x:v>SWING_SETUP</x:v>
      </x:c>
      <x:c r="E2136" s="50" t="str">
        <x:v>WELL SWING SETUP</x:v>
      </x:c>
      <x:c r="F2136" s="50" t="str">
        <x:v>WATCH</x:v>
      </x:c>
      <x:c r="G2136" s="50"/>
      <x:c r="H2136" s="50" t="str">
        <x:v>LONG</x:v>
      </x:c>
      <x:c r="I2136" s="71" t="n">
        <x:v>236.92</x:v>
      </x:c>
      <x:c r="J2136" s="76" t="str">
        <x:v>SIP</x:v>
      </x:c>
    </x:row>
    <x:row r="2137">
      <x:c r="A2137" s="50" t="str">
        <x:v>019fddec-107a-7572-9da8-38eda80b66d9</x:v>
      </x:c>
      <x:c r="B2137" s="50" t="str">
        <x:v>ANET</x:v>
      </x:c>
      <x:c r="C2137" s="70" t="n">
        <x:v>46241.85489918981</x:v>
      </x:c>
      <x:c r="D2137" s="50" t="str">
        <x:v>SWING_SETUP</x:v>
      </x:c>
      <x:c r="E2137" s="50" t="str">
        <x:v>ANET SWING SETUP</x:v>
      </x:c>
      <x:c r="F2137" s="50" t="str">
        <x:v>WATCH</x:v>
      </x:c>
      <x:c r="G2137" s="50"/>
      <x:c r="H2137" s="50" t="str">
        <x:v>LONG</x:v>
      </x:c>
      <x:c r="I2137" s="71" t="n">
        <x:v>189.5</x:v>
      </x:c>
      <x:c r="J2137" s="76" t="str">
        <x:v>SIP</x:v>
      </x:c>
    </x:row>
    <x:row r="2138">
      <x:c r="A2138" s="50" t="str">
        <x:v>019fddec-10bb-7fd8-bf34-1ee854c3c441</x:v>
      </x:c>
      <x:c r="B2138" s="50" t="str">
        <x:v>ACHV</x:v>
      </x:c>
      <x:c r="C2138" s="70" t="n">
        <x:v>46241.85489994213</x:v>
      </x:c>
      <x:c r="D2138" s="50" t="str">
        <x:v>SWING_SETUP</x:v>
      </x:c>
      <x:c r="E2138" s="50" t="str">
        <x:v>ACHV SWING SETUP</x:v>
      </x:c>
      <x:c r="F2138" s="50" t="str">
        <x:v>WATCH</x:v>
      </x:c>
      <x:c r="G2138" s="50"/>
      <x:c r="H2138" s="50" t="str">
        <x:v>LONG</x:v>
      </x:c>
      <x:c r="I2138" s="71" t="n">
        <x:v>6.65</x:v>
      </x:c>
      <x:c r="J2138" s="76" t="str">
        <x:v>SIP</x:v>
      </x:c>
    </x:row>
    <x:row r="2139">
      <x:c r="A2139" s="50" t="str">
        <x:v>019fddec-10d2-788c-912b-b2a8080bd948</x:v>
      </x:c>
      <x:c r="B2139" s="50" t="str">
        <x:v>MDLZ</x:v>
      </x:c>
      <x:c r="C2139" s="70" t="n">
        <x:v>46241.85490020833</x:v>
      </x:c>
      <x:c r="D2139" s="50" t="str">
        <x:v>SWING_SETUP</x:v>
      </x:c>
      <x:c r="E2139" s="50" t="str">
        <x:v>MDLZ SWING SETUP</x:v>
      </x:c>
      <x:c r="F2139" s="50" t="str">
        <x:v>WATCH</x:v>
      </x:c>
      <x:c r="G2139" s="50"/>
      <x:c r="H2139" s="50" t="str">
        <x:v>LONG</x:v>
      </x:c>
      <x:c r="I2139" s="71" t="n">
        <x:v>62.6</x:v>
      </x:c>
      <x:c r="J2139" s="76" t="str">
        <x:v>SIP</x:v>
      </x:c>
    </x:row>
    <x:row r="2140">
      <x:c r="A2140" s="50" t="str">
        <x:v>019fddec-f97a-7a61-8252-c52b584d2805</x:v>
      </x:c>
      <x:c r="B2140" s="50" t="str">
        <x:v>PYPL</x:v>
      </x:c>
      <x:c r="C2140" s="70" t="n">
        <x:v>46241.85558956018</x:v>
      </x:c>
      <x:c r="D2140" s="50" t="str">
        <x:v>SWING_SETUP</x:v>
      </x:c>
      <x:c r="E2140" s="50" t="str">
        <x:v>PYPL SWING SETUP</x:v>
      </x:c>
      <x:c r="F2140" s="50" t="str">
        <x:v>WATCH</x:v>
      </x:c>
      <x:c r="G2140" s="50"/>
      <x:c r="H2140" s="50" t="str">
        <x:v>LONG</x:v>
      </x:c>
      <x:c r="I2140" s="71" t="n">
        <x:v>59.095</x:v>
      </x:c>
      <x:c r="J2140" s="76" t="str">
        <x:v>SIP</x:v>
      </x:c>
    </x:row>
    <x:row r="2141">
      <x:c r="A2141" s="50" t="str">
        <x:v>019fddec-fa2b-7efc-837f-a7761b022b74</x:v>
      </x:c>
      <x:c r="B2141" s="50" t="str">
        <x:v>BAC</x:v>
      </x:c>
      <x:c r="C2141" s="70" t="n">
        <x:v>46241.855591597225</x:v>
      </x:c>
      <x:c r="D2141" s="50" t="str">
        <x:v>SWING_SETUP</x:v>
      </x:c>
      <x:c r="E2141" s="50" t="str">
        <x:v>BAC SWING SETUP</x:v>
      </x:c>
      <x:c r="F2141" s="50" t="str">
        <x:v>WATCH</x:v>
      </x:c>
      <x:c r="G2141" s="50"/>
      <x:c r="H2141" s="50" t="str">
        <x:v>LONG</x:v>
      </x:c>
      <x:c r="I2141" s="71" t="n">
        <x:v>63.19</x:v>
      </x:c>
      <x:c r="J2141" s="76" t="str">
        <x:v>SIP</x:v>
      </x:c>
    </x:row>
    <x:row r="2142">
      <x:c r="A2142" s="50" t="str">
        <x:v>019fddec-fae9-7bec-a582-45c2a2875caa</x:v>
      </x:c>
      <x:c r="B2142" s="50" t="str">
        <x:v>LMT</x:v>
      </x:c>
      <x:c r="C2142" s="70" t="n">
        <x:v>46241.85559380787</x:v>
      </x:c>
      <x:c r="D2142" s="50" t="str">
        <x:v>SWING_SETUP</x:v>
      </x:c>
      <x:c r="E2142" s="50" t="str">
        <x:v>LMT SWING SETUP</x:v>
      </x:c>
      <x:c r="F2142" s="50" t="str">
        <x:v>WATCH</x:v>
      </x:c>
      <x:c r="G2142" s="50"/>
      <x:c r="H2142" s="50" t="str">
        <x:v>LONG</x:v>
      </x:c>
      <x:c r="I2142" s="71" t="n">
        <x:v>587.92</x:v>
      </x:c>
      <x:c r="J2142" s="76" t="str">
        <x:v>SIP</x:v>
      </x:c>
    </x:row>
    <x:row r="2143">
      <x:c r="A2143" s="50" t="str">
        <x:v>019fddec-fb51-7e64-a309-3d420c3aef04</x:v>
      </x:c>
      <x:c r="B2143" s="50" t="str">
        <x:v>ETN</x:v>
      </x:c>
      <x:c r="C2143" s="70" t="n">
        <x:v>46241.85559501158</x:v>
      </x:c>
      <x:c r="D2143" s="50" t="str">
        <x:v>SWING_SETUP</x:v>
      </x:c>
      <x:c r="E2143" s="50" t="str">
        <x:v>ETN SWING SETUP</x:v>
      </x:c>
      <x:c r="F2143" s="50" t="str">
        <x:v>WATCH</x:v>
      </x:c>
      <x:c r="G2143" s="50"/>
      <x:c r="H2143" s="50" t="str">
        <x:v>LONG</x:v>
      </x:c>
      <x:c r="I2143" s="71" t="n">
        <x:v>448.67</x:v>
      </x:c>
      <x:c r="J2143" s="76" t="str">
        <x:v>SIP</x:v>
      </x:c>
    </x:row>
    <x:row r="2144">
      <x:c r="A2144" s="50" t="str">
        <x:v>019fddec-fb93-7cc2-98d9-f25c000919fb</x:v>
      </x:c>
      <x:c r="B2144" s="50" t="str">
        <x:v>NEM</x:v>
      </x:c>
      <x:c r="C2144" s="70" t="n">
        <x:v>46241.855595775465</x:v>
      </x:c>
      <x:c r="D2144" s="50" t="str">
        <x:v>SWING_SETUP</x:v>
      </x:c>
      <x:c r="E2144" s="50" t="str">
        <x:v>NEM SWING SETUP</x:v>
      </x:c>
      <x:c r="F2144" s="50" t="str">
        <x:v>WATCH</x:v>
      </x:c>
      <x:c r="G2144" s="50"/>
      <x:c r="H2144" s="50" t="str">
        <x:v>LONG</x:v>
      </x:c>
      <x:c r="I2144" s="71" t="n">
        <x:v>112.85</x:v>
      </x:c>
      <x:c r="J2144" s="76" t="str">
        <x:v>SIP</x:v>
      </x:c>
    </x:row>
    <x:row r="2145">
      <x:c r="A2145" s="50" t="str">
        <x:v>019fddec-fb9a-7b65-9744-298baa376afe</x:v>
      </x:c>
      <x:c r="B2145" s="50" t="str">
        <x:v>GRAB</x:v>
      </x:c>
      <x:c r="C2145" s="70" t="n">
        <x:v>46241.85559585648</x:v>
      </x:c>
      <x:c r="D2145" s="50" t="str">
        <x:v>SWING_SETUP</x:v>
      </x:c>
      <x:c r="E2145" s="50" t="str">
        <x:v>GRAB SWING SETUP</x:v>
      </x:c>
      <x:c r="F2145" s="50" t="str">
        <x:v>WATCH</x:v>
      </x:c>
      <x:c r="G2145" s="50"/>
      <x:c r="H2145" s="50" t="str">
        <x:v>LONG</x:v>
      </x:c>
      <x:c r="I2145" s="71" t="n">
        <x:v>3.6597</x:v>
      </x:c>
      <x:c r="J2145" s="76" t="str">
        <x:v>SIP</x:v>
      </x:c>
    </x:row>
    <x:row r="2146">
      <x:c r="A2146" s="50" t="str">
        <x:v>019fddec-fbd5-7814-9d97-fcafd9e36c4f</x:v>
      </x:c>
      <x:c r="B2146" s="50" t="str">
        <x:v>OXY</x:v>
      </x:c>
      <x:c r="C2146" s="70" t="n">
        <x:v>46241.85559653935</x:v>
      </x:c>
      <x:c r="D2146" s="50" t="str">
        <x:v>LONG_BUY_ZONE</x:v>
      </x:c>
      <x:c r="E2146" s="50" t="str">
        <x:v>OXY LONG BUY ZONE</x:v>
      </x:c>
      <x:c r="F2146" s="50" t="str">
        <x:v>WATCH</x:v>
      </x:c>
      <x:c r="G2146" s="50"/>
      <x:c r="H2146" s="50" t="str">
        <x:v>LONG</x:v>
      </x:c>
      <x:c r="I2146" s="71" t="n">
        <x:v>55.95</x:v>
      </x:c>
      <x:c r="J2146" s="76" t="str">
        <x:v>SIP</x:v>
      </x:c>
    </x:row>
    <x:row r="2147">
      <x:c r="A2147" s="50" t="str">
        <x:v>019fddec-fbe9-7a48-ae2b-029558f6477f</x:v>
      </x:c>
      <x:c r="B2147" s="50" t="str">
        <x:v>APH</x:v>
      </x:c>
      <x:c r="C2147" s="70" t="n">
        <x:v>46241.85559677083</x:v>
      </x:c>
      <x:c r="D2147" s="50" t="str">
        <x:v>SWING_SETUP</x:v>
      </x:c>
      <x:c r="E2147" s="50" t="str">
        <x:v>APH SWING SETUP</x:v>
      </x:c>
      <x:c r="F2147" s="50" t="str">
        <x:v>WATCH</x:v>
      </x:c>
      <x:c r="G2147" s="50"/>
      <x:c r="H2147" s="50" t="str">
        <x:v>LONG</x:v>
      </x:c>
      <x:c r="I2147" s="71" t="n">
        <x:v>169.17</x:v>
      </x:c>
      <x:c r="J2147" s="76" t="str">
        <x:v>SIP</x:v>
      </x:c>
    </x:row>
    <x:row r="2148">
      <x:c r="A2148" s="50" t="str">
        <x:v>019fdded-e2ba-7fce-b5c9-f4d0d1d2b53a</x:v>
      </x:c>
      <x:c r="B2148" s="50" t="str">
        <x:v>ETHA</x:v>
      </x:c>
      <x:c r="C2148" s="70" t="n">
        <x:v>46241.856280671294</x:v>
      </x:c>
      <x:c r="D2148" s="50" t="str">
        <x:v>SWING_SETUP</x:v>
      </x:c>
      <x:c r="E2148" s="50" t="str">
        <x:v>ETHA SWING SETUP</x:v>
      </x:c>
      <x:c r="F2148" s="50" t="str">
        <x:v>WATCH</x:v>
      </x:c>
      <x:c r="G2148" s="50"/>
      <x:c r="H2148" s="50" t="str">
        <x:v>LONG</x:v>
      </x:c>
      <x:c r="I2148" s="71" t="n">
        <x:v>14.4627</x:v>
      </x:c>
      <x:c r="J2148" s="76" t="str">
        <x:v>SIP</x:v>
      </x:c>
    </x:row>
    <x:row r="2149">
      <x:c r="A2149" s="50" t="str">
        <x:v>019fdded-e39a-76ca-a28a-afb6e3a51dbc</x:v>
      </x:c>
      <x:c r="B2149" s="50" t="str">
        <x:v>RCL</x:v>
      </x:c>
      <x:c r="C2149" s="70" t="n">
        <x:v>46241.856283263885</x:v>
      </x:c>
      <x:c r="D2149" s="50" t="str">
        <x:v>SWING_SETUP</x:v>
      </x:c>
      <x:c r="E2149" s="50" t="str">
        <x:v>RCL SWING SETUP</x:v>
      </x:c>
      <x:c r="F2149" s="50" t="str">
        <x:v>WATCH</x:v>
      </x:c>
      <x:c r="G2149" s="50"/>
      <x:c r="H2149" s="50" t="str">
        <x:v>LONG</x:v>
      </x:c>
      <x:c r="I2149" s="71" t="n">
        <x:v>319.98</x:v>
      </x:c>
      <x:c r="J2149" s="76" t="str">
        <x:v>SIP</x:v>
      </x:c>
    </x:row>
    <x:row r="2150">
      <x:c r="A2150" s="50" t="str">
        <x:v>019fdded-e48b-7a0a-a113-6aae4ce52be7</x:v>
      </x:c>
      <x:c r="B2150" s="50" t="str">
        <x:v>JD</x:v>
      </x:c>
      <x:c r="C2150" s="70" t="n">
        <x:v>46241.85628605324</x:v>
      </x:c>
      <x:c r="D2150" s="50" t="str">
        <x:v>SWING_SETUP</x:v>
      </x:c>
      <x:c r="E2150" s="50" t="str">
        <x:v>JD SWING SETUP</x:v>
      </x:c>
      <x:c r="F2150" s="50" t="str">
        <x:v>WATCH</x:v>
      </x:c>
      <x:c r="G2150" s="50"/>
      <x:c r="H2150" s="50" t="str">
        <x:v>LONG</x:v>
      </x:c>
      <x:c r="I2150" s="71" t="n">
        <x:v>32.955</x:v>
      </x:c>
      <x:c r="J2150" s="76" t="str">
        <x:v>SIP</x:v>
      </x:c>
    </x:row>
    <x:row r="2151">
      <x:c r="A2151" s="50" t="str">
        <x:v>019fdded-e4bd-77a9-b4d6-b01fed6afd5f</x:v>
      </x:c>
      <x:c r="B2151" s="50" t="str">
        <x:v>ECL</x:v>
      </x:c>
      <x:c r="C2151" s="70" t="n">
        <x:v>46241.85628663195</x:v>
      </x:c>
      <x:c r="D2151" s="50" t="str">
        <x:v>SWING_SETUP</x:v>
      </x:c>
      <x:c r="E2151" s="50" t="str">
        <x:v>ECL SWING SETUP</x:v>
      </x:c>
      <x:c r="F2151" s="50" t="str">
        <x:v>WATCH</x:v>
      </x:c>
      <x:c r="G2151" s="50"/>
      <x:c r="H2151" s="50" t="str">
        <x:v>LONG</x:v>
      </x:c>
      <x:c r="I2151" s="71" t="n">
        <x:v>285.03</x:v>
      </x:c>
      <x:c r="J2151" s="76" t="str">
        <x:v>SIP</x:v>
      </x:c>
    </x:row>
    <x:row r="2152">
      <x:c r="A2152" s="50" t="str">
        <x:v>019fdded-e4c5-7ddd-8dcc-11f486baebc7</x:v>
      </x:c>
      <x:c r="B2152" s="50" t="str">
        <x:v>PFE</x:v>
      </x:c>
      <x:c r="C2152" s="70" t="n">
        <x:v>46241.856286724535</x:v>
      </x:c>
      <x:c r="D2152" s="50" t="str">
        <x:v>SWING_SETUP</x:v>
      </x:c>
      <x:c r="E2152" s="50" t="str">
        <x:v>PFE SWING SETUP</x:v>
      </x:c>
      <x:c r="F2152" s="50" t="str">
        <x:v>WATCH</x:v>
      </x:c>
      <x:c r="G2152" s="50"/>
      <x:c r="H2152" s="50" t="str">
        <x:v>LONG</x:v>
      </x:c>
      <x:c r="I2152" s="71" t="n">
        <x:v>26.66</x:v>
      </x:c>
      <x:c r="J2152" s="76" t="str">
        <x:v>SIP</x:v>
      </x:c>
    </x:row>
    <x:row r="2153">
      <x:c r="A2153" s="50" t="str">
        <x:v>019fddee-cdc5-7fc5-938a-12dcb975e353</x:v>
      </x:c>
      <x:c r="B2153" s="50" t="str">
        <x:v>UEC</x:v>
      </x:c>
      <x:c r="C2153" s="70" t="n">
        <x:v>46241.85697709491</x:v>
      </x:c>
      <x:c r="D2153" s="50" t="str">
        <x:v>SWING_SETUP</x:v>
      </x:c>
      <x:c r="E2153" s="50" t="str">
        <x:v>UEC SWING SETUP</x:v>
      </x:c>
      <x:c r="F2153" s="50" t="str">
        <x:v>WATCH</x:v>
      </x:c>
      <x:c r="G2153" s="50"/>
      <x:c r="H2153" s="50" t="str">
        <x:v>LONG</x:v>
      </x:c>
      <x:c r="I2153" s="71" t="n">
        <x:v>11.2707</x:v>
      </x:c>
      <x:c r="J2153" s="76" t="str">
        <x:v>SIP</x:v>
      </x:c>
    </x:row>
    <x:row r="2154">
      <x:c r="A2154" s="50" t="str">
        <x:v>019fddee-ceaa-7f52-b192-d46c16fd2b25</x:v>
      </x:c>
      <x:c r="B2154" s="50" t="str">
        <x:v>TMDX</x:v>
      </x:c>
      <x:c r="C2154" s="70" t="n">
        <x:v>46241.85697974537</x:v>
      </x:c>
      <x:c r="D2154" s="50" t="str">
        <x:v>SWING_SETUP</x:v>
      </x:c>
      <x:c r="E2154" s="50" t="str">
        <x:v>TMDX SWING SETUP</x:v>
      </x:c>
      <x:c r="F2154" s="50" t="str">
        <x:v>WATCH</x:v>
      </x:c>
      <x:c r="G2154" s="50"/>
      <x:c r="H2154" s="50" t="str">
        <x:v>LONG</x:v>
      </x:c>
      <x:c r="I2154" s="71" t="n">
        <x:v>83.97</x:v>
      </x:c>
      <x:c r="J2154" s="76" t="str">
        <x:v>SIP</x:v>
      </x:c>
    </x:row>
    <x:row r="2155">
      <x:c r="A2155" s="50" t="str">
        <x:v>019fddee-cef0-7b9d-bde7-37559026082c</x:v>
      </x:c>
      <x:c r="B2155" s="50" t="str">
        <x:v>KO</x:v>
      </x:c>
      <x:c r="C2155" s="70" t="n">
        <x:v>46241.856980543984</x:v>
      </x:c>
      <x:c r="D2155" s="50" t="str">
        <x:v>SWING_SETUP</x:v>
      </x:c>
      <x:c r="E2155" s="50" t="str">
        <x:v>KO SWING SETUP</x:v>
      </x:c>
      <x:c r="F2155" s="50" t="str">
        <x:v>WATCH</x:v>
      </x:c>
      <x:c r="G2155" s="50"/>
      <x:c r="H2155" s="50" t="str">
        <x:v>LONG</x:v>
      </x:c>
      <x:c r="I2155" s="71" t="n">
        <x:v>87.12</x:v>
      </x:c>
      <x:c r="J2155" s="76" t="str">
        <x:v>SIP</x:v>
      </x:c>
    </x:row>
    <x:row r="2156">
      <x:c r="A2156" s="50" t="str">
        <x:v>019fddee-cf0a-7469-a563-1acbc14e853e</x:v>
      </x:c>
      <x:c r="B2156" s="50" t="str">
        <x:v>CEG</x:v>
      </x:c>
      <x:c r="C2156" s="70" t="n">
        <x:v>46241.85698085648</x:v>
      </x:c>
      <x:c r="D2156" s="50" t="str">
        <x:v>SWING_SETUP</x:v>
      </x:c>
      <x:c r="E2156" s="50" t="str">
        <x:v>CEG SWING SETUP</x:v>
      </x:c>
      <x:c r="F2156" s="50" t="str">
        <x:v>WATCH</x:v>
      </x:c>
      <x:c r="G2156" s="50"/>
      <x:c r="H2156" s="50" t="str">
        <x:v>LONG</x:v>
      </x:c>
      <x:c r="I2156" s="71" t="n">
        <x:v>269.5</x:v>
      </x:c>
      <x:c r="J2156" s="76" t="str">
        <x:v>SIP</x:v>
      </x:c>
    </x:row>
    <x:row r="2157">
      <x:c r="A2157" s="50" t="str">
        <x:v>019fddee-cf9b-721a-b18d-dd6e28719e8e</x:v>
      </x:c>
      <x:c r="B2157" s="50" t="str">
        <x:v>PSX</x:v>
      </x:c>
      <x:c r="C2157" s="70" t="n">
        <x:v>46241.85698253472</x:v>
      </x:c>
      <x:c r="D2157" s="50" t="str">
        <x:v>SWING_SETUP</x:v>
      </x:c>
      <x:c r="E2157" s="50" t="str">
        <x:v>PSX SWING SETUP</x:v>
      </x:c>
      <x:c r="F2157" s="50" t="str">
        <x:v>WATCH</x:v>
      </x:c>
      <x:c r="G2157" s="50"/>
      <x:c r="H2157" s="50" t="str">
        <x:v>LONG</x:v>
      </x:c>
      <x:c r="I2157" s="71" t="n">
        <x:v>203.89</x:v>
      </x:c>
      <x:c r="J2157" s="76" t="str">
        <x:v>SIP</x:v>
      </x:c>
    </x:row>
    <x:row r="2158">
      <x:c r="A2158" s="50" t="str">
        <x:v>019fddee-cff9-79bd-807c-8ef296bcfd68</x:v>
      </x:c>
      <x:c r="B2158" s="50" t="str">
        <x:v>PM</x:v>
      </x:c>
      <x:c r="C2158" s="70" t="n">
        <x:v>46241.85698362268</x:v>
      </x:c>
      <x:c r="D2158" s="50" t="str">
        <x:v>SWING_SETUP</x:v>
      </x:c>
      <x:c r="E2158" s="50" t="str">
        <x:v>PM SWING SETUP</x:v>
      </x:c>
      <x:c r="F2158" s="50" t="str">
        <x:v>WATCH</x:v>
      </x:c>
      <x:c r="G2158" s="50"/>
      <x:c r="H2158" s="50" t="str">
        <x:v>LONG</x:v>
      </x:c>
      <x:c r="I2158" s="71" t="n">
        <x:v>189.47</x:v>
      </x:c>
      <x:c r="J2158" s="76" t="str">
        <x:v>SIP</x:v>
      </x:c>
    </x:row>
    <x:row r="2159">
      <x:c r="A2159" s="50" t="str">
        <x:v>019fddee-d052-7ee6-9aec-dd8b0c1b9185</x:v>
      </x:c>
      <x:c r="B2159" s="50" t="str">
        <x:v>MMM</x:v>
      </x:c>
      <x:c r="C2159" s="70" t="n">
        <x:v>46241.856984652775</x:v>
      </x:c>
      <x:c r="D2159" s="50" t="str">
        <x:v>SWING_SETUP</x:v>
      </x:c>
      <x:c r="E2159" s="50" t="str">
        <x:v>MMM SWING SETUP</x:v>
      </x:c>
      <x:c r="F2159" s="50" t="str">
        <x:v>WATCH</x:v>
      </x:c>
      <x:c r="G2159" s="50"/>
      <x:c r="H2159" s="50" t="str">
        <x:v>LONG</x:v>
      </x:c>
      <x:c r="I2159" s="71" t="n">
        <x:v>182.89</x:v>
      </x:c>
      <x:c r="J2159" s="76" t="str">
        <x:v>SIP</x:v>
      </x:c>
    </x:row>
    <x:row r="2160">
      <x:c r="A2160" s="50" t="str">
        <x:v>019fddef-b7a2-750f-9849-a49165758255</x:v>
      </x:c>
      <x:c r="B2160" s="50" t="str">
        <x:v>JPM</x:v>
      </x:c>
      <x:c r="C2160" s="70" t="n">
        <x:v>46241.85767002315</x:v>
      </x:c>
      <x:c r="D2160" s="50" t="str">
        <x:v>SWING_SETUP</x:v>
      </x:c>
      <x:c r="E2160" s="50" t="str">
        <x:v>JPM SWING SETUP</x:v>
      </x:c>
      <x:c r="F2160" s="50" t="str">
        <x:v>WATCH</x:v>
      </x:c>
      <x:c r="G2160" s="50"/>
      <x:c r="H2160" s="50" t="str">
        <x:v>LONG</x:v>
      </x:c>
      <x:c r="I2160" s="71" t="n">
        <x:v>357.52</x:v>
      </x:c>
      <x:c r="J2160" s="76" t="str">
        <x:v>SIP</x:v>
      </x:c>
    </x:row>
    <x:row r="2161">
      <x:c r="A2161" s="50" t="str">
        <x:v>019fddef-b8d2-7374-9230-de173745ff7b</x:v>
      </x:c>
      <x:c r="B2161" s="50" t="str">
        <x:v>SE</x:v>
      </x:c>
      <x:c r="C2161" s="70" t="n">
        <x:v>46241.857673530096</x:v>
      </x:c>
      <x:c r="D2161" s="50" t="str">
        <x:v>SWING_SETUP</x:v>
      </x:c>
      <x:c r="E2161" s="50" t="str">
        <x:v>SE SWING SETUP</x:v>
      </x:c>
      <x:c r="F2161" s="50" t="str">
        <x:v>WATCH</x:v>
      </x:c>
      <x:c r="G2161" s="50"/>
      <x:c r="H2161" s="50" t="str">
        <x:v>LONG</x:v>
      </x:c>
      <x:c r="I2161" s="71" t="n">
        <x:v>113.34</x:v>
      </x:c>
      <x:c r="J2161" s="76" t="str">
        <x:v>SIP</x:v>
      </x:c>
    </x:row>
    <x:row r="2162">
      <x:c r="A2162" s="50" t="str">
        <x:v>019fddef-b8f1-77e8-a18b-6cdf78ff3ffc</x:v>
      </x:c>
      <x:c r="B2162" s="50" t="str">
        <x:v>DLR</x:v>
      </x:c>
      <x:c r="C2162" s="70" t="n">
        <x:v>46241.85767388889</x:v>
      </x:c>
      <x:c r="D2162" s="50" t="str">
        <x:v>SWING_SETUP</x:v>
      </x:c>
      <x:c r="E2162" s="50" t="str">
        <x:v>DLR SWING SETUP</x:v>
      </x:c>
      <x:c r="F2162" s="50" t="str">
        <x:v>WATCH</x:v>
      </x:c>
      <x:c r="G2162" s="50"/>
      <x:c r="H2162" s="50" t="str">
        <x:v>LONG</x:v>
      </x:c>
      <x:c r="I2162" s="71" t="n">
        <x:v>193.78</x:v>
      </x:c>
      <x:c r="J2162" s="76" t="str">
        <x:v>SIP</x:v>
      </x:c>
    </x:row>
    <x:row r="2163">
      <x:c r="A2163" s="50" t="str">
        <x:v>019fddef-b925-7ea4-b318-d3b9c023ae91</x:v>
      </x:c>
      <x:c r="B2163" s="50" t="str">
        <x:v>NUE</x:v>
      </x:c>
      <x:c r="C2163" s="70" t="n">
        <x:v>46241.85767450232</x:v>
      </x:c>
      <x:c r="D2163" s="50" t="str">
        <x:v>SWING_SETUP</x:v>
      </x:c>
      <x:c r="E2163" s="50" t="str">
        <x:v>NUE SWING SETUP</x:v>
      </x:c>
      <x:c r="F2163" s="50" t="str">
        <x:v>WATCH</x:v>
      </x:c>
      <x:c r="G2163" s="50"/>
      <x:c r="H2163" s="50" t="str">
        <x:v>LONG</x:v>
      </x:c>
      <x:c r="I2163" s="71" t="n">
        <x:v>272.57</x:v>
      </x:c>
      <x:c r="J2163" s="76" t="str">
        <x:v>SIP</x:v>
      </x:c>
    </x:row>
    <x:row r="2164">
      <x:c r="A2164" s="50" t="str">
        <x:v>019fddf0-a21b-7c12-88a3-177aa501d065</x:v>
      </x:c>
      <x:c r="B2164" s="50" t="str">
        <x:v>ABT</x:v>
      </x:c>
      <x:c r="C2164" s="70" t="n">
        <x:v>46241.85836475695</x:v>
      </x:c>
      <x:c r="D2164" s="50" t="str">
        <x:v>SWING_SETUP</x:v>
      </x:c>
      <x:c r="E2164" s="50" t="str">
        <x:v>ABT SWING SETUP</x:v>
      </x:c>
      <x:c r="F2164" s="50" t="str">
        <x:v>WATCH</x:v>
      </x:c>
      <x:c r="G2164" s="50"/>
      <x:c r="H2164" s="50" t="str">
        <x:v>LONG</x:v>
      </x:c>
      <x:c r="I2164" s="71" t="n">
        <x:v>107.81</x:v>
      </x:c>
      <x:c r="J2164" s="76" t="str">
        <x:v>SIP</x:v>
      </x:c>
    </x:row>
    <x:row r="2165">
      <x:c r="A2165" s="50" t="str">
        <x:v>019fddf0-a489-7405-9d0e-49d7c0507d0b</x:v>
      </x:c>
      <x:c r="B2165" s="50" t="str">
        <x:v>SCHW</x:v>
      </x:c>
      <x:c r="C2165" s="70" t="n">
        <x:v>46241.85837195602</x:v>
      </x:c>
      <x:c r="D2165" s="50" t="str">
        <x:v>SWING_SETUP</x:v>
      </x:c>
      <x:c r="E2165" s="50" t="str">
        <x:v>SCHW SWING SETUP</x:v>
      </x:c>
      <x:c r="F2165" s="50" t="str">
        <x:v>WATCH</x:v>
      </x:c>
      <x:c r="G2165" s="50"/>
      <x:c r="H2165" s="50" t="str">
        <x:v>LONG</x:v>
      </x:c>
      <x:c r="I2165" s="71" t="n">
        <x:v>107.59</x:v>
      </x:c>
      <x:c r="J2165" s="76" t="str">
        <x:v>SIP</x:v>
      </x:c>
    </x:row>
    <x:row r="2166">
      <x:c r="A2166" s="50" t="str">
        <x:v>019fddf0-a4de-7443-a177-24467eb3e468</x:v>
      </x:c>
      <x:c r="B2166" s="50" t="str">
        <x:v>BKNG</x:v>
      </x:c>
      <x:c r="C2166" s="70" t="n">
        <x:v>46241.858372939816</x:v>
      </x:c>
      <x:c r="D2166" s="50" t="str">
        <x:v>SWING_SETUP</x:v>
      </x:c>
      <x:c r="E2166" s="50" t="str">
        <x:v>BKNG SWING SETUP</x:v>
      </x:c>
      <x:c r="F2166" s="50" t="str">
        <x:v>WATCH</x:v>
      </x:c>
      <x:c r="G2166" s="50"/>
      <x:c r="H2166" s="50" t="str">
        <x:v>LONG</x:v>
      </x:c>
      <x:c r="I2166" s="71" t="n">
        <x:v>213.55</x:v>
      </x:c>
      <x:c r="J2166" s="76" t="str">
        <x:v>SIP</x:v>
      </x:c>
    </x:row>
    <x:row r="2167">
      <x:c r="A2167" s="50" t="str">
        <x:v>019fddf0-a591-7027-8dc5-7dcc8a2fc83d</x:v>
      </x:c>
      <x:c r="B2167" s="50" t="str">
        <x:v>SHW</x:v>
      </x:c>
      <x:c r="C2167" s="70" t="n">
        <x:v>46241.85837501157</x:v>
      </x:c>
      <x:c r="D2167" s="50" t="str">
        <x:v>SWING_SETUP</x:v>
      </x:c>
      <x:c r="E2167" s="50" t="str">
        <x:v>SHW SWING SETUP</x:v>
      </x:c>
      <x:c r="F2167" s="50" t="str">
        <x:v>WATCH</x:v>
      </x:c>
      <x:c r="G2167" s="50"/>
      <x:c r="H2167" s="50" t="str">
        <x:v>LONG</x:v>
      </x:c>
      <x:c r="I2167" s="71" t="n">
        <x:v>369.68</x:v>
      </x:c>
      <x:c r="J2167" s="76" t="str">
        <x:v>SIP</x:v>
      </x:c>
    </x:row>
    <x:row r="2168">
      <x:c r="A2168" s="50" t="str">
        <x:v>019fddf1-8c99-73f7-86ae-ac050d9874c3</x:v>
      </x:c>
      <x:c r="B2168" s="50" t="str">
        <x:v>TGT</x:v>
      </x:c>
      <x:c r="C2168" s="70" t="n">
        <x:v>46241.85905954861</x:v>
      </x:c>
      <x:c r="D2168" s="50" t="str">
        <x:v>SWING_SETUP</x:v>
      </x:c>
      <x:c r="E2168" s="50" t="str">
        <x:v>TGT SWING SETUP</x:v>
      </x:c>
      <x:c r="F2168" s="50" t="str">
        <x:v>WATCH</x:v>
      </x:c>
      <x:c r="G2168" s="50"/>
      <x:c r="H2168" s="50" t="str">
        <x:v>LONG</x:v>
      </x:c>
      <x:c r="I2168" s="71" t="n">
        <x:v>149.9755</x:v>
      </x:c>
      <x:c r="J2168" s="76" t="str">
        <x:v>SIP</x:v>
      </x:c>
    </x:row>
    <x:row r="2169">
      <x:c r="A2169" s="50" t="str">
        <x:v>019fddf1-8d0c-7f87-a36a-bddd2e64ddf9</x:v>
      </x:c>
      <x:c r="B2169" s="50" t="str">
        <x:v>TEM</x:v>
      </x:c>
      <x:c r="C2169" s="70" t="n">
        <x:v>46241.85906087963</x:v>
      </x:c>
      <x:c r="D2169" s="50" t="str">
        <x:v>SWING_SETUP</x:v>
      </x:c>
      <x:c r="E2169" s="50" t="str">
        <x:v>TEM SWING SETUP</x:v>
      </x:c>
      <x:c r="F2169" s="50" t="str">
        <x:v>WATCH</x:v>
      </x:c>
      <x:c r="G2169" s="50"/>
      <x:c r="H2169" s="50" t="str">
        <x:v>LONG</x:v>
      </x:c>
      <x:c r="I2169" s="71" t="n">
        <x:v>52.05</x:v>
      </x:c>
      <x:c r="J2169" s="76" t="str">
        <x:v>SIP</x:v>
      </x:c>
    </x:row>
    <x:row r="2170">
      <x:c r="A2170" s="50" t="str">
        <x:v>019fddf1-8f98-7411-80f0-e2a285c8baa7</x:v>
      </x:c>
      <x:c r="B2170" s="50" t="str">
        <x:v>RTX</x:v>
      </x:c>
      <x:c r="C2170" s="70" t="n">
        <x:v>46241.859068425925</x:v>
      </x:c>
      <x:c r="D2170" s="50" t="str">
        <x:v>SWING_SETUP</x:v>
      </x:c>
      <x:c r="E2170" s="50" t="str">
        <x:v>RTX SWING SETUP</x:v>
      </x:c>
      <x:c r="F2170" s="50" t="str">
        <x:v>WATCH</x:v>
      </x:c>
      <x:c r="G2170" s="50"/>
      <x:c r="H2170" s="50" t="str">
        <x:v>LONG</x:v>
      </x:c>
      <x:c r="I2170" s="71" t="n">
        <x:v>222.98</x:v>
      </x:c>
      <x:c r="J2170" s="76" t="str">
        <x:v>SIP</x:v>
      </x:c>
    </x:row>
    <x:row r="2171">
      <x:c r="A2171" s="50" t="str">
        <x:v>019fddf1-8fe0-7b55-8a90-7d30c1a597a8</x:v>
      </x:c>
      <x:c r="B2171" s="50" t="str">
        <x:v>WFC</x:v>
      </x:c>
      <x:c r="C2171" s="70" t="n">
        <x:v>46241.85906924769</x:v>
      </x:c>
      <x:c r="D2171" s="50" t="str">
        <x:v>SWING_SETUP</x:v>
      </x:c>
      <x:c r="E2171" s="50" t="str">
        <x:v>WFC SWING SETUP</x:v>
      </x:c>
      <x:c r="F2171" s="50" t="str">
        <x:v>WATCH</x:v>
      </x:c>
      <x:c r="G2171" s="50"/>
      <x:c r="H2171" s="50" t="str">
        <x:v>LONG</x:v>
      </x:c>
      <x:c r="I2171" s="71" t="n">
        <x:v>87.235</x:v>
      </x:c>
      <x:c r="J2171" s="76" t="str">
        <x:v>SIP</x:v>
      </x:c>
    </x:row>
    <x:row r="2172">
      <x:c r="A2172" s="50" t="str">
        <x:v>019fddf1-8ffb-7ae0-93e9-da3e3c590f0f</x:v>
      </x:c>
      <x:c r="B2172" s="50" t="str">
        <x:v>AMGN</x:v>
      </x:c>
      <x:c r="C2172" s="70" t="n">
        <x:v>46241.85906957176</x:v>
      </x:c>
      <x:c r="D2172" s="50" t="str">
        <x:v>SWING_SETUP</x:v>
      </x:c>
      <x:c r="E2172" s="50" t="str">
        <x:v>AMGN SWING SETUP</x:v>
      </x:c>
      <x:c r="F2172" s="50" t="str">
        <x:v>WATCH</x:v>
      </x:c>
      <x:c r="G2172" s="50"/>
      <x:c r="H2172" s="50" t="str">
        <x:v>LONG</x:v>
      </x:c>
      <x:c r="I2172" s="71" t="n">
        <x:v>410.89</x:v>
      </x:c>
      <x:c r="J2172" s="76" t="str">
        <x:v>SIP</x:v>
      </x:c>
    </x:row>
    <x:row r="2173">
      <x:c r="A2173" s="50" t="str">
        <x:v>019fddf1-9035-76ad-bf61-a0bc3515025c</x:v>
      </x:c>
      <x:c r="B2173" s="50" t="str">
        <x:v>BABA</x:v>
      </x:c>
      <x:c r="C2173" s="70" t="n">
        <x:v>46241.85907024305</x:v>
      </x:c>
      <x:c r="D2173" s="50" t="str">
        <x:v>SWING_SETUP</x:v>
      </x:c>
      <x:c r="E2173" s="50" t="str">
        <x:v>BABA SWING SETUP</x:v>
      </x:c>
      <x:c r="F2173" s="50" t="str">
        <x:v>WATCH</x:v>
      </x:c>
      <x:c r="G2173" s="50"/>
      <x:c r="H2173" s="50" t="str">
        <x:v>LONG</x:v>
      </x:c>
      <x:c r="I2173" s="71" t="n">
        <x:v>128.25</x:v>
      </x:c>
      <x:c r="J2173" s="76" t="str">
        <x:v>SIP</x:v>
      </x:c>
    </x:row>
    <x:row r="2174">
      <x:c r="A2174" s="50" t="str">
        <x:v>019fddf1-9051-7980-ac1b-6ec1b2d8d71a</x:v>
      </x:c>
      <x:c r="B2174" s="50" t="str">
        <x:v>BLFS</x:v>
      </x:c>
      <x:c r="C2174" s="70" t="n">
        <x:v>46241.85907056713</x:v>
      </x:c>
      <x:c r="D2174" s="50" t="str">
        <x:v>SWING_SETUP</x:v>
      </x:c>
      <x:c r="E2174" s="50" t="str">
        <x:v>BLFS SWING SETUP</x:v>
      </x:c>
      <x:c r="F2174" s="50" t="str">
        <x:v>WATCH</x:v>
      </x:c>
      <x:c r="G2174" s="50"/>
      <x:c r="H2174" s="50" t="str">
        <x:v>LONG</x:v>
      </x:c>
      <x:c r="I2174" s="71" t="n">
        <x:v>34.645</x:v>
      </x:c>
      <x:c r="J2174" s="76" t="str">
        <x:v>SIP</x:v>
      </x:c>
    </x:row>
    <x:row r="2175">
      <x:c r="A2175" s="50" t="str">
        <x:v>019fddf2-77e5-7366-8234-6c78ae2eb66f</x:v>
      </x:c>
      <x:c r="B2175" s="50" t="str">
        <x:v>BLK</x:v>
      </x:c>
      <x:c r="C2175" s="70" t="n">
        <x:v>46241.85975671296</x:v>
      </x:c>
      <x:c r="D2175" s="50" t="str">
        <x:v>SWING_SETUP</x:v>
      </x:c>
      <x:c r="E2175" s="50" t="str">
        <x:v>BLK SWING SETUP</x:v>
      </x:c>
      <x:c r="F2175" s="50" t="str">
        <x:v>WATCH</x:v>
      </x:c>
      <x:c r="G2175" s="50"/>
      <x:c r="H2175" s="50" t="str">
        <x:v>LONG</x:v>
      </x:c>
      <x:c r="I2175" s="71" t="n">
        <x:v>1136.4</x:v>
      </x:c>
      <x:c r="J2175" s="76" t="str">
        <x:v>SIP</x:v>
      </x:c>
    </x:row>
    <x:row r="2176">
      <x:c r="A2176" s="50" t="str">
        <x:v>019fddf2-793e-77a8-9379-0577c94a3712</x:v>
      </x:c>
      <x:c r="B2176" s="50" t="str">
        <x:v>TMO</x:v>
      </x:c>
      <x:c r="C2176" s="70" t="n">
        <x:v>46241.85976071759</x:v>
      </x:c>
      <x:c r="D2176" s="50" t="str">
        <x:v>SWING_SETUP</x:v>
      </x:c>
      <x:c r="E2176" s="50" t="str">
        <x:v>TMO SWING SETUP</x:v>
      </x:c>
      <x:c r="F2176" s="50" t="str">
        <x:v>WATCH</x:v>
      </x:c>
      <x:c r="G2176" s="50"/>
      <x:c r="H2176" s="50" t="str">
        <x:v>LONG</x:v>
      </x:c>
      <x:c r="I2176" s="71" t="n">
        <x:v>594</x:v>
      </x:c>
      <x:c r="J2176" s="76" t="str">
        <x:v>SIP</x:v>
      </x:c>
    </x:row>
    <x:row r="2177">
      <x:c r="A2177" s="50" t="str">
        <x:v>019fddf2-7a7e-7a8f-88be-faacd5bd0bcd</x:v>
      </x:c>
      <x:c r="B2177" s="50" t="str">
        <x:v>CROX</x:v>
      </x:c>
      <x:c r="C2177" s="70" t="n">
        <x:v>46241.85976442129</x:v>
      </x:c>
      <x:c r="D2177" s="50" t="str">
        <x:v>SWING_SETUP</x:v>
      </x:c>
      <x:c r="E2177" s="50" t="str">
        <x:v>CROX SWING SETUP</x:v>
      </x:c>
      <x:c r="F2177" s="50" t="str">
        <x:v>WATCH</x:v>
      </x:c>
      <x:c r="G2177" s="50"/>
      <x:c r="H2177" s="50" t="str">
        <x:v>LONG</x:v>
      </x:c>
      <x:c r="I2177" s="71" t="n">
        <x:v>136.56</x:v>
      </x:c>
      <x:c r="J2177" s="76" t="str">
        <x:v>SIP</x:v>
      </x:c>
    </x:row>
    <x:row r="2178">
      <x:c r="A2178" s="50" t="str">
        <x:v>019fddf2-7b74-7f4e-bd85-6824c6ba7433</x:v>
      </x:c>
      <x:c r="B2178" s="50" t="str">
        <x:v>DE</x:v>
      </x:c>
      <x:c r="C2178" s="70" t="n">
        <x:v>46241.859767256945</x:v>
      </x:c>
      <x:c r="D2178" s="50" t="str">
        <x:v>SWING_SETUP</x:v>
      </x:c>
      <x:c r="E2178" s="50" t="str">
        <x:v>DE SWING SETUP</x:v>
      </x:c>
      <x:c r="F2178" s="50" t="str">
        <x:v>WATCH</x:v>
      </x:c>
      <x:c r="G2178" s="50"/>
      <x:c r="H2178" s="50" t="str">
        <x:v>LONG</x:v>
      </x:c>
      <x:c r="I2178" s="71" t="n">
        <x:v>620.77</x:v>
      </x:c>
      <x:c r="J2178" s="76" t="str">
        <x:v>SIP</x:v>
      </x:c>
    </x:row>
    <x:row r="2179">
      <x:c r="A2179" s="50" t="str">
        <x:v>019fddf3-6206-7ca3-9393-d1c984abd406</x:v>
      </x:c>
      <x:c r="B2179" s="50" t="str">
        <x:v>ABNB</x:v>
      </x:c>
      <x:c r="C2179" s="70" t="n">
        <x:v>46241.86045042824</x:v>
      </x:c>
      <x:c r="D2179" s="50" t="str">
        <x:v>SWING_SETUP</x:v>
      </x:c>
      <x:c r="E2179" s="50" t="str">
        <x:v>ABNB SWING SETUP</x:v>
      </x:c>
      <x:c r="F2179" s="50" t="str">
        <x:v>WATCH</x:v>
      </x:c>
      <x:c r="G2179" s="50"/>
      <x:c r="H2179" s="50" t="str">
        <x:v>LONG</x:v>
      </x:c>
      <x:c r="I2179" s="71" t="n">
        <x:v>177.5</x:v>
      </x:c>
      <x:c r="J2179" s="76" t="str">
        <x:v>SIP</x:v>
      </x:c>
    </x:row>
    <x:row r="2180">
      <x:c r="A2180" s="50" t="str">
        <x:v>019fddf3-62e9-74a3-9174-7f7680bdc90e</x:v>
      </x:c>
      <x:c r="B2180" s="50" t="str">
        <x:v>NXE</x:v>
      </x:c>
      <x:c r="C2180" s="70" t="n">
        <x:v>46241.86045306713</x:v>
      </x:c>
      <x:c r="D2180" s="50" t="str">
        <x:v>SWING_SETUP</x:v>
      </x:c>
      <x:c r="E2180" s="50" t="str">
        <x:v>NXE SWING SETUP</x:v>
      </x:c>
      <x:c r="F2180" s="50" t="str">
        <x:v>WATCH</x:v>
      </x:c>
      <x:c r="G2180" s="50"/>
      <x:c r="H2180" s="50" t="str">
        <x:v>LONG</x:v>
      </x:c>
      <x:c r="I2180" s="71" t="n">
        <x:v>10.43</x:v>
      </x:c>
      <x:c r="J2180" s="76" t="str">
        <x:v>SIP</x:v>
      </x:c>
    </x:row>
    <x:row r="2181">
      <x:c r="A2181" s="50" t="str">
        <x:v>019fddf3-63bb-7c93-b152-a3674a2d7db3</x:v>
      </x:c>
      <x:c r="B2181" s="50" t="str">
        <x:v>SNOW</x:v>
      </x:c>
      <x:c r="C2181" s="70" t="n">
        <x:v>46241.860455497685</x:v>
      </x:c>
      <x:c r="D2181" s="50" t="str">
        <x:v>SWING_SETUP</x:v>
      </x:c>
      <x:c r="E2181" s="50" t="str">
        <x:v>SNOW SWING SETUP</x:v>
      </x:c>
      <x:c r="F2181" s="50" t="str">
        <x:v>WATCH</x:v>
      </x:c>
      <x:c r="G2181" s="50"/>
      <x:c r="H2181" s="50" t="str">
        <x:v>LONG</x:v>
      </x:c>
      <x:c r="I2181" s="71" t="n">
        <x:v>330.1</x:v>
      </x:c>
      <x:c r="J2181" s="76" t="str">
        <x:v>SIP</x:v>
      </x:c>
    </x:row>
    <x:row r="2182">
      <x:c r="A2182" s="50" t="str">
        <x:v>019fddf4-5054-77cf-86d3-0f79d2b46a07</x:v>
      </x:c>
      <x:c r="B2182" s="50" t="str">
        <x:v>RDW</x:v>
      </x:c>
      <x:c r="C2182" s="70" t="n">
        <x:v>46241.861156527775</x:v>
      </x:c>
      <x:c r="D2182" s="50" t="str">
        <x:v>SWING_SETUP</x:v>
      </x:c>
      <x:c r="E2182" s="50" t="str">
        <x:v>RDW SWING SETUP</x:v>
      </x:c>
      <x:c r="F2182" s="50" t="str">
        <x:v>WATCH</x:v>
      </x:c>
      <x:c r="G2182" s="50"/>
      <x:c r="H2182" s="50" t="str">
        <x:v>LONG</x:v>
      </x:c>
      <x:c r="I2182" s="71" t="n">
        <x:v>13.5821</x:v>
      </x:c>
      <x:c r="J2182" s="76" t="str">
        <x:v>SIP</x:v>
      </x:c>
    </x:row>
    <x:row r="2183">
      <x:c r="A2183" s="50" t="str">
        <x:v>019fddf5-37d0-735a-9da8-6d08450a2bc2</x:v>
      </x:c>
      <x:c r="B2183" s="50" t="str">
        <x:v>AMZN</x:v>
      </x:c>
      <x:c r="C2183" s="70" t="n">
        <x:v>46241.86184240741</x:v>
      </x:c>
      <x:c r="D2183" s="50" t="str">
        <x:v>SWING_SETUP</x:v>
      </x:c>
      <x:c r="E2183" s="50" t="str">
        <x:v>AMZN SWING SETUP</x:v>
      </x:c>
      <x:c r="F2183" s="50" t="str">
        <x:v>WATCH</x:v>
      </x:c>
      <x:c r="G2183" s="50"/>
      <x:c r="H2183" s="50" t="str">
        <x:v>LONG</x:v>
      </x:c>
      <x:c r="I2183" s="71" t="n">
        <x:v>274.5</x:v>
      </x:c>
      <x:c r="J2183" s="76" t="str">
        <x:v>SIP</x:v>
      </x:c>
    </x:row>
    <x:row r="2184">
      <x:c r="A2184" s="50" t="str">
        <x:v>019fddf5-3849-73ce-a89d-373e3211a285</x:v>
      </x:c>
      <x:c r="B2184" s="50" t="str">
        <x:v>MRK</x:v>
      </x:c>
      <x:c r="C2184" s="70" t="n">
        <x:v>46241.86184380787</x:v>
      </x:c>
      <x:c r="D2184" s="50" t="str">
        <x:v>SWING_SETUP</x:v>
      </x:c>
      <x:c r="E2184" s="50" t="str">
        <x:v>MRK SWING SETUP</x:v>
      </x:c>
      <x:c r="F2184" s="50" t="str">
        <x:v>WATCH</x:v>
      </x:c>
      <x:c r="G2184" s="50"/>
      <x:c r="H2184" s="50" t="str">
        <x:v>LONG</x:v>
      </x:c>
      <x:c r="I2184" s="71" t="n">
        <x:v>128.57</x:v>
      </x:c>
      <x:c r="J2184" s="76" t="str">
        <x:v>SIP</x:v>
      </x:c>
    </x:row>
    <x:row r="2185">
      <x:c r="A2185" s="50" t="str">
        <x:v>019fddf7-0b15-78ee-bbf9-ce57a15a2966</x:v>
      </x:c>
      <x:c r="B2185" s="50" t="str">
        <x:v>NOC</x:v>
      </x:c>
      <x:c r="C2185" s="70" t="n">
        <x:v>46241.863226898146</x:v>
      </x:c>
      <x:c r="D2185" s="50" t="str">
        <x:v>SWING_SETUP</x:v>
      </x:c>
      <x:c r="E2185" s="50" t="str">
        <x:v>NOC SWING SETUP</x:v>
      </x:c>
      <x:c r="F2185" s="50" t="str">
        <x:v>WATCH</x:v>
      </x:c>
      <x:c r="G2185" s="50"/>
      <x:c r="H2185" s="50" t="str">
        <x:v>LONG</x:v>
      </x:c>
      <x:c r="I2185" s="71" t="n">
        <x:v>571.58</x:v>
      </x:c>
      <x:c r="J2185" s="76" t="str">
        <x:v>SIP</x:v>
      </x:c>
    </x:row>
    <x:row r="2186">
      <x:c r="A2186" s="50" t="str">
        <x:v>019fddf7-0c9a-71a6-9466-b9f2a122800a</x:v>
      </x:c>
      <x:c r="B2186" s="50" t="str">
        <x:v>VZ</x:v>
      </x:c>
      <x:c r="C2186" s="70" t="n">
        <x:v>46241.86323141204</x:v>
      </x:c>
      <x:c r="D2186" s="50" t="str">
        <x:v>SWING_SETUP</x:v>
      </x:c>
      <x:c r="E2186" s="50" t="str">
        <x:v>VZ SWING SETUP</x:v>
      </x:c>
      <x:c r="F2186" s="50" t="str">
        <x:v>WATCH</x:v>
      </x:c>
      <x:c r="G2186" s="50"/>
      <x:c r="H2186" s="50" t="str">
        <x:v>LONG</x:v>
      </x:c>
      <x:c r="I2186" s="71" t="n">
        <x:v>46.9839</x:v>
      </x:c>
      <x:c r="J2186" s="76" t="str">
        <x:v>SIP</x:v>
      </x:c>
    </x:row>
    <x:row r="2187">
      <x:c r="A2187" s="50" t="str">
        <x:v>019fddf7-0cb3-7f54-bcb2-ca65a216d996</x:v>
      </x:c>
      <x:c r="B2187" s="50" t="str">
        <x:v>OXY</x:v>
      </x:c>
      <x:c r="C2187" s="70" t="n">
        <x:v>46241.86323170139</x:v>
      </x:c>
      <x:c r="D2187" s="50" t="str">
        <x:v>SWING_SETUP</x:v>
      </x:c>
      <x:c r="E2187" s="50" t="str">
        <x:v>OXY SWING SETUP</x:v>
      </x:c>
      <x:c r="F2187" s="50" t="str">
        <x:v>WATCH</x:v>
      </x:c>
      <x:c r="G2187" s="50"/>
      <x:c r="H2187" s="50" t="str">
        <x:v>LONG</x:v>
      </x:c>
      <x:c r="I2187" s="71" t="n">
        <x:v>56.03</x:v>
      </x:c>
      <x:c r="J2187" s="76" t="str">
        <x:v>SIP</x:v>
      </x:c>
    </x:row>
    <x:row r="2188">
      <x:c r="A2188" s="50" t="str">
        <x:v>019fddf7-f638-7264-a5a6-4005d6beddc7</x:v>
      </x:c>
      <x:c r="B2188" s="50" t="str">
        <x:v>INTU</x:v>
      </x:c>
      <x:c r="C2188" s="70" t="n">
        <x:v>46241.86392361111</x:v>
      </x:c>
      <x:c r="D2188" s="50" t="str">
        <x:v>SWING_SETUP</x:v>
      </x:c>
      <x:c r="E2188" s="50" t="str">
        <x:v>INTU SWING SETUP</x:v>
      </x:c>
      <x:c r="F2188" s="50" t="str">
        <x:v>WATCH</x:v>
      </x:c>
      <x:c r="G2188" s="50"/>
      <x:c r="H2188" s="50" t="str">
        <x:v>LONG</x:v>
      </x:c>
      <x:c r="I2188" s="71" t="n">
        <x:v>325.25</x:v>
      </x:c>
      <x:c r="J2188" s="76" t="str">
        <x:v>SIP</x:v>
      </x:c>
    </x:row>
    <x:row r="2189">
      <x:c r="A2189" s="50" t="str">
        <x:v>019fddf7-f6db-7f55-92fa-326d4ae66203</x:v>
      </x:c>
      <x:c r="B2189" s="50" t="str">
        <x:v>COP</x:v>
      </x:c>
      <x:c r="C2189" s="70" t="n">
        <x:v>46241.86392549769</x:v>
      </x:c>
      <x:c r="D2189" s="50" t="str">
        <x:v>SWING_SETUP</x:v>
      </x:c>
      <x:c r="E2189" s="50" t="str">
        <x:v>COP SWING SETUP</x:v>
      </x:c>
      <x:c r="F2189" s="50" t="str">
        <x:v>WATCH</x:v>
      </x:c>
      <x:c r="G2189" s="50"/>
      <x:c r="H2189" s="50" t="str">
        <x:v>LONG</x:v>
      </x:c>
      <x:c r="I2189" s="71" t="n">
        <x:v>117.6</x:v>
      </x:c>
      <x:c r="J2189" s="76" t="str">
        <x:v>SIP</x:v>
      </x:c>
    </x:row>
    <x:row r="2190">
      <x:c r="A2190" s="50" t="str">
        <x:v>019fddf7-f874-7421-a77b-39b66361b1ef</x:v>
      </x:c>
      <x:c r="B2190" s="50" t="str">
        <x:v>PLTR</x:v>
      </x:c>
      <x:c r="C2190" s="70" t="n">
        <x:v>46241.863930231484</x:v>
      </x:c>
      <x:c r="D2190" s="50" t="str">
        <x:v>SWING_SETUP</x:v>
      </x:c>
      <x:c r="E2190" s="50" t="str">
        <x:v>PLTR SWING SETUP</x:v>
      </x:c>
      <x:c r="F2190" s="50" t="str">
        <x:v>WATCH</x:v>
      </x:c>
      <x:c r="G2190" s="50"/>
      <x:c r="H2190" s="50" t="str">
        <x:v>LONG</x:v>
      </x:c>
      <x:c r="I2190" s="71" t="n">
        <x:v>171.65</x:v>
      </x:c>
      <x:c r="J2190" s="76" t="str">
        <x:v>SIP</x:v>
      </x:c>
    </x:row>
    <x:row r="2191">
      <x:c r="A2191" s="50" t="str">
        <x:v>019fddf7-f8b6-719a-844a-d6e4760efc79</x:v>
      </x:c>
      <x:c r="B2191" s="50" t="str">
        <x:v>CLPT</x:v>
      </x:c>
      <x:c r="C2191" s="70" t="n">
        <x:v>46241.86393099537</x:v>
      </x:c>
      <x:c r="D2191" s="50" t="str">
        <x:v>ENTRY_WATCH</x:v>
      </x:c>
      <x:c r="E2191" s="50" t="str">
        <x:v>CLPT ENTRY IN_ZONE EARLY WATCH</x:v>
      </x:c>
      <x:c r="F2191" s="50" t="str">
        <x:v>WATCH</x:v>
      </x:c>
      <x:c r="G2191" s="50"/>
      <x:c r="H2191" s="50" t="str">
        <x:v>LONG</x:v>
      </x:c>
      <x:c r="I2191" s="71" t="n">
        <x:v>13.9981</x:v>
      </x:c>
      <x:c r="J2191" s="76" t="str">
        <x:v>SIP</x:v>
      </x:c>
    </x:row>
    <x:row r="2192">
      <x:c r="A2192" s="50" t="str">
        <x:v>019fddf9-cb4b-789a-917f-7f5017987d42</x:v>
      </x:c>
      <x:c r="B2192" s="50" t="str">
        <x:v>SBUX</x:v>
      </x:c>
      <x:c r="C2192" s="70" t="n">
        <x:v>46241.86531346065</x:v>
      </x:c>
      <x:c r="D2192" s="50" t="str">
        <x:v>SWING_SETUP</x:v>
      </x:c>
      <x:c r="E2192" s="50" t="str">
        <x:v>SBUX SWING SETUP</x:v>
      </x:c>
      <x:c r="F2192" s="50" t="str">
        <x:v>WATCH</x:v>
      </x:c>
      <x:c r="G2192" s="50"/>
      <x:c r="H2192" s="50" t="str">
        <x:v>LONG</x:v>
      </x:c>
      <x:c r="I2192" s="71" t="n">
        <x:v>105.47</x:v>
      </x:c>
      <x:c r="J2192" s="76" t="str">
        <x:v>SIP</x:v>
      </x:c>
    </x:row>
    <x:row r="2193">
      <x:c r="A2193" s="50" t="str">
        <x:v>019fddf9-cc5f-74af-87c4-d6db7c73cbd0</x:v>
      </x:c>
      <x:c r="B2193" s="50" t="str">
        <x:v>APA</x:v>
      </x:c>
      <x:c r="C2193" s="70" t="n">
        <x:v>46241.865316655094</x:v>
      </x:c>
      <x:c r="D2193" s="50" t="str">
        <x:v>SWING_SETUP</x:v>
      </x:c>
      <x:c r="E2193" s="50" t="str">
        <x:v>APA SWING SETUP</x:v>
      </x:c>
      <x:c r="F2193" s="50" t="str">
        <x:v>WATCH</x:v>
      </x:c>
      <x:c r="G2193" s="50"/>
      <x:c r="H2193" s="50" t="str">
        <x:v>LONG</x:v>
      </x:c>
      <x:c r="I2193" s="71" t="n">
        <x:v>37.648</x:v>
      </x:c>
      <x:c r="J2193" s="76" t="str">
        <x:v>SIP</x:v>
      </x:c>
    </x:row>
    <x:row r="2194">
      <x:c r="A2194" s="50" t="str">
        <x:v>019fddf9-cc65-75c1-bc93-9bb7b9252405</x:v>
      </x:c>
      <x:c r="B2194" s="50" t="str">
        <x:v>SBUX</x:v>
      </x:c>
      <x:c r="C2194" s="70" t="n">
        <x:v>46241.865316724536</x:v>
      </x:c>
      <x:c r="D2194" s="50" t="str">
        <x:v>LONG_BUY_ZONE</x:v>
      </x:c>
      <x:c r="E2194" s="50" t="str">
        <x:v>SBUX LONG BUY ZONE</x:v>
      </x:c>
      <x:c r="F2194" s="50" t="str">
        <x:v>WATCH</x:v>
      </x:c>
      <x:c r="G2194" s="50"/>
      <x:c r="H2194" s="50" t="str">
        <x:v>LONG</x:v>
      </x:c>
      <x:c r="I2194" s="71" t="n">
        <x:v>105.79</x:v>
      </x:c>
      <x:c r="J2194" s="76" t="str">
        <x:v>SIP</x:v>
      </x:c>
    </x:row>
    <x:row r="2195">
      <x:c r="A2195" s="50" t="str">
        <x:v>019fddf9-cc6b-75e0-acd7-e2c4f9eed350</x:v>
      </x:c>
      <x:c r="B2195" s="50" t="str">
        <x:v>WELL</x:v>
      </x:c>
      <x:c r="C2195" s="70" t="n">
        <x:v>46241.86531678241</x:v>
      </x:c>
      <x:c r="D2195" s="50" t="str">
        <x:v>SWING_SETUP</x:v>
      </x:c>
      <x:c r="E2195" s="50" t="str">
        <x:v>WELL SWING SETUP</x:v>
      </x:c>
      <x:c r="F2195" s="50" t="str">
        <x:v>WATCH</x:v>
      </x:c>
      <x:c r="G2195" s="50"/>
      <x:c r="H2195" s="50" t="str">
        <x:v>LONG</x:v>
      </x:c>
      <x:c r="I2195" s="71" t="n">
        <x:v>236.92</x:v>
      </x:c>
      <x:c r="J2195" s="76" t="str">
        <x:v>SIP</x:v>
      </x:c>
    </x:row>
    <x:row r="2196">
      <x:c r="A2196" s="50" t="str">
        <x:v>019fddf9-cd12-7677-a22f-a2f5f9441f2a</x:v>
      </x:c>
      <x:c r="B2196" s="50" t="str">
        <x:v>ANET</x:v>
      </x:c>
      <x:c r="C2196" s="70" t="n">
        <x:v>46241.86531872685</x:v>
      </x:c>
      <x:c r="D2196" s="50" t="str">
        <x:v>SWING_SETUP</x:v>
      </x:c>
      <x:c r="E2196" s="50" t="str">
        <x:v>ANET SWING SETUP</x:v>
      </x:c>
      <x:c r="F2196" s="50" t="str">
        <x:v>WATCH</x:v>
      </x:c>
      <x:c r="G2196" s="50"/>
      <x:c r="H2196" s="50" t="str">
        <x:v>LONG</x:v>
      </x:c>
      <x:c r="I2196" s="71" t="n">
        <x:v>189.5</x:v>
      </x:c>
      <x:c r="J2196" s="76" t="str">
        <x:v>SIP</x:v>
      </x:c>
    </x:row>
    <x:row r="2197">
      <x:c r="A2197" s="50" t="str">
        <x:v>019fddf9-cd41-71f5-9546-44c6b64f477d</x:v>
      </x:c>
      <x:c r="B2197" s="50" t="str">
        <x:v>ACHV</x:v>
      </x:c>
      <x:c r="C2197" s="70" t="n">
        <x:v>46241.86531927083</x:v>
      </x:c>
      <x:c r="D2197" s="50" t="str">
        <x:v>SWING_SETUP</x:v>
      </x:c>
      <x:c r="E2197" s="50" t="str">
        <x:v>ACHV SWING SETUP</x:v>
      </x:c>
      <x:c r="F2197" s="50" t="str">
        <x:v>WATCH</x:v>
      </x:c>
      <x:c r="G2197" s="50"/>
      <x:c r="H2197" s="50" t="str">
        <x:v>LONG</x:v>
      </x:c>
      <x:c r="I2197" s="71" t="n">
        <x:v>6.65</x:v>
      </x:c>
      <x:c r="J2197" s="76" t="str">
        <x:v>SIP</x:v>
      </x:c>
    </x:row>
    <x:row r="2198">
      <x:c r="A2198" s="50" t="str">
        <x:v>019fddf9-cd7d-7603-9e41-d54f86b9a1b8</x:v>
      </x:c>
      <x:c r="B2198" s="50" t="str">
        <x:v>MDLZ</x:v>
      </x:c>
      <x:c r="C2198" s="70" t="n">
        <x:v>46241.865319965276</x:v>
      </x:c>
      <x:c r="D2198" s="50" t="str">
        <x:v>SWING_SETUP</x:v>
      </x:c>
      <x:c r="E2198" s="50" t="str">
        <x:v>MDLZ SWING SETUP</x:v>
      </x:c>
      <x:c r="F2198" s="50" t="str">
        <x:v>WATCH</x:v>
      </x:c>
      <x:c r="G2198" s="50"/>
      <x:c r="H2198" s="50" t="str">
        <x:v>LONG</x:v>
      </x:c>
      <x:c r="I2198" s="71" t="n">
        <x:v>62.6</x:v>
      </x:c>
      <x:c r="J2198" s="76" t="str">
        <x:v>SIP</x:v>
      </x:c>
    </x:row>
    <x:row r="2199">
      <x:c r="A2199" s="50" t="str">
        <x:v>019fddf9-cd8b-7fcc-89d8-9525041e1974</x:v>
      </x:c>
      <x:c r="B2199" s="50" t="str">
        <x:v>UNP</x:v>
      </x:c>
      <x:c r="C2199" s="70" t="n">
        <x:v>46241.86532012731</x:v>
      </x:c>
      <x:c r="D2199" s="50" t="str">
        <x:v>SWING_SETUP</x:v>
      </x:c>
      <x:c r="E2199" s="50" t="str">
        <x:v>UNP SWING SETUP</x:v>
      </x:c>
      <x:c r="F2199" s="50" t="str">
        <x:v>WATCH</x:v>
      </x:c>
      <x:c r="G2199" s="50"/>
      <x:c r="H2199" s="50" t="str">
        <x:v>LONG</x:v>
      </x:c>
      <x:c r="I2199" s="71" t="n">
        <x:v>293.13</x:v>
      </x:c>
      <x:c r="J2199" s="76" t="str">
        <x:v>SIP</x:v>
      </x:c>
    </x:row>
    <x:row r="2200">
      <x:c r="A2200" s="50" t="str">
        <x:v>019fddf9-cef6-7120-b4c1-30238bdc867e</x:v>
      </x:c>
      <x:c r="B2200" s="50" t="str">
        <x:v>BMY</x:v>
      </x:c>
      <x:c r="C2200" s="70" t="n">
        <x:v>46241.865324328704</x:v>
      </x:c>
      <x:c r="D2200" s="50" t="str">
        <x:v>SWING_SETUP</x:v>
      </x:c>
      <x:c r="E2200" s="50" t="str">
        <x:v>BMY SWING SETUP</x:v>
      </x:c>
      <x:c r="F2200" s="50" t="str">
        <x:v>WATCH</x:v>
      </x:c>
      <x:c r="G2200" s="50"/>
      <x:c r="H2200" s="50" t="str">
        <x:v>LONG</x:v>
      </x:c>
      <x:c r="I2200" s="71" t="n">
        <x:v>64.71</x:v>
      </x:c>
      <x:c r="J2200" s="76" t="str">
        <x:v>SIP</x:v>
      </x:c>
    </x:row>
    <x:row r="2201">
      <x:c r="A2201" s="50" t="str">
        <x:v>019fddfb-9eb6-7c8b-ad3c-0f85efe4311d</x:v>
      </x:c>
      <x:c r="B2201" s="50" t="str">
        <x:v>ETHA</x:v>
      </x:c>
      <x:c r="C2201" s="70" t="n">
        <x:v>46241.86669840278</x:v>
      </x:c>
      <x:c r="D2201" s="50" t="str">
        <x:v>SWING_SETUP</x:v>
      </x:c>
      <x:c r="E2201" s="50" t="str">
        <x:v>ETHA SWING SETUP</x:v>
      </x:c>
      <x:c r="F2201" s="50" t="str">
        <x:v>WATCH</x:v>
      </x:c>
      <x:c r="G2201" s="50"/>
      <x:c r="H2201" s="50" t="str">
        <x:v>LONG</x:v>
      </x:c>
      <x:c r="I2201" s="71" t="n">
        <x:v>14.4627</x:v>
      </x:c>
      <x:c r="J2201" s="76" t="str">
        <x:v>SIP</x:v>
      </x:c>
    </x:row>
    <x:row r="2202">
      <x:c r="A2202" s="50" t="str">
        <x:v>019fddfb-9f8e-7791-9aac-db9713bf5696</x:v>
      </x:c>
      <x:c r="B2202" s="50" t="str">
        <x:v>LMT</x:v>
      </x:c>
      <x:c r="C2202" s="70" t="n">
        <x:v>46241.86670090278</x:v>
      </x:c>
      <x:c r="D2202" s="50" t="str">
        <x:v>SWING_SETUP</x:v>
      </x:c>
      <x:c r="E2202" s="50" t="str">
        <x:v>LMT SWING SETUP</x:v>
      </x:c>
      <x:c r="F2202" s="50" t="str">
        <x:v>WATCH</x:v>
      </x:c>
      <x:c r="G2202" s="50"/>
      <x:c r="H2202" s="50" t="str">
        <x:v>LONG</x:v>
      </x:c>
      <x:c r="I2202" s="71" t="n">
        <x:v>587.92</x:v>
      </x:c>
      <x:c r="J2202" s="76" t="str">
        <x:v>SIP</x:v>
      </x:c>
    </x:row>
    <x:row r="2203">
      <x:c r="A2203" s="50" t="str">
        <x:v>019fddfb-9ffd-70e5-b9a1-6fe00f8cb529</x:v>
      </x:c>
      <x:c r="B2203" s="50" t="str">
        <x:v>ETN</x:v>
      </x:c>
      <x:c r="C2203" s="70" t="n">
        <x:v>46241.8667021875</x:v>
      </x:c>
      <x:c r="D2203" s="50" t="str">
        <x:v>SWING_SETUP</x:v>
      </x:c>
      <x:c r="E2203" s="50" t="str">
        <x:v>ETN SWING SETUP</x:v>
      </x:c>
      <x:c r="F2203" s="50" t="str">
        <x:v>WATCH</x:v>
      </x:c>
      <x:c r="G2203" s="50"/>
      <x:c r="H2203" s="50" t="str">
        <x:v>LONG</x:v>
      </x:c>
      <x:c r="I2203" s="71" t="n">
        <x:v>448.67</x:v>
      </x:c>
      <x:c r="J2203" s="76" t="str">
        <x:v>SIP</x:v>
      </x:c>
    </x:row>
    <x:row r="2204">
      <x:c r="A2204" s="50" t="str">
        <x:v>019fddfb-a045-754e-a50c-cfeff1c3bf75</x:v>
      </x:c>
      <x:c r="B2204" s="50" t="str">
        <x:v>GRAB</x:v>
      </x:c>
      <x:c r="C2204" s="70" t="n">
        <x:v>46241.86670302083</x:v>
      </x:c>
      <x:c r="D2204" s="50" t="str">
        <x:v>SWING_SETUP</x:v>
      </x:c>
      <x:c r="E2204" s="50" t="str">
        <x:v>GRAB SWING SETUP</x:v>
      </x:c>
      <x:c r="F2204" s="50" t="str">
        <x:v>WATCH</x:v>
      </x:c>
      <x:c r="G2204" s="50"/>
      <x:c r="H2204" s="50" t="str">
        <x:v>LONG</x:v>
      </x:c>
      <x:c r="I2204" s="71" t="n">
        <x:v>3.6597</x:v>
      </x:c>
      <x:c r="J2204" s="76" t="str">
        <x:v>SIP</x:v>
      </x:c>
    </x:row>
    <x:row r="2205">
      <x:c r="A2205" s="50" t="str">
        <x:v>019fddfb-a0c5-7cb4-be4f-7cfad489b68f</x:v>
      </x:c>
      <x:c r="B2205" s="50" t="str">
        <x:v>APH</x:v>
      </x:c>
      <x:c r="C2205" s="70" t="n">
        <x:v>46241.86670450232</x:v>
      </x:c>
      <x:c r="D2205" s="50" t="str">
        <x:v>SWING_SETUP</x:v>
      </x:c>
      <x:c r="E2205" s="50" t="str">
        <x:v>APH SWING SETUP</x:v>
      </x:c>
      <x:c r="F2205" s="50" t="str">
        <x:v>WATCH</x:v>
      </x:c>
      <x:c r="G2205" s="50"/>
      <x:c r="H2205" s="50" t="str">
        <x:v>LONG</x:v>
      </x:c>
      <x:c r="I2205" s="71" t="n">
        <x:v>169.17</x:v>
      </x:c>
      <x:c r="J2205" s="76" t="str">
        <x:v>SIP</x:v>
      </x:c>
    </x:row>
    <x:row r="2206">
      <x:c r="A2206" s="50" t="str">
        <x:v>019fddfb-a0dc-7740-b1ad-456c5fc7104e</x:v>
      </x:c>
      <x:c r="B2206" s="50" t="str">
        <x:v>VZ</x:v>
      </x:c>
      <x:c r="C2206" s="70" t="n">
        <x:v>46241.866704768516</x:v>
      </x:c>
      <x:c r="D2206" s="50" t="str">
        <x:v>LONG_BUY_ZONE</x:v>
      </x:c>
      <x:c r="E2206" s="50" t="str">
        <x:v>VZ LONG BUY ZONE</x:v>
      </x:c>
      <x:c r="F2206" s="50" t="str">
        <x:v>WATCH</x:v>
      </x:c>
      <x:c r="G2206" s="50"/>
      <x:c r="H2206" s="50" t="str">
        <x:v>LONG</x:v>
      </x:c>
      <x:c r="I2206" s="71" t="n">
        <x:v>46.994</x:v>
      </x:c>
      <x:c r="J2206" s="76" t="str">
        <x:v>SIP</x:v>
      </x:c>
    </x:row>
    <x:row r="2207">
      <x:c r="A2207" s="50" t="str">
        <x:v>019fddfb-a18f-7f1e-b4c4-5b85e615b04b</x:v>
      </x:c>
      <x:c r="B2207" s="50" t="str">
        <x:v>PYPL</x:v>
      </x:c>
      <x:c r="C2207" s="70" t="n">
        <x:v>46241.86670684028</x:v>
      </x:c>
      <x:c r="D2207" s="50" t="str">
        <x:v>SWING_SETUP</x:v>
      </x:c>
      <x:c r="E2207" s="50" t="str">
        <x:v>PYPL SWING SETUP</x:v>
      </x:c>
      <x:c r="F2207" s="50" t="str">
        <x:v>WATCH</x:v>
      </x:c>
      <x:c r="G2207" s="50"/>
      <x:c r="H2207" s="50" t="str">
        <x:v>LONG</x:v>
      </x:c>
      <x:c r="I2207" s="71" t="n">
        <x:v>59.095</x:v>
      </x:c>
      <x:c r="J2207" s="76" t="str">
        <x:v>SIP</x:v>
      </x:c>
    </x:row>
    <x:row r="2208">
      <x:c r="A2208" s="50" t="str">
        <x:v>019fddfb-a23b-70bc-bd2f-08c32b6adaf3</x:v>
      </x:c>
      <x:c r="B2208" s="50" t="str">
        <x:v>BAC</x:v>
      </x:c>
      <x:c r="C2208" s="70" t="n">
        <x:v>46241.86670883102</x:v>
      </x:c>
      <x:c r="D2208" s="50" t="str">
        <x:v>SWING_SETUP</x:v>
      </x:c>
      <x:c r="E2208" s="50" t="str">
        <x:v>BAC SWING SETUP</x:v>
      </x:c>
      <x:c r="F2208" s="50" t="str">
        <x:v>WATCH</x:v>
      </x:c>
      <x:c r="G2208" s="50"/>
      <x:c r="H2208" s="50" t="str">
        <x:v>LONG</x:v>
      </x:c>
      <x:c r="I2208" s="71" t="n">
        <x:v>63.17</x:v>
      </x:c>
      <x:c r="J2208" s="76" t="str">
        <x:v>SIP</x:v>
      </x:c>
    </x:row>
    <x:row r="2209">
      <x:c r="A2209" s="50" t="str">
        <x:v>019fddfb-a249-7f79-a584-3895c8b5a00e</x:v>
      </x:c>
      <x:c r="B2209" s="50" t="str">
        <x:v>PFE</x:v>
      </x:c>
      <x:c r="C2209" s="70" t="n">
        <x:v>46241.86670899305</x:v>
      </x:c>
      <x:c r="D2209" s="50" t="str">
        <x:v>SWING_SETUP</x:v>
      </x:c>
      <x:c r="E2209" s="50" t="str">
        <x:v>PFE SWING SETUP</x:v>
      </x:c>
      <x:c r="F2209" s="50" t="str">
        <x:v>WATCH</x:v>
      </x:c>
      <x:c r="G2209" s="50"/>
      <x:c r="H2209" s="50" t="str">
        <x:v>LONG</x:v>
      </x:c>
      <x:c r="I2209" s="71" t="n">
        <x:v>26.6134</x:v>
      </x:c>
      <x:c r="J2209" s="76" t="str">
        <x:v>SIP</x:v>
      </x:c>
    </x:row>
    <x:row r="2210">
      <x:c r="A2210" s="50" t="str">
        <x:v>019fddfc-8987-749f-9495-c242b37bd8f5</x:v>
      </x:c>
      <x:c r="B2210" s="50" t="str">
        <x:v>KDP</x:v>
      </x:c>
      <x:c r="C2210" s="70" t="n">
        <x:v>46241.867394155095</x:v>
      </x:c>
      <x:c r="D2210" s="50" t="str">
        <x:v>LONG_BUY_ZONE</x:v>
      </x:c>
      <x:c r="E2210" s="50" t="str">
        <x:v>KDP LONG BUY ZONE</x:v>
      </x:c>
      <x:c r="F2210" s="50" t="str">
        <x:v>WATCH</x:v>
      </x:c>
      <x:c r="G2210" s="50"/>
      <x:c r="H2210" s="50" t="str">
        <x:v>LONG</x:v>
      </x:c>
      <x:c r="I2210" s="71" t="n">
        <x:v>30</x:v>
      </x:c>
      <x:c r="J2210" s="76" t="str">
        <x:v>SIP</x:v>
      </x:c>
    </x:row>
    <x:row r="2211">
      <x:c r="A2211" s="50" t="str">
        <x:v>019fddfc-8a06-7fd2-bf2f-adb0d2ee31dc</x:v>
      </x:c>
      <x:c r="B2211" s="50" t="str">
        <x:v>NEM</x:v>
      </x:c>
      <x:c r="C2211" s="70" t="n">
        <x:v>46241.867395625</x:v>
      </x:c>
      <x:c r="D2211" s="50" t="str">
        <x:v>SWING_SETUP</x:v>
      </x:c>
      <x:c r="E2211" s="50" t="str">
        <x:v>NEM SWING SETUP</x:v>
      </x:c>
      <x:c r="F2211" s="50" t="str">
        <x:v>WATCH</x:v>
      </x:c>
      <x:c r="G2211" s="50"/>
      <x:c r="H2211" s="50" t="str">
        <x:v>LONG</x:v>
      </x:c>
      <x:c r="I2211" s="71" t="n">
        <x:v>112.85</x:v>
      </x:c>
      <x:c r="J2211" s="76" t="str">
        <x:v>SIP</x:v>
      </x:c>
    </x:row>
    <x:row r="2212">
      <x:c r="A2212" s="50" t="str">
        <x:v>019fddfc-8a0d-7023-b55f-e87aa987fa00</x:v>
      </x:c>
      <x:c r="B2212" s="50" t="str">
        <x:v>OXY</x:v>
      </x:c>
      <x:c r="C2212" s="70" t="n">
        <x:v>46241.86739570602</x:v>
      </x:c>
      <x:c r="D2212" s="50" t="str">
        <x:v>LONG_BUY_ZONE</x:v>
      </x:c>
      <x:c r="E2212" s="50" t="str">
        <x:v>OXY LONG BUY ZONE</x:v>
      </x:c>
      <x:c r="F2212" s="50" t="str">
        <x:v>WATCH</x:v>
      </x:c>
      <x:c r="G2212" s="50"/>
      <x:c r="H2212" s="50" t="str">
        <x:v>LONG</x:v>
      </x:c>
      <x:c r="I2212" s="71" t="n">
        <x:v>56</x:v>
      </x:c>
      <x:c r="J2212" s="76" t="str">
        <x:v>SIP</x:v>
      </x:c>
    </x:row>
    <x:row r="2213">
      <x:c r="A2213" s="50" t="str">
        <x:v>019fddfc-8b70-7ce6-aa18-b4bc334ac450</x:v>
      </x:c>
      <x:c r="B2213" s="50" t="str">
        <x:v>RCL</x:v>
      </x:c>
      <x:c r="C2213" s="70" t="n">
        <x:v>46241.867399814815</x:v>
      </x:c>
      <x:c r="D2213" s="50" t="str">
        <x:v>SWING_SETUP</x:v>
      </x:c>
      <x:c r="E2213" s="50" t="str">
        <x:v>RCL SWING SETUP</x:v>
      </x:c>
      <x:c r="F2213" s="50" t="str">
        <x:v>WATCH</x:v>
      </x:c>
      <x:c r="G2213" s="50"/>
      <x:c r="H2213" s="50" t="str">
        <x:v>LONG</x:v>
      </x:c>
      <x:c r="I2213" s="71" t="n">
        <x:v>319.98</x:v>
      </x:c>
      <x:c r="J2213" s="76" t="str">
        <x:v>SIP</x:v>
      </x:c>
    </x:row>
    <x:row r="2214">
      <x:c r="A2214" s="50" t="str">
        <x:v>019fddfc-8bae-73de-8cad-9c6c8e6eb64d</x:v>
      </x:c>
      <x:c r="B2214" s="50" t="str">
        <x:v>MRK</x:v>
      </x:c>
      <x:c r="C2214" s="70" t="n">
        <x:v>46241.86740053241</x:v>
      </x:c>
      <x:c r="D2214" s="50" t="str">
        <x:v>LONG_BUY_ZONE</x:v>
      </x:c>
      <x:c r="E2214" s="50" t="str">
        <x:v>MRK LONG BUY ZONE</x:v>
      </x:c>
      <x:c r="F2214" s="50" t="str">
        <x:v>WATCH</x:v>
      </x:c>
      <x:c r="G2214" s="50"/>
      <x:c r="H2214" s="50" t="str">
        <x:v>LONG</x:v>
      </x:c>
      <x:c r="I2214" s="71" t="n">
        <x:v>128.3</x:v>
      </x:c>
      <x:c r="J2214" s="76" t="str">
        <x:v>SIP</x:v>
      </x:c>
    </x:row>
    <x:row r="2215">
      <x:c r="A2215" s="50" t="str">
        <x:v>019fddfc-8bf5-7d30-b5dc-4905058ae622</x:v>
      </x:c>
      <x:c r="B2215" s="50" t="str">
        <x:v>UEC</x:v>
      </x:c>
      <x:c r="C2215" s="70" t="n">
        <x:v>46241.86740135417</x:v>
      </x:c>
      <x:c r="D2215" s="50" t="str">
        <x:v>SWING_SETUP</x:v>
      </x:c>
      <x:c r="E2215" s="50" t="str">
        <x:v>UEC SWING SETUP</x:v>
      </x:c>
      <x:c r="F2215" s="50" t="str">
        <x:v>WATCH</x:v>
      </x:c>
      <x:c r="G2215" s="50"/>
      <x:c r="H2215" s="50" t="str">
        <x:v>LONG</x:v>
      </x:c>
      <x:c r="I2215" s="71" t="n">
        <x:v>11.2707</x:v>
      </x:c>
      <x:c r="J2215" s="76" t="str">
        <x:v>SIP</x:v>
      </x:c>
    </x:row>
    <x:row r="2216">
      <x:c r="A2216" s="50" t="str">
        <x:v>019fddfc-8c3d-7476-a1d8-1b515ace1b56</x:v>
      </x:c>
      <x:c r="B2216" s="50" t="str">
        <x:v>ECL</x:v>
      </x:c>
      <x:c r="C2216" s="70" t="n">
        <x:v>46241.86740217593</x:v>
      </x:c>
      <x:c r="D2216" s="50" t="str">
        <x:v>SWING_SETUP</x:v>
      </x:c>
      <x:c r="E2216" s="50" t="str">
        <x:v>ECL SWING SETUP</x:v>
      </x:c>
      <x:c r="F2216" s="50" t="str">
        <x:v>WATCH</x:v>
      </x:c>
      <x:c r="G2216" s="50"/>
      <x:c r="H2216" s="50" t="str">
        <x:v>LONG</x:v>
      </x:c>
      <x:c r="I2216" s="71" t="n">
        <x:v>285.03</x:v>
      </x:c>
      <x:c r="J2216" s="76" t="str">
        <x:v>SIP</x:v>
      </x:c>
    </x:row>
    <x:row r="2217">
      <x:c r="A2217" s="50" t="str">
        <x:v>019fddfc-8c67-74c4-9e95-ef31dedc29e9</x:v>
      </x:c>
      <x:c r="B2217" s="50" t="str">
        <x:v>JD</x:v>
      </x:c>
      <x:c r="C2217" s="70" t="n">
        <x:v>46241.86740267361</x:v>
      </x:c>
      <x:c r="D2217" s="50" t="str">
        <x:v>SWING_SETUP</x:v>
      </x:c>
      <x:c r="E2217" s="50" t="str">
        <x:v>JD SWING SETUP</x:v>
      </x:c>
      <x:c r="F2217" s="50" t="str">
        <x:v>WATCH</x:v>
      </x:c>
      <x:c r="G2217" s="50"/>
      <x:c r="H2217" s="50" t="str">
        <x:v>LONG</x:v>
      </x:c>
      <x:c r="I2217" s="71" t="n">
        <x:v>32.955</x:v>
      </x:c>
      <x:c r="J2217" s="76" t="str">
        <x:v>SIP</x:v>
      </x:c>
    </x:row>
    <x:row r="2218">
      <x:c r="A2218" s="50" t="str">
        <x:v>019fddfc-8cc6-787a-adba-6b422df20276</x:v>
      </x:c>
      <x:c r="B2218" s="50" t="str">
        <x:v>TMDX</x:v>
      </x:c>
      <x:c r="C2218" s="70" t="n">
        <x:v>46241.86740377315</x:v>
      </x:c>
      <x:c r="D2218" s="50" t="str">
        <x:v>SWING_SETUP</x:v>
      </x:c>
      <x:c r="E2218" s="50" t="str">
        <x:v>TMDX SWING SETUP</x:v>
      </x:c>
      <x:c r="F2218" s="50" t="str">
        <x:v>WATCH</x:v>
      </x:c>
      <x:c r="G2218" s="50"/>
      <x:c r="H2218" s="50" t="str">
        <x:v>LONG</x:v>
      </x:c>
      <x:c r="I2218" s="71" t="n">
        <x:v>83.5</x:v>
      </x:c>
      <x:c r="J2218" s="76" t="str">
        <x:v>SIP</x:v>
      </x:c>
    </x:row>
    <x:row r="2219">
      <x:c r="A2219" s="50" t="str">
        <x:v>019fddfc-8d21-731f-a540-3bcd6f5d5b1f</x:v>
      </x:c>
      <x:c r="B2219" s="50" t="str">
        <x:v>KO</x:v>
      </x:c>
      <x:c r="C2219" s="70" t="n">
        <x:v>46241.867404826386</x:v>
      </x:c>
      <x:c r="D2219" s="50" t="str">
        <x:v>SWING_SETUP</x:v>
      </x:c>
      <x:c r="E2219" s="50" t="str">
        <x:v>KO SWING SETUP</x:v>
      </x:c>
      <x:c r="F2219" s="50" t="str">
        <x:v>WATCH</x:v>
      </x:c>
      <x:c r="G2219" s="50"/>
      <x:c r="H2219" s="50" t="str">
        <x:v>LONG</x:v>
      </x:c>
      <x:c r="I2219" s="71" t="n">
        <x:v>87.12</x:v>
      </x:c>
      <x:c r="J2219" s="76" t="str">
        <x:v>SIP</x:v>
      </x:c>
    </x:row>
    <x:row r="2220">
      <x:c r="A2220" s="50" t="str">
        <x:v>019fddfc-8d43-7b55-97d5-b8778c21699f</x:v>
      </x:c>
      <x:c r="B2220" s="50" t="str">
        <x:v>CEG</x:v>
      </x:c>
      <x:c r="C2220" s="70" t="n">
        <x:v>46241.867405219906</x:v>
      </x:c>
      <x:c r="D2220" s="50" t="str">
        <x:v>SWING_SETUP</x:v>
      </x:c>
      <x:c r="E2220" s="50" t="str">
        <x:v>CEG SWING SETUP</x:v>
      </x:c>
      <x:c r="F2220" s="50" t="str">
        <x:v>WATCH</x:v>
      </x:c>
      <x:c r="G2220" s="50"/>
      <x:c r="H2220" s="50" t="str">
        <x:v>LONG</x:v>
      </x:c>
      <x:c r="I2220" s="71" t="n">
        <x:v>269.9</x:v>
      </x:c>
      <x:c r="J2220" s="76" t="str">
        <x:v>SIP</x:v>
      </x:c>
    </x:row>
    <x:row r="2221">
      <x:c r="A2221" s="50" t="str">
        <x:v>019fddfd-753c-7fbf-bd6c-4204e6893f56</x:v>
      </x:c>
      <x:c r="B2221" s="50" t="str">
        <x:v>MMM</x:v>
      </x:c>
      <x:c r="C2221" s="70" t="n">
        <x:v>46241.8680925463</x:v>
      </x:c>
      <x:c r="D2221" s="50" t="str">
        <x:v>SWING_SETUP</x:v>
      </x:c>
      <x:c r="E2221" s="50" t="str">
        <x:v>MMM SWING SETUP</x:v>
      </x:c>
      <x:c r="F2221" s="50" t="str">
        <x:v>WATCH</x:v>
      </x:c>
      <x:c r="G2221" s="50"/>
      <x:c r="H2221" s="50" t="str">
        <x:v>LONG</x:v>
      </x:c>
      <x:c r="I2221" s="71" t="n">
        <x:v>182.89</x:v>
      </x:c>
      <x:c r="J2221" s="76" t="str">
        <x:v>SIP</x:v>
      </x:c>
    </x:row>
    <x:row r="2222">
      <x:c r="A2222" s="50" t="str">
        <x:v>019fddfd-76c1-7bdc-9853-a00330f45846</x:v>
      </x:c>
      <x:c r="B2222" s="50" t="str">
        <x:v>JPM</x:v>
      </x:c>
      <x:c r="C2222" s="70" t="n">
        <x:v>46241.86809704861</x:v>
      </x:c>
      <x:c r="D2222" s="50" t="str">
        <x:v>SWING_SETUP</x:v>
      </x:c>
      <x:c r="E2222" s="50" t="str">
        <x:v>JPM SWING SETUP</x:v>
      </x:c>
      <x:c r="F2222" s="50" t="str">
        <x:v>WATCH</x:v>
      </x:c>
      <x:c r="G2222" s="50"/>
      <x:c r="H2222" s="50" t="str">
        <x:v>LONG</x:v>
      </x:c>
      <x:c r="I2222" s="71" t="n">
        <x:v>357.52</x:v>
      </x:c>
      <x:c r="J2222" s="76" t="str">
        <x:v>SIP</x:v>
      </x:c>
    </x:row>
    <x:row r="2223">
      <x:c r="A2223" s="50" t="str">
        <x:v>019fddfe-5f3a-7069-b14a-de77f7b814d1</x:v>
      </x:c>
      <x:c r="B2223" s="50" t="str">
        <x:v>DLR</x:v>
      </x:c>
      <x:c r="C2223" s="70" t="n">
        <x:v>46241.86878585648</x:v>
      </x:c>
      <x:c r="D2223" s="50" t="str">
        <x:v>SWING_SETUP</x:v>
      </x:c>
      <x:c r="E2223" s="50" t="str">
        <x:v>DLR SWING SETUP</x:v>
      </x:c>
      <x:c r="F2223" s="50" t="str">
        <x:v>WATCH</x:v>
      </x:c>
      <x:c r="G2223" s="50"/>
      <x:c r="H2223" s="50" t="str">
        <x:v>LONG</x:v>
      </x:c>
      <x:c r="I2223" s="71" t="n">
        <x:v>193.8</x:v>
      </x:c>
      <x:c r="J2223" s="76" t="str">
        <x:v>SIP</x:v>
      </x:c>
    </x:row>
    <x:row r="2224">
      <x:c r="A2224" s="50" t="str">
        <x:v>019fddfe-5f48-70b1-8697-7c491c66d987</x:v>
      </x:c>
      <x:c r="B2224" s="50" t="str">
        <x:v>PSX</x:v>
      </x:c>
      <x:c r="C2224" s="70" t="n">
        <x:v>46241.86878601852</x:v>
      </x:c>
      <x:c r="D2224" s="50" t="str">
        <x:v>SWING_SETUP</x:v>
      </x:c>
      <x:c r="E2224" s="50" t="str">
        <x:v>PSX SWING SETUP</x:v>
      </x:c>
      <x:c r="F2224" s="50" t="str">
        <x:v>WATCH</x:v>
      </x:c>
      <x:c r="G2224" s="50"/>
      <x:c r="H2224" s="50" t="str">
        <x:v>LONG</x:v>
      </x:c>
      <x:c r="I2224" s="71" t="n">
        <x:v>203.89</x:v>
      </x:c>
      <x:c r="J2224" s="76" t="str">
        <x:v>SIP</x:v>
      </x:c>
    </x:row>
    <x:row r="2225">
      <x:c r="A2225" s="50" t="str">
        <x:v>019fddfe-5fd1-7040-8f2b-b5fed38a181c</x:v>
      </x:c>
      <x:c r="B2225" s="50" t="str">
        <x:v>PM</x:v>
      </x:c>
      <x:c r="C2225" s="70" t="n">
        <x:v>46241.868787604166</x:v>
      </x:c>
      <x:c r="D2225" s="50" t="str">
        <x:v>SWING_SETUP</x:v>
      </x:c>
      <x:c r="E2225" s="50" t="str">
        <x:v>PM SWING SETUP</x:v>
      </x:c>
      <x:c r="F2225" s="50" t="str">
        <x:v>WATCH</x:v>
      </x:c>
      <x:c r="G2225" s="50"/>
      <x:c r="H2225" s="50" t="str">
        <x:v>LONG</x:v>
      </x:c>
      <x:c r="I2225" s="71" t="n">
        <x:v>189.47</x:v>
      </x:c>
      <x:c r="J2225" s="76" t="str">
        <x:v>SIP</x:v>
      </x:c>
    </x:row>
    <x:row r="2226">
      <x:c r="A2226" s="50" t="str">
        <x:v>019fddfe-6017-704a-84ab-5f0817faabcc</x:v>
      </x:c>
      <x:c r="B2226" s="50" t="str">
        <x:v>ABT</x:v>
      </x:c>
      <x:c r="C2226" s="70" t="n">
        <x:v>46241.86878841435</x:v>
      </x:c>
      <x:c r="D2226" s="50" t="str">
        <x:v>SWING_SETUP</x:v>
      </x:c>
      <x:c r="E2226" s="50" t="str">
        <x:v>ABT SWING SETUP</x:v>
      </x:c>
      <x:c r="F2226" s="50" t="str">
        <x:v>WATCH</x:v>
      </x:c>
      <x:c r="G2226" s="50"/>
      <x:c r="H2226" s="50" t="str">
        <x:v>LONG</x:v>
      </x:c>
      <x:c r="I2226" s="71" t="n">
        <x:v>107.81</x:v>
      </x:c>
      <x:c r="J2226" s="76" t="str">
        <x:v>SIP</x:v>
      </x:c>
    </x:row>
    <x:row r="2227">
      <x:c r="A2227" s="50" t="str">
        <x:v>019fddff-4a17-79da-ad16-2292e3a7dd32</x:v>
      </x:c>
      <x:c r="B2227" s="50" t="str">
        <x:v>RCL</x:v>
      </x:c>
      <x:c r="C2227" s="70" t="n">
        <x:v>46241.869481747686</x:v>
      </x:c>
      <x:c r="D2227" s="50" t="str">
        <x:v>LONG_BUY_ZONE</x:v>
      </x:c>
      <x:c r="E2227" s="50" t="str">
        <x:v>RCL LONG BUY ZONE</x:v>
      </x:c>
      <x:c r="F2227" s="50" t="str">
        <x:v>WATCH</x:v>
      </x:c>
      <x:c r="G2227" s="50"/>
      <x:c r="H2227" s="50" t="str">
        <x:v>LONG</x:v>
      </x:c>
      <x:c r="I2227" s="71" t="n">
        <x:v>320.7955</x:v>
      </x:c>
      <x:c r="J2227" s="76" t="str">
        <x:v>SIP</x:v>
      </x:c>
    </x:row>
    <x:row r="2228">
      <x:c r="A2228" s="50" t="str">
        <x:v>019fddff-4a76-7182-84bf-bf43f23454fa</x:v>
      </x:c>
      <x:c r="B2228" s="50" t="str">
        <x:v>SCHW</x:v>
      </x:c>
      <x:c r="C2228" s="70" t="n">
        <x:v>46241.86948284722</x:v>
      </x:c>
      <x:c r="D2228" s="50" t="str">
        <x:v>SWING_SETUP</x:v>
      </x:c>
      <x:c r="E2228" s="50" t="str">
        <x:v>SCHW SWING SETUP</x:v>
      </x:c>
      <x:c r="F2228" s="50" t="str">
        <x:v>WATCH</x:v>
      </x:c>
      <x:c r="G2228" s="50"/>
      <x:c r="H2228" s="50" t="str">
        <x:v>LONG</x:v>
      </x:c>
      <x:c r="I2228" s="71" t="n">
        <x:v>107.6</x:v>
      </x:c>
      <x:c r="J2228" s="76" t="str">
        <x:v>SIP</x:v>
      </x:c>
    </x:row>
    <x:row r="2229">
      <x:c r="A2229" s="50" t="str">
        <x:v>019fddff-4a8d-7163-ba8e-3e587b404b81</x:v>
      </x:c>
      <x:c r="B2229" s="50" t="str">
        <x:v>BKNG</x:v>
      </x:c>
      <x:c r="C2229" s="70" t="n">
        <x:v>46241.86948311343</x:v>
      </x:c>
      <x:c r="D2229" s="50" t="str">
        <x:v>SWING_SETUP</x:v>
      </x:c>
      <x:c r="E2229" s="50" t="str">
        <x:v>BKNG SWING SETUP</x:v>
      </x:c>
      <x:c r="F2229" s="50" t="str">
        <x:v>WATCH</x:v>
      </x:c>
      <x:c r="G2229" s="50"/>
      <x:c r="H2229" s="50" t="str">
        <x:v>LONG</x:v>
      </x:c>
      <x:c r="I2229" s="71" t="n">
        <x:v>213.82</x:v>
      </x:c>
      <x:c r="J2229" s="76" t="str">
        <x:v>SIP</x:v>
      </x:c>
    </x:row>
    <x:row r="2230">
      <x:c r="A2230" s="50" t="str">
        <x:v>019fddff-4b67-7b5f-837f-571749ce5267</x:v>
      </x:c>
      <x:c r="B2230" s="50" t="str">
        <x:v>SE</x:v>
      </x:c>
      <x:c r="C2230" s="70" t="n">
        <x:v>46241.86948563658</x:v>
      </x:c>
      <x:c r="D2230" s="50" t="str">
        <x:v>SWING_SETUP</x:v>
      </x:c>
      <x:c r="E2230" s="50" t="str">
        <x:v>SE SWING SETUP</x:v>
      </x:c>
      <x:c r="F2230" s="50" t="str">
        <x:v>WATCH</x:v>
      </x:c>
      <x:c r="G2230" s="50"/>
      <x:c r="H2230" s="50" t="str">
        <x:v>LONG</x:v>
      </x:c>
      <x:c r="I2230" s="71" t="n">
        <x:v>113.34</x:v>
      </x:c>
      <x:c r="J2230" s="76" t="str">
        <x:v>SIP</x:v>
      </x:c>
    </x:row>
    <x:row r="2231">
      <x:c r="A2231" s="50" t="str">
        <x:v>019fddff-4bb8-788f-9755-ecb8487126ff</x:v>
      </x:c>
      <x:c r="B2231" s="50" t="str">
        <x:v>NUE</x:v>
      </x:c>
      <x:c r="C2231" s="70" t="n">
        <x:v>46241.869486574076</x:v>
      </x:c>
      <x:c r="D2231" s="50" t="str">
        <x:v>SWING_SETUP</x:v>
      </x:c>
      <x:c r="E2231" s="50" t="str">
        <x:v>NUE SWING SETUP</x:v>
      </x:c>
      <x:c r="F2231" s="50" t="str">
        <x:v>WATCH</x:v>
      </x:c>
      <x:c r="G2231" s="50"/>
      <x:c r="H2231" s="50" t="str">
        <x:v>LONG</x:v>
      </x:c>
      <x:c r="I2231" s="71" t="n">
        <x:v>272.57</x:v>
      </x:c>
      <x:c r="J2231" s="76" t="str">
        <x:v>SIP</x:v>
      </x:c>
    </x:row>
    <x:row r="2232">
      <x:c r="A2232" s="50" t="str">
        <x:v>019fde00-3451-712f-b06b-80b2d5182cb4</x:v>
      </x:c>
      <x:c r="B2232" s="50" t="str">
        <x:v>BLK</x:v>
      </x:c>
      <x:c r="C2232" s="70" t="n">
        <x:v>46241.870175752316</x:v>
      </x:c>
      <x:c r="D2232" s="50" t="str">
        <x:v>SWING_SETUP</x:v>
      </x:c>
      <x:c r="E2232" s="50" t="str">
        <x:v>BLK SWING SETUP</x:v>
      </x:c>
      <x:c r="F2232" s="50" t="str">
        <x:v>WATCH</x:v>
      </x:c>
      <x:c r="G2232" s="50"/>
      <x:c r="H2232" s="50" t="str">
        <x:v>LONG</x:v>
      </x:c>
      <x:c r="I2232" s="71" t="n">
        <x:v>1136.4</x:v>
      </x:c>
      <x:c r="J2232" s="76" t="str">
        <x:v>SIP</x:v>
      </x:c>
    </x:row>
    <x:row r="2233">
      <x:c r="A2233" s="50" t="str">
        <x:v>019fde00-34a5-7c72-a9cf-74cfa66043c2</x:v>
      </x:c>
      <x:c r="B2233" s="50" t="str">
        <x:v>WFC</x:v>
      </x:c>
      <x:c r="C2233" s="70" t="n">
        <x:v>46241.87017672454</x:v>
      </x:c>
      <x:c r="D2233" s="50" t="str">
        <x:v>SWING_SETUP</x:v>
      </x:c>
      <x:c r="E2233" s="50" t="str">
        <x:v>WFC SWING SETUP</x:v>
      </x:c>
      <x:c r="F2233" s="50" t="str">
        <x:v>WATCH</x:v>
      </x:c>
      <x:c r="G2233" s="50"/>
      <x:c r="H2233" s="50" t="str">
        <x:v>LONG</x:v>
      </x:c>
      <x:c r="I2233" s="71" t="n">
        <x:v>87.235</x:v>
      </x:c>
      <x:c r="J2233" s="76" t="str">
        <x:v>SIP</x:v>
      </x:c>
    </x:row>
    <x:row r="2234">
      <x:c r="A2234" s="50" t="str">
        <x:v>019fde00-34ea-7a86-8497-71ed48325f09</x:v>
      </x:c>
      <x:c r="B2234" s="50" t="str">
        <x:v>AMGN</x:v>
      </x:c>
      <x:c r="C2234" s="70" t="n">
        <x:v>46241.870177523146</x:v>
      </x:c>
      <x:c r="D2234" s="50" t="str">
        <x:v>SWING_SETUP</x:v>
      </x:c>
      <x:c r="E2234" s="50" t="str">
        <x:v>AMGN SWING SETUP</x:v>
      </x:c>
      <x:c r="F2234" s="50" t="str">
        <x:v>WATCH</x:v>
      </x:c>
      <x:c r="G2234" s="50"/>
      <x:c r="H2234" s="50" t="str">
        <x:v>LONG</x:v>
      </x:c>
      <x:c r="I2234" s="71" t="n">
        <x:v>410.89</x:v>
      </x:c>
      <x:c r="J2234" s="76" t="str">
        <x:v>SIP</x:v>
      </x:c>
    </x:row>
    <x:row r="2235">
      <x:c r="A2235" s="50" t="str">
        <x:v>019fde00-34f1-76b8-a433-e4a07d9a353a</x:v>
      </x:c>
      <x:c r="B2235" s="50" t="str">
        <x:v>BABA</x:v>
      </x:c>
      <x:c r="C2235" s="70" t="n">
        <x:v>46241.87017760416</x:v>
      </x:c>
      <x:c r="D2235" s="50" t="str">
        <x:v>SWING_SETUP</x:v>
      </x:c>
      <x:c r="E2235" s="50" t="str">
        <x:v>BABA SWING SETUP</x:v>
      </x:c>
      <x:c r="F2235" s="50" t="str">
        <x:v>WATCH</x:v>
      </x:c>
      <x:c r="G2235" s="50"/>
      <x:c r="H2235" s="50" t="str">
        <x:v>LONG</x:v>
      </x:c>
      <x:c r="I2235" s="71" t="n">
        <x:v>128.3</x:v>
      </x:c>
      <x:c r="J2235" s="76" t="str">
        <x:v>SIP</x:v>
      </x:c>
    </x:row>
    <x:row r="2236">
      <x:c r="A2236" s="50" t="str">
        <x:v>019fde01-1d18-7c8d-8a69-e873a316a185</x:v>
      </x:c>
      <x:c r="B2236" s="50" t="str">
        <x:v>BLFS</x:v>
      </x:c>
      <x:c r="C2236" s="70" t="n">
        <x:v>46241.870865462966</x:v>
      </x:c>
      <x:c r="D2236" s="50" t="str">
        <x:v>SWING_SETUP</x:v>
      </x:c>
      <x:c r="E2236" s="50" t="str">
        <x:v>BLFS SWING SETUP</x:v>
      </x:c>
      <x:c r="F2236" s="50" t="str">
        <x:v>WATCH</x:v>
      </x:c>
      <x:c r="G2236" s="50"/>
      <x:c r="H2236" s="50" t="str">
        <x:v>LONG</x:v>
      </x:c>
      <x:c r="I2236" s="71" t="n">
        <x:v>34.645</x:v>
      </x:c>
      <x:c r="J2236" s="76" t="str">
        <x:v>SIP</x:v>
      </x:c>
    </x:row>
    <x:row r="2237">
      <x:c r="A2237" s="50" t="str">
        <x:v>019fde01-1d79-7c9d-a3d2-6e49bb2b30a0</x:v>
      </x:c>
      <x:c r="B2237" s="50" t="str">
        <x:v>TMO</x:v>
      </x:c>
      <x:c r="C2237" s="70" t="n">
        <x:v>46241.87086658565</x:v>
      </x:c>
      <x:c r="D2237" s="50" t="str">
        <x:v>SWING_SETUP</x:v>
      </x:c>
      <x:c r="E2237" s="50" t="str">
        <x:v>TMO SWING SETUP</x:v>
      </x:c>
      <x:c r="F2237" s="50" t="str">
        <x:v>WATCH</x:v>
      </x:c>
      <x:c r="G2237" s="50"/>
      <x:c r="H2237" s="50" t="str">
        <x:v>LONG</x:v>
      </x:c>
      <x:c r="I2237" s="71" t="n">
        <x:v>594</x:v>
      </x:c>
      <x:c r="J2237" s="76" t="str">
        <x:v>SIP</x:v>
      </x:c>
    </x:row>
    <x:row r="2238">
      <x:c r="A2238" s="50" t="str">
        <x:v>019fde01-1e5c-79e1-82ca-d7d65269253f</x:v>
      </x:c>
      <x:c r="B2238" s="50" t="str">
        <x:v>TGT</x:v>
      </x:c>
      <x:c r="C2238" s="70" t="n">
        <x:v>46241.870869212966</x:v>
      </x:c>
      <x:c r="D2238" s="50" t="str">
        <x:v>SWING_SETUP</x:v>
      </x:c>
      <x:c r="E2238" s="50" t="str">
        <x:v>TGT SWING SETUP</x:v>
      </x:c>
      <x:c r="F2238" s="50" t="str">
        <x:v>WATCH</x:v>
      </x:c>
      <x:c r="G2238" s="50"/>
      <x:c r="H2238" s="50" t="str">
        <x:v>LONG</x:v>
      </x:c>
      <x:c r="I2238" s="71" t="n">
        <x:v>149.9755</x:v>
      </x:c>
      <x:c r="J2238" s="76" t="str">
        <x:v>SIP</x:v>
      </x:c>
    </x:row>
    <x:row r="2239">
      <x:c r="A2239" s="50" t="str">
        <x:v>019fde01-1f11-76da-8e83-253cfcf1f4f6</x:v>
      </x:c>
      <x:c r="B2239" s="50" t="str">
        <x:v>SHW</x:v>
      </x:c>
      <x:c r="C2239" s="70" t="n">
        <x:v>46241.87087130787</x:v>
      </x:c>
      <x:c r="D2239" s="50" t="str">
        <x:v>SWING_SETUP</x:v>
      </x:c>
      <x:c r="E2239" s="50" t="str">
        <x:v>SHW SWING SETUP</x:v>
      </x:c>
      <x:c r="F2239" s="50" t="str">
        <x:v>WATCH</x:v>
      </x:c>
      <x:c r="G2239" s="50"/>
      <x:c r="H2239" s="50" t="str">
        <x:v>LONG</x:v>
      </x:c>
      <x:c r="I2239" s="71" t="n">
        <x:v>369.73</x:v>
      </x:c>
      <x:c r="J2239" s="76" t="str">
        <x:v>SIP</x:v>
      </x:c>
    </x:row>
    <x:row r="2240">
      <x:c r="A2240" s="50" t="str">
        <x:v>019fde01-1f62-7b6a-a397-7597741a6f06</x:v>
      </x:c>
      <x:c r="B2240" s="50" t="str">
        <x:v>ABNB</x:v>
      </x:c>
      <x:c r="C2240" s="70" t="n">
        <x:v>46241.870872245374</x:v>
      </x:c>
      <x:c r="D2240" s="50" t="str">
        <x:v>SWING_SETUP</x:v>
      </x:c>
      <x:c r="E2240" s="50" t="str">
        <x:v>ABNB SWING SETUP</x:v>
      </x:c>
      <x:c r="F2240" s="50" t="str">
        <x:v>WATCH</x:v>
      </x:c>
      <x:c r="G2240" s="50"/>
      <x:c r="H2240" s="50" t="str">
        <x:v>LONG</x:v>
      </x:c>
      <x:c r="I2240" s="71" t="n">
        <x:v>177.62</x:v>
      </x:c>
      <x:c r="J2240" s="76" t="str">
        <x:v>SIP</x:v>
      </x:c>
    </x:row>
    <x:row r="2241">
      <x:c r="A2241" s="50" t="str">
        <x:v>019fde01-1fba-7172-9fc0-be036eca77d0</x:v>
      </x:c>
      <x:c r="B2241" s="50" t="str">
        <x:v>DE</x:v>
      </x:c>
      <x:c r="C2241" s="70" t="n">
        <x:v>46241.87087326389</x:v>
      </x:c>
      <x:c r="D2241" s="50" t="str">
        <x:v>SWING_SETUP</x:v>
      </x:c>
      <x:c r="E2241" s="50" t="str">
        <x:v>DE SWING SETUP</x:v>
      </x:c>
      <x:c r="F2241" s="50" t="str">
        <x:v>WATCH</x:v>
      </x:c>
      <x:c r="G2241" s="50"/>
      <x:c r="H2241" s="50" t="str">
        <x:v>LONG</x:v>
      </x:c>
      <x:c r="I2241" s="71" t="n">
        <x:v>620.77</x:v>
      </x:c>
      <x:c r="J2241" s="76" t="str">
        <x:v>SIP</x:v>
      </x:c>
    </x:row>
    <x:row r="2242">
      <x:c r="A2242" s="50" t="str">
        <x:v>019fde01-206b-7cb4-952b-2ec255d37f84</x:v>
      </x:c>
      <x:c r="B2242" s="50" t="str">
        <x:v>NXE</x:v>
      </x:c>
      <x:c r="C2242" s="70" t="n">
        <x:v>46241.8708753125</x:v>
      </x:c>
      <x:c r="D2242" s="50" t="str">
        <x:v>SWING_SETUP</x:v>
      </x:c>
      <x:c r="E2242" s="50" t="str">
        <x:v>NXE SWING SETUP</x:v>
      </x:c>
      <x:c r="F2242" s="50" t="str">
        <x:v>WATCH</x:v>
      </x:c>
      <x:c r="G2242" s="50"/>
      <x:c r="H2242" s="50" t="str">
        <x:v>LONG</x:v>
      </x:c>
      <x:c r="I2242" s="71" t="n">
        <x:v>10.43</x:v>
      </x:c>
      <x:c r="J2242" s="76" t="str">
        <x:v>SIP</x:v>
      </x:c>
    </x:row>
    <x:row r="2243">
      <x:c r="A2243" s="50" t="str">
        <x:v>019fde01-2080-75d2-9362-481e6bd47baf</x:v>
      </x:c>
      <x:c r="B2243" s="50" t="str">
        <x:v>RTX</x:v>
      </x:c>
      <x:c r="C2243" s="70" t="n">
        <x:v>46241.870875555556</x:v>
      </x:c>
      <x:c r="D2243" s="50" t="str">
        <x:v>SWING_SETUP</x:v>
      </x:c>
      <x:c r="E2243" s="50" t="str">
        <x:v>RTX SWING SETUP</x:v>
      </x:c>
      <x:c r="F2243" s="50" t="str">
        <x:v>WATCH</x:v>
      </x:c>
      <x:c r="G2243" s="50"/>
      <x:c r="H2243" s="50" t="str">
        <x:v>LONG</x:v>
      </x:c>
      <x:c r="I2243" s="71" t="n">
        <x:v>222.98</x:v>
      </x:c>
      <x:c r="J2243" s="76" t="str">
        <x:v>SIP</x:v>
      </x:c>
    </x:row>
    <x:row r="2244">
      <x:c r="A2244" s="50" t="str">
        <x:v>019fde02-0945-7fe5-80a2-eb20c33cc993</x:v>
      </x:c>
      <x:c r="B2244" s="50" t="str">
        <x:v>SNOW</x:v>
      </x:c>
      <x:c r="C2244" s="70" t="n">
        <x:v>46241.871565243055</x:v>
      </x:c>
      <x:c r="D2244" s="50" t="str">
        <x:v>SWING_SETUP</x:v>
      </x:c>
      <x:c r="E2244" s="50" t="str">
        <x:v>SNOW SWING SETUP</x:v>
      </x:c>
      <x:c r="F2244" s="50" t="str">
        <x:v>WATCH</x:v>
      </x:c>
      <x:c r="G2244" s="50"/>
      <x:c r="H2244" s="50" t="str">
        <x:v>LONG</x:v>
      </x:c>
      <x:c r="I2244" s="71" t="n">
        <x:v>330.1</x:v>
      </x:c>
      <x:c r="J2244" s="76" t="str">
        <x:v>SIP</x:v>
      </x:c>
    </x:row>
    <x:row r="2245">
      <x:c r="A2245" s="50" t="str">
        <x:v>019fde02-0a44-7b3f-ab5a-e24c3afe20a3</x:v>
      </x:c>
      <x:c r="B2245" s="50" t="str">
        <x:v>CROX</x:v>
      </x:c>
      <x:c r="C2245" s="70" t="n">
        <x:v>46241.871568194445</x:v>
      </x:c>
      <x:c r="D2245" s="50" t="str">
        <x:v>SWING_SETUP</x:v>
      </x:c>
      <x:c r="E2245" s="50" t="str">
        <x:v>CROX SWING SETUP</x:v>
      </x:c>
      <x:c r="F2245" s="50" t="str">
        <x:v>WATCH</x:v>
      </x:c>
      <x:c r="G2245" s="50"/>
      <x:c r="H2245" s="50" t="str">
        <x:v>LONG</x:v>
      </x:c>
      <x:c r="I2245" s="71" t="n">
        <x:v>136.56</x:v>
      </x:c>
      <x:c r="J2245" s="76" t="str">
        <x:v>SIP</x:v>
      </x:c>
    </x:row>
    <x:row r="2246">
      <x:c r="A2246" s="50" t="str">
        <x:v>019fde02-f3a9-73cc-9f7e-191d12b31138</x:v>
      </x:c>
      <x:c r="B2246" s="50" t="str">
        <x:v>RDW</x:v>
      </x:c>
      <x:c r="C2246" s="70" t="n">
        <x:v>46241.8722597338</x:v>
      </x:c>
      <x:c r="D2246" s="50" t="str">
        <x:v>SWING_SETUP</x:v>
      </x:c>
      <x:c r="E2246" s="50" t="str">
        <x:v>RDW SWING SETUP</x:v>
      </x:c>
      <x:c r="F2246" s="50" t="str">
        <x:v>WATCH</x:v>
      </x:c>
      <x:c r="G2246" s="50"/>
      <x:c r="H2246" s="50" t="str">
        <x:v>LONG</x:v>
      </x:c>
      <x:c r="I2246" s="71" t="n">
        <x:v>13.55</x:v>
      </x:c>
      <x:c r="J2246" s="76" t="str">
        <x:v>SIP</x:v>
      </x:c>
    </x:row>
    <x:row r="2247">
      <x:c r="A2247" s="50" t="str">
        <x:v>019fde02-f3d5-735f-a2f5-23c4f57f3e34</x:v>
      </x:c>
      <x:c r="B2247" s="50" t="str">
        <x:v>AMZN</x:v>
      </x:c>
      <x:c r="C2247" s="70" t="n">
        <x:v>46241.87226024306</x:v>
      </x:c>
      <x:c r="D2247" s="50" t="str">
        <x:v>SWING_SETUP</x:v>
      </x:c>
      <x:c r="E2247" s="50" t="str">
        <x:v>AMZN SWING SETUP</x:v>
      </x:c>
      <x:c r="F2247" s="50" t="str">
        <x:v>WATCH</x:v>
      </x:c>
      <x:c r="G2247" s="50"/>
      <x:c r="H2247" s="50" t="str">
        <x:v>LONG</x:v>
      </x:c>
      <x:c r="I2247" s="71" t="n">
        <x:v>274.3</x:v>
      </x:c>
      <x:c r="J2247" s="76" t="str">
        <x:v>SIP</x:v>
      </x:c>
    </x:row>
    <x:row r="2248">
      <x:c r="A2248" s="50" t="str">
        <x:v>019fde03-e04a-7523-b3ed-c50c0a4ee440</x:v>
      </x:c>
      <x:c r="B2248" s="50" t="str">
        <x:v>MRK</x:v>
      </x:c>
      <x:c r="C2248" s="70" t="n">
        <x:v>46241.87296085648</x:v>
      </x:c>
      <x:c r="D2248" s="50" t="str">
        <x:v>SWING_SETUP</x:v>
      </x:c>
      <x:c r="E2248" s="50" t="str">
        <x:v>MRK SWING SETUP</x:v>
      </x:c>
      <x:c r="F2248" s="50" t="str">
        <x:v>WATCH</x:v>
      </x:c>
      <x:c r="G2248" s="50"/>
      <x:c r="H2248" s="50" t="str">
        <x:v>LONG</x:v>
      </x:c>
      <x:c r="I2248" s="71" t="n">
        <x:v>128.57</x:v>
      </x:c>
      <x:c r="J2248" s="76" t="str">
        <x:v>SIP</x:v>
      </x:c>
    </x:row>
    <x:row r="2249">
      <x:c r="A2249" s="50" t="str">
        <x:v>019fde06-9c86-7723-9ae5-d44bed1f1157</x:v>
      </x:c>
      <x:c r="B2249" s="50" t="str">
        <x:v>PLTR</x:v>
      </x:c>
      <x:c r="C2249" s="70" t="n">
        <x:v>46241.875035625</x:v>
      </x:c>
      <x:c r="D2249" s="50" t="str">
        <x:v>SWING_SETUP</x:v>
      </x:c>
      <x:c r="E2249" s="50" t="str">
        <x:v>PLTR SWING SETUP</x:v>
      </x:c>
      <x:c r="F2249" s="50" t="str">
        <x:v>WATCH</x:v>
      </x:c>
      <x:c r="G2249" s="50"/>
      <x:c r="H2249" s="50" t="str">
        <x:v>LONG</x:v>
      </x:c>
      <x:c r="I2249" s="71" t="n">
        <x:v>171.5655</x:v>
      </x:c>
      <x:c r="J2249" s="76" t="str">
        <x:v>SIP</x:v>
      </x:c>
    </x:row>
    <x:row r="2250">
      <x:c r="A2250" s="50" t="str">
        <x:v>019fde06-9d58-7389-8585-1465bfe8d9c6</x:v>
      </x:c>
      <x:c r="B2250" s="50" t="str">
        <x:v>NOC</x:v>
      </x:c>
      <x:c r="C2250" s="70" t="n">
        <x:v>46241.87503805556</x:v>
      </x:c>
      <x:c r="D2250" s="50" t="str">
        <x:v>SWING_SETUP</x:v>
      </x:c>
      <x:c r="E2250" s="50" t="str">
        <x:v>NOC SWING SETUP</x:v>
      </x:c>
      <x:c r="F2250" s="50" t="str">
        <x:v>WATCH</x:v>
      </x:c>
      <x:c r="G2250" s="50"/>
      <x:c r="H2250" s="50" t="str">
        <x:v>LONG</x:v>
      </x:c>
      <x:c r="I2250" s="71" t="n">
        <x:v>571.58</x:v>
      </x:c>
      <x:c r="J2250" s="76" t="str">
        <x:v>SIP</x:v>
      </x:c>
    </x:row>
    <x:row r="2251">
      <x:c r="A2251" s="50" t="str">
        <x:v>019fde06-9ebc-7167-9072-23103dc2730e</x:v>
      </x:c>
      <x:c r="B2251" s="50" t="str">
        <x:v>VZ</x:v>
      </x:c>
      <x:c r="C2251" s="70" t="n">
        <x:v>46241.87504216435</x:v>
      </x:c>
      <x:c r="D2251" s="50" t="str">
        <x:v>SWING_SETUP</x:v>
      </x:c>
      <x:c r="E2251" s="50" t="str">
        <x:v>VZ SWING SETUP</x:v>
      </x:c>
      <x:c r="F2251" s="50" t="str">
        <x:v>WATCH</x:v>
      </x:c>
      <x:c r="G2251" s="50"/>
      <x:c r="H2251" s="50" t="str">
        <x:v>LONG</x:v>
      </x:c>
      <x:c r="I2251" s="71" t="n">
        <x:v>46.9839</x:v>
      </x:c>
      <x:c r="J2251" s="76" t="str">
        <x:v>SIP</x:v>
      </x:c>
    </x:row>
    <x:row r="2252">
      <x:c r="A2252" s="50" t="str">
        <x:v>019fde07-882c-7f95-be38-41ba394a0294</x:v>
      </x:c>
      <x:c r="B2252" s="50" t="str">
        <x:v>INTU</x:v>
      </x:c>
      <x:c r="C2252" s="70" t="n">
        <x:v>46241.87573384259</x:v>
      </x:c>
      <x:c r="D2252" s="50" t="str">
        <x:v>SWING_SETUP</x:v>
      </x:c>
      <x:c r="E2252" s="50" t="str">
        <x:v>INTU SWING SETUP</x:v>
      </x:c>
      <x:c r="F2252" s="50" t="str">
        <x:v>WATCH</x:v>
      </x:c>
      <x:c r="G2252" s="50"/>
      <x:c r="H2252" s="50" t="str">
        <x:v>LONG</x:v>
      </x:c>
      <x:c r="I2252" s="71" t="n">
        <x:v>325.25</x:v>
      </x:c>
      <x:c r="J2252" s="76" t="str">
        <x:v>SIP</x:v>
      </x:c>
    </x:row>
    <x:row r="2253">
      <x:c r="A2253" s="50" t="str">
        <x:v>019fde07-88df-7d2a-9e61-551bf7eb3804</x:v>
      </x:c>
      <x:c r="B2253" s="50" t="str">
        <x:v>OXY</x:v>
      </x:c>
      <x:c r="C2253" s="70" t="n">
        <x:v>46241.87573591435</x:v>
      </x:c>
      <x:c r="D2253" s="50" t="str">
        <x:v>SWING_SETUP</x:v>
      </x:c>
      <x:c r="E2253" s="50" t="str">
        <x:v>OXY SWING SETUP</x:v>
      </x:c>
      <x:c r="F2253" s="50" t="str">
        <x:v>WATCH</x:v>
      </x:c>
      <x:c r="G2253" s="50"/>
      <x:c r="H2253" s="50" t="str">
        <x:v>LONG</x:v>
      </x:c>
      <x:c r="I2253" s="71" t="n">
        <x:v>56.03</x:v>
      </x:c>
      <x:c r="J2253" s="76" t="str">
        <x:v>SIP</x:v>
      </x:c>
    </x:row>
    <x:row r="2254">
      <x:c r="A2254" s="50" t="str">
        <x:v>019fde07-88f4-7729-9220-e66530199df6</x:v>
      </x:c>
      <x:c r="B2254" s="50" t="str">
        <x:v>COP</x:v>
      </x:c>
      <x:c r="C2254" s="70" t="n">
        <x:v>46241.87573615741</x:v>
      </x:c>
      <x:c r="D2254" s="50" t="str">
        <x:v>SWING_SETUP</x:v>
      </x:c>
      <x:c r="E2254" s="50" t="str">
        <x:v>COP SWING SETUP</x:v>
      </x:c>
      <x:c r="F2254" s="50" t="str">
        <x:v>WATCH</x:v>
      </x:c>
      <x:c r="G2254" s="50"/>
      <x:c r="H2254" s="50" t="str">
        <x:v>LONG</x:v>
      </x:c>
      <x:c r="I2254" s="71" t="n">
        <x:v>117.6</x:v>
      </x:c>
      <x:c r="J2254" s="76" t="str">
        <x:v>SIP</x:v>
      </x:c>
    </x:row>
    <x:row r="2255">
      <x:c r="A2255" s="50" t="str">
        <x:v>019fde08-6fd9-7454-a1e7-bf6fb23050f2</x:v>
      </x:c>
      <x:c r="B2255" s="50" t="str">
        <x:v>SBUX</x:v>
      </x:c>
      <x:c r="C2255" s="70" t="n">
        <x:v>46241.87642028935</x:v>
      </x:c>
      <x:c r="D2255" s="50" t="str">
        <x:v>SWING_SETUP</x:v>
      </x:c>
      <x:c r="E2255" s="50" t="str">
        <x:v>SBUX SWING SETUP</x:v>
      </x:c>
      <x:c r="F2255" s="50" t="str">
        <x:v>WATCH</x:v>
      </x:c>
      <x:c r="G2255" s="50"/>
      <x:c r="H2255" s="50" t="str">
        <x:v>LONG</x:v>
      </x:c>
      <x:c r="I2255" s="71" t="n">
        <x:v>105.58</x:v>
      </x:c>
      <x:c r="J2255" s="76" t="str">
        <x:v>SIP</x:v>
      </x:c>
    </x:row>
    <x:row r="2256">
      <x:c r="A2256" s="50" t="str">
        <x:v>019fde08-7000-7331-a311-ab4d0d5c8ef2</x:v>
      </x:c>
      <x:c r="B2256" s="50" t="str">
        <x:v>SBUX</x:v>
      </x:c>
      <x:c r="C2256" s="70" t="n">
        <x:v>46241.876420740744</x:v>
      </x:c>
      <x:c r="D2256" s="50" t="str">
        <x:v>LONG_BUY_ZONE</x:v>
      </x:c>
      <x:c r="E2256" s="50" t="str">
        <x:v>SBUX LONG BUY ZONE</x:v>
      </x:c>
      <x:c r="F2256" s="50" t="str">
        <x:v>WATCH</x:v>
      </x:c>
      <x:c r="G2256" s="50"/>
      <x:c r="H2256" s="50" t="str">
        <x:v>LONG</x:v>
      </x:c>
      <x:c r="I2256" s="71" t="n">
        <x:v>105.5823</x:v>
      </x:c>
      <x:c r="J2256" s="76" t="str">
        <x:v>SIP</x:v>
      </x:c>
    </x:row>
    <x:row r="2257">
      <x:c r="A2257" s="50" t="str">
        <x:v>019fde08-73a0-7275-9478-c5b24b49ffd6</x:v>
      </x:c>
      <x:c r="B2257" s="50" t="str">
        <x:v>APA</x:v>
      </x:c>
      <x:c r="C2257" s="70" t="n">
        <x:v>46241.87643148148</x:v>
      </x:c>
      <x:c r="D2257" s="50" t="str">
        <x:v>SWING_SETUP</x:v>
      </x:c>
      <x:c r="E2257" s="50" t="str">
        <x:v>APA SWING SETUP</x:v>
      </x:c>
      <x:c r="F2257" s="50" t="str">
        <x:v>WATCH</x:v>
      </x:c>
      <x:c r="G2257" s="50"/>
      <x:c r="H2257" s="50" t="str">
        <x:v>LONG</x:v>
      </x:c>
      <x:c r="I2257" s="71" t="n">
        <x:v>37.648</x:v>
      </x:c>
      <x:c r="J2257" s="76" t="str">
        <x:v>SIP</x:v>
      </x:c>
    </x:row>
    <x:row r="2258">
      <x:c r="A2258" s="50" t="str">
        <x:v>019fde08-73a7-7b4e-9082-c474e31c41ea</x:v>
      </x:c>
      <x:c r="B2258" s="50" t="str">
        <x:v>WELL</x:v>
      </x:c>
      <x:c r="C2258" s="70" t="n">
        <x:v>46241.8764315625</x:v>
      </x:c>
      <x:c r="D2258" s="50" t="str">
        <x:v>SWING_SETUP</x:v>
      </x:c>
      <x:c r="E2258" s="50" t="str">
        <x:v>WELL SWING SETUP</x:v>
      </x:c>
      <x:c r="F2258" s="50" t="str">
        <x:v>WATCH</x:v>
      </x:c>
      <x:c r="G2258" s="50"/>
      <x:c r="H2258" s="50" t="str">
        <x:v>LONG</x:v>
      </x:c>
      <x:c r="I2258" s="71" t="n">
        <x:v>236.92</x:v>
      </x:c>
      <x:c r="J2258" s="76" t="str">
        <x:v>SIP</x:v>
      </x:c>
    </x:row>
    <x:row r="2259">
      <x:c r="A2259" s="50" t="str">
        <x:v>019fde09-5adf-7cc7-937f-f03b0d1b7434</x:v>
      </x:c>
      <x:c r="B2259" s="50" t="str">
        <x:v>ETHA</x:v>
      </x:c>
      <x:c r="C2259" s="70" t="n">
        <x:v>46241.877116655094</x:v>
      </x:c>
      <x:c r="D2259" s="50" t="str">
        <x:v>SWING_SETUP</x:v>
      </x:c>
      <x:c r="E2259" s="50" t="str">
        <x:v>ETHA SWING SETUP</x:v>
      </x:c>
      <x:c r="F2259" s="50" t="str">
        <x:v>WATCH</x:v>
      </x:c>
      <x:c r="G2259" s="50"/>
      <x:c r="H2259" s="50" t="str">
        <x:v>LONG</x:v>
      </x:c>
      <x:c r="I2259" s="71" t="n">
        <x:v>14.4627</x:v>
      </x:c>
      <x:c r="J2259" s="76" t="str">
        <x:v>SIP</x:v>
      </x:c>
    </x:row>
    <x:row r="2260">
      <x:c r="A2260" s="50" t="str">
        <x:v>019fde09-5bd9-7edb-bd50-d36374a89d68</x:v>
      </x:c>
      <x:c r="B2260" s="50" t="str">
        <x:v>ETN</x:v>
      </x:c>
      <x:c r="C2260" s="70" t="n">
        <x:v>46241.87711954861</x:v>
      </x:c>
      <x:c r="D2260" s="50" t="str">
        <x:v>SWING_SETUP</x:v>
      </x:c>
      <x:c r="E2260" s="50" t="str">
        <x:v>ETN SWING SETUP</x:v>
      </x:c>
      <x:c r="F2260" s="50" t="str">
        <x:v>WATCH</x:v>
      </x:c>
      <x:c r="G2260" s="50"/>
      <x:c r="H2260" s="50" t="str">
        <x:v>LONG</x:v>
      </x:c>
      <x:c r="I2260" s="71" t="n">
        <x:v>448.67</x:v>
      </x:c>
      <x:c r="J2260" s="76" t="str">
        <x:v>SIP</x:v>
      </x:c>
    </x:row>
    <x:row r="2261">
      <x:c r="A2261" s="50" t="str">
        <x:v>019fde09-5c01-74da-ba72-d8f27b4d5229</x:v>
      </x:c>
      <x:c r="B2261" s="50" t="str">
        <x:v>GRAB</x:v>
      </x:c>
      <x:c r="C2261" s="70" t="n">
        <x:v>46241.87712001157</x:v>
      </x:c>
      <x:c r="D2261" s="50" t="str">
        <x:v>SWING_SETUP</x:v>
      </x:c>
      <x:c r="E2261" s="50" t="str">
        <x:v>GRAB SWING SETUP</x:v>
      </x:c>
      <x:c r="F2261" s="50" t="str">
        <x:v>WATCH</x:v>
      </x:c>
      <x:c r="G2261" s="50"/>
      <x:c r="H2261" s="50" t="str">
        <x:v>LONG</x:v>
      </x:c>
      <x:c r="I2261" s="71" t="n">
        <x:v>3.6597</x:v>
      </x:c>
      <x:c r="J2261" s="76" t="str">
        <x:v>SIP</x:v>
      </x:c>
    </x:row>
    <x:row r="2262">
      <x:c r="A2262" s="50" t="str">
        <x:v>019fde09-5c71-7385-a75f-4fe43de0d56b</x:v>
      </x:c>
      <x:c r="B2262" s="50" t="str">
        <x:v>ANET</x:v>
      </x:c>
      <x:c r="C2262" s="70" t="n">
        <x:v>46241.87712130787</x:v>
      </x:c>
      <x:c r="D2262" s="50" t="str">
        <x:v>SWING_SETUP</x:v>
      </x:c>
      <x:c r="E2262" s="50" t="str">
        <x:v>ANET SWING SETUP</x:v>
      </x:c>
      <x:c r="F2262" s="50" t="str">
        <x:v>WATCH</x:v>
      </x:c>
      <x:c r="G2262" s="50"/>
      <x:c r="H2262" s="50" t="str">
        <x:v>LONG</x:v>
      </x:c>
      <x:c r="I2262" s="71" t="n">
        <x:v>189.1</x:v>
      </x:c>
      <x:c r="J2262" s="76" t="str">
        <x:v>SIP</x:v>
      </x:c>
    </x:row>
    <x:row r="2263">
      <x:c r="A2263" s="50" t="str">
        <x:v>019fde09-5c82-7318-adab-6541708460c7</x:v>
      </x:c>
      <x:c r="B2263" s="50" t="str">
        <x:v>APH</x:v>
      </x:c>
      <x:c r="C2263" s="70" t="n">
        <x:v>46241.87712150463</x:v>
      </x:c>
      <x:c r="D2263" s="50" t="str">
        <x:v>SWING_SETUP</x:v>
      </x:c>
      <x:c r="E2263" s="50" t="str">
        <x:v>APH SWING SETUP</x:v>
      </x:c>
      <x:c r="F2263" s="50" t="str">
        <x:v>WATCH</x:v>
      </x:c>
      <x:c r="G2263" s="50"/>
      <x:c r="H2263" s="50" t="str">
        <x:v>LONG</x:v>
      </x:c>
      <x:c r="I2263" s="71" t="n">
        <x:v>169.17</x:v>
      </x:c>
      <x:c r="J2263" s="76" t="str">
        <x:v>SIP</x:v>
      </x:c>
    </x:row>
    <x:row r="2264">
      <x:c r="A2264" s="50" t="str">
        <x:v>019fde09-5ca2-7105-bdc2-9f617e722cff</x:v>
      </x:c>
      <x:c r="B2264" s="50" t="str">
        <x:v>ACHV</x:v>
      </x:c>
      <x:c r="C2264" s="70" t="n">
        <x:v>46241.877121875</x:v>
      </x:c>
      <x:c r="D2264" s="50" t="str">
        <x:v>SWING_SETUP</x:v>
      </x:c>
      <x:c r="E2264" s="50" t="str">
        <x:v>ACHV SWING SETUP</x:v>
      </x:c>
      <x:c r="F2264" s="50" t="str">
        <x:v>WATCH</x:v>
      </x:c>
      <x:c r="G2264" s="50"/>
      <x:c r="H2264" s="50" t="str">
        <x:v>LONG</x:v>
      </x:c>
      <x:c r="I2264" s="71" t="n">
        <x:v>6.65</x:v>
      </x:c>
      <x:c r="J2264" s="76" t="str">
        <x:v>SIP</x:v>
      </x:c>
    </x:row>
    <x:row r="2265">
      <x:c r="A2265" s="50" t="str">
        <x:v>019fde0a-44a6-7028-8644-08b1ed63159b</x:v>
      </x:c>
      <x:c r="B2265" s="50" t="str">
        <x:v>PFE</x:v>
      </x:c>
      <x:c r="C2265" s="70" t="n">
        <x:v>46241.87780931713</x:v>
      </x:c>
      <x:c r="D2265" s="50" t="str">
        <x:v>SWING_SETUP</x:v>
      </x:c>
      <x:c r="E2265" s="50" t="str">
        <x:v>PFE SWING SETUP</x:v>
      </x:c>
      <x:c r="F2265" s="50" t="str">
        <x:v>WATCH</x:v>
      </x:c>
      <x:c r="G2265" s="50"/>
      <x:c r="H2265" s="50" t="str">
        <x:v>LONG</x:v>
      </x:c>
      <x:c r="I2265" s="71" t="n">
        <x:v>26.6117</x:v>
      </x:c>
      <x:c r="J2265" s="76" t="str">
        <x:v>SIP</x:v>
      </x:c>
    </x:row>
    <x:row r="2266">
      <x:c r="A2266" s="50" t="str">
        <x:v>019fde0a-4515-7288-b5cf-edb566aa2d08</x:v>
      </x:c>
      <x:c r="B2266" s="50" t="str">
        <x:v>VZ</x:v>
      </x:c>
      <x:c r="C2266" s="70" t="n">
        <x:v>46241.87781061343</x:v>
      </x:c>
      <x:c r="D2266" s="50" t="str">
        <x:v>LONG_BUY_ZONE</x:v>
      </x:c>
      <x:c r="E2266" s="50" t="str">
        <x:v>VZ LONG BUY ZONE</x:v>
      </x:c>
      <x:c r="F2266" s="50" t="str">
        <x:v>WATCH</x:v>
      </x:c>
      <x:c r="G2266" s="50"/>
      <x:c r="H2266" s="50" t="str">
        <x:v>LONG</x:v>
      </x:c>
      <x:c r="I2266" s="71" t="n">
        <x:v>47.02</x:v>
      </x:c>
      <x:c r="J2266" s="76" t="str">
        <x:v>SIP</x:v>
      </x:c>
    </x:row>
    <x:row r="2267">
      <x:c r="A2267" s="50" t="str">
        <x:v>019fde0a-4538-776a-b847-9ea732492ebe</x:v>
      </x:c>
      <x:c r="B2267" s="50" t="str">
        <x:v>GS</x:v>
      </x:c>
      <x:c r="C2267" s="70" t="n">
        <x:v>46241.877811018516</x:v>
      </x:c>
      <x:c r="D2267" s="50" t="str">
        <x:v>LONG_BUY_ZONE</x:v>
      </x:c>
      <x:c r="E2267" s="50" t="str">
        <x:v>GS LONG BUY ZONE</x:v>
      </x:c>
      <x:c r="F2267" s="50" t="str">
        <x:v>WATCH</x:v>
      </x:c>
      <x:c r="G2267" s="50"/>
      <x:c r="H2267" s="50" t="str">
        <x:v>LONG</x:v>
      </x:c>
      <x:c r="I2267" s="71" t="n">
        <x:v>1039.69</x:v>
      </x:c>
      <x:c r="J2267" s="76" t="str">
        <x:v>SIP</x:v>
      </x:c>
    </x:row>
    <x:row r="2268">
      <x:c r="A2268" s="50" t="str">
        <x:v>019fde0a-45a1-73de-8d19-e3dfc81cdf42</x:v>
      </x:c>
      <x:c r="B2268" s="50" t="str">
        <x:v>MDLZ</x:v>
      </x:c>
      <x:c r="C2268" s="70" t="n">
        <x:v>46241.8778122338</x:v>
      </x:c>
      <x:c r="D2268" s="50" t="str">
        <x:v>SWING_SETUP</x:v>
      </x:c>
      <x:c r="E2268" s="50" t="str">
        <x:v>MDLZ SWING SETUP</x:v>
      </x:c>
      <x:c r="F2268" s="50" t="str">
        <x:v>WATCH</x:v>
      </x:c>
      <x:c r="G2268" s="50"/>
      <x:c r="H2268" s="50" t="str">
        <x:v>LONG</x:v>
      </x:c>
      <x:c r="I2268" s="71" t="n">
        <x:v>62.61</x:v>
      </x:c>
      <x:c r="J2268" s="76" t="str">
        <x:v>SIP</x:v>
      </x:c>
    </x:row>
    <x:row r="2269">
      <x:c r="A2269" s="50" t="str">
        <x:v>019fde0a-45b1-76b7-b442-6b2bfb5ca06c</x:v>
      </x:c>
      <x:c r="B2269" s="50" t="str">
        <x:v>UNP</x:v>
      </x:c>
      <x:c r="C2269" s="70" t="n">
        <x:v>46241.877812418985</x:v>
      </x:c>
      <x:c r="D2269" s="50" t="str">
        <x:v>SWING_SETUP</x:v>
      </x:c>
      <x:c r="E2269" s="50" t="str">
        <x:v>UNP SWING SETUP</x:v>
      </x:c>
      <x:c r="F2269" s="50" t="str">
        <x:v>WATCH</x:v>
      </x:c>
      <x:c r="G2269" s="50"/>
      <x:c r="H2269" s="50" t="str">
        <x:v>LONG</x:v>
      </x:c>
      <x:c r="I2269" s="71" t="n">
        <x:v>293.13</x:v>
      </x:c>
      <x:c r="J2269" s="76" t="str">
        <x:v>SIP</x:v>
      </x:c>
    </x:row>
    <x:row r="2270">
      <x:c r="A2270" s="50" t="str">
        <x:v>019fde0a-4688-752b-9a39-956121825c44</x:v>
      </x:c>
      <x:c r="B2270" s="50" t="str">
        <x:v>PYPL</x:v>
      </x:c>
      <x:c r="C2270" s="70" t="n">
        <x:v>46241.877814907406</x:v>
      </x:c>
      <x:c r="D2270" s="50" t="str">
        <x:v>SWING_SETUP</x:v>
      </x:c>
      <x:c r="E2270" s="50" t="str">
        <x:v>PYPL SWING SETUP</x:v>
      </x:c>
      <x:c r="F2270" s="50" t="str">
        <x:v>WATCH</x:v>
      </x:c>
      <x:c r="G2270" s="50"/>
      <x:c r="H2270" s="50" t="str">
        <x:v>LONG</x:v>
      </x:c>
      <x:c r="I2270" s="71" t="n">
        <x:v>59.095</x:v>
      </x:c>
      <x:c r="J2270" s="76" t="str">
        <x:v>SIP</x:v>
      </x:c>
    </x:row>
    <x:row r="2271">
      <x:c r="A2271" s="50" t="str">
        <x:v>019fde0a-4726-7d0e-bd2e-e7d5fd0acab4</x:v>
      </x:c>
      <x:c r="B2271" s="50" t="str">
        <x:v>BMY</x:v>
      </x:c>
      <x:c r="C2271" s="70" t="n">
        <x:v>46241.87781673611</x:v>
      </x:c>
      <x:c r="D2271" s="50" t="str">
        <x:v>SWING_SETUP</x:v>
      </x:c>
      <x:c r="E2271" s="50" t="str">
        <x:v>BMY SWING SETUP</x:v>
      </x:c>
      <x:c r="F2271" s="50" t="str">
        <x:v>WATCH</x:v>
      </x:c>
      <x:c r="G2271" s="50"/>
      <x:c r="H2271" s="50" t="str">
        <x:v>LONG</x:v>
      </x:c>
      <x:c r="I2271" s="71" t="n">
        <x:v>64.71</x:v>
      </x:c>
      <x:c r="J2271" s="76" t="str">
        <x:v>SIP</x:v>
      </x:c>
    </x:row>
    <x:row r="2272">
      <x:c r="A2272" s="50" t="str">
        <x:v>019fde0a-47c3-723c-971c-1bff9370343c</x:v>
      </x:c>
      <x:c r="B2272" s="50" t="str">
        <x:v>BAC</x:v>
      </x:c>
      <x:c r="C2272" s="70" t="n">
        <x:v>46241.87781855324</x:v>
      </x:c>
      <x:c r="D2272" s="50" t="str">
        <x:v>SWING_SETUP</x:v>
      </x:c>
      <x:c r="E2272" s="50" t="str">
        <x:v>BAC SWING SETUP</x:v>
      </x:c>
      <x:c r="F2272" s="50" t="str">
        <x:v>WATCH</x:v>
      </x:c>
      <x:c r="G2272" s="50"/>
      <x:c r="H2272" s="50" t="str">
        <x:v>LONG</x:v>
      </x:c>
      <x:c r="I2272" s="71" t="n">
        <x:v>63.17</x:v>
      </x:c>
      <x:c r="J2272" s="76" t="str">
        <x:v>SIP</x:v>
      </x:c>
    </x:row>
    <x:row r="2273">
      <x:c r="A2273" s="50" t="str">
        <x:v>019fde0a-48cd-76e4-9a65-2bad66eb0ce6</x:v>
      </x:c>
      <x:c r="B2273" s="50" t="str">
        <x:v>LMT</x:v>
      </x:c>
      <x:c r="C2273" s="70" t="n">
        <x:v>46241.87782163195</x:v>
      </x:c>
      <x:c r="D2273" s="50" t="str">
        <x:v>SWING_SETUP</x:v>
      </x:c>
      <x:c r="E2273" s="50" t="str">
        <x:v>LMT SWING SETUP</x:v>
      </x:c>
      <x:c r="F2273" s="50" t="str">
        <x:v>WATCH</x:v>
      </x:c>
      <x:c r="G2273" s="50"/>
      <x:c r="H2273" s="50" t="str">
        <x:v>LONG</x:v>
      </x:c>
      <x:c r="I2273" s="71" t="n">
        <x:v>587.92</x:v>
      </x:c>
      <x:c r="J2273" s="76" t="str">
        <x:v>SIP</x:v>
      </x:c>
    </x:row>
    <x:row r="2274">
      <x:c r="A2274" s="50" t="str">
        <x:v>019fde0a-495f-7f7a-bc75-b6bc1f725980</x:v>
      </x:c>
      <x:c r="B2274" s="50" t="str">
        <x:v>NEM</x:v>
      </x:c>
      <x:c r="C2274" s="70" t="n">
        <x:v>46241.87782332176</x:v>
      </x:c>
      <x:c r="D2274" s="50" t="str">
        <x:v>SWING_SETUP</x:v>
      </x:c>
      <x:c r="E2274" s="50" t="str">
        <x:v>NEM SWING SETUP</x:v>
      </x:c>
      <x:c r="F2274" s="50" t="str">
        <x:v>WATCH</x:v>
      </x:c>
      <x:c r="G2274" s="50"/>
      <x:c r="H2274" s="50" t="str">
        <x:v>LONG</x:v>
      </x:c>
      <x:c r="I2274" s="71" t="n">
        <x:v>112.85</x:v>
      </x:c>
      <x:c r="J2274" s="76" t="str">
        <x:v>SIP</x:v>
      </x:c>
    </x:row>
    <x:row r="2275">
      <x:c r="A2275" s="50" t="str">
        <x:v>019fde0b-310c-7ea2-ad3f-ce94741ef7d9</x:v>
      </x:c>
      <x:c r="B2275" s="50" t="str">
        <x:v>RCL</x:v>
      </x:c>
      <x:c r="C2275" s="70" t="n">
        <x:v>46241.87850976852</x:v>
      </x:c>
      <x:c r="D2275" s="50" t="str">
        <x:v>SWING_SETUP</x:v>
      </x:c>
      <x:c r="E2275" s="50" t="str">
        <x:v>RCL SWING SETUP</x:v>
      </x:c>
      <x:c r="F2275" s="50" t="str">
        <x:v>WATCH</x:v>
      </x:c>
      <x:c r="G2275" s="50"/>
      <x:c r="H2275" s="50" t="str">
        <x:v>LONG</x:v>
      </x:c>
      <x:c r="I2275" s="71" t="n">
        <x:v>320</x:v>
      </x:c>
      <x:c r="J2275" s="76" t="str">
        <x:v>SIP</x:v>
      </x:c>
    </x:row>
    <x:row r="2276">
      <x:c r="A2276" s="50" t="str">
        <x:v>019fde0b-3192-7ffe-aac7-72bb13a7dfa9</x:v>
      </x:c>
      <x:c r="B2276" s="50" t="str">
        <x:v>JD</x:v>
      </x:c>
      <x:c r="C2276" s="70" t="n">
        <x:v>46241.878511319446</x:v>
      </x:c>
      <x:c r="D2276" s="50" t="str">
        <x:v>SWING_SETUP</x:v>
      </x:c>
      <x:c r="E2276" s="50" t="str">
        <x:v>JD SWING SETUP</x:v>
      </x:c>
      <x:c r="F2276" s="50" t="str">
        <x:v>WATCH</x:v>
      </x:c>
      <x:c r="G2276" s="50"/>
      <x:c r="H2276" s="50" t="str">
        <x:v>LONG</x:v>
      </x:c>
      <x:c r="I2276" s="71" t="n">
        <x:v>33</x:v>
      </x:c>
      <x:c r="J2276" s="76" t="str">
        <x:v>SIP</x:v>
      </x:c>
    </x:row>
    <x:row r="2277">
      <x:c r="A2277" s="50" t="str">
        <x:v>019fde0b-31bd-7c40-86e9-5069e82ca85f</x:v>
      </x:c>
      <x:c r="B2277" s="50" t="str">
        <x:v>TMDX</x:v>
      </x:c>
      <x:c r="C2277" s="70" t="n">
        <x:v>46241.87851181713</x:v>
      </x:c>
      <x:c r="D2277" s="50" t="str">
        <x:v>SWING_SETUP</x:v>
      </x:c>
      <x:c r="E2277" s="50" t="str">
        <x:v>TMDX SWING SETUP</x:v>
      </x:c>
      <x:c r="F2277" s="50" t="str">
        <x:v>WATCH</x:v>
      </x:c>
      <x:c r="G2277" s="50"/>
      <x:c r="H2277" s="50" t="str">
        <x:v>LONG</x:v>
      </x:c>
      <x:c r="I2277" s="71" t="n">
        <x:v>83.5</x:v>
      </x:c>
      <x:c r="J2277" s="76" t="str">
        <x:v>SIP</x:v>
      </x:c>
    </x:row>
    <x:row r="2278">
      <x:c r="A2278" s="50" t="str">
        <x:v>019fde0c-1a23-75c6-b8c1-d78b034c89c7</x:v>
      </x:c>
      <x:c r="B2278" s="50" t="str">
        <x:v>KO</x:v>
      </x:c>
      <x:c r="C2278" s="70" t="n">
        <x:v>46241.879200393516</x:v>
      </x:c>
      <x:c r="D2278" s="50" t="str">
        <x:v>SWING_SETUP</x:v>
      </x:c>
      <x:c r="E2278" s="50" t="str">
        <x:v>KO SWING SETUP</x:v>
      </x:c>
      <x:c r="F2278" s="50" t="str">
        <x:v>WATCH</x:v>
      </x:c>
      <x:c r="G2278" s="50"/>
      <x:c r="H2278" s="50" t="str">
        <x:v>LONG</x:v>
      </x:c>
      <x:c r="I2278" s="71" t="n">
        <x:v>87.12</x:v>
      </x:c>
      <x:c r="J2278" s="76" t="str">
        <x:v>SIP</x:v>
      </x:c>
    </x:row>
    <x:row r="2279">
      <x:c r="A2279" s="50" t="str">
        <x:v>019fde0c-1a5d-79c6-b4b7-ea6cdfb236e2</x:v>
      </x:c>
      <x:c r="B2279" s="50" t="str">
        <x:v>CEG</x:v>
      </x:c>
      <x:c r="C2279" s="70" t="n">
        <x:v>46241.87920107639</x:v>
      </x:c>
      <x:c r="D2279" s="50" t="str">
        <x:v>SWING_SETUP</x:v>
      </x:c>
      <x:c r="E2279" s="50" t="str">
        <x:v>CEG SWING SETUP</x:v>
      </x:c>
      <x:c r="F2279" s="50" t="str">
        <x:v>WATCH</x:v>
      </x:c>
      <x:c r="G2279" s="50"/>
      <x:c r="H2279" s="50" t="str">
        <x:v>LONG</x:v>
      </x:c>
      <x:c r="I2279" s="71" t="n">
        <x:v>269.9</x:v>
      </x:c>
      <x:c r="J2279" s="76" t="str">
        <x:v>SIP</x:v>
      </x:c>
    </x:row>
    <x:row r="2280">
      <x:c r="A2280" s="50" t="str">
        <x:v>019fde0c-1b27-7b30-81ef-340feeea3b98</x:v>
      </x:c>
      <x:c r="B2280" s="50" t="str">
        <x:v>DLR</x:v>
      </x:c>
      <x:c r="C2280" s="70" t="n">
        <x:v>46241.87920340278</x:v>
      </x:c>
      <x:c r="D2280" s="50" t="str">
        <x:v>SWING_SETUP</x:v>
      </x:c>
      <x:c r="E2280" s="50" t="str">
        <x:v>DLR SWING SETUP</x:v>
      </x:c>
      <x:c r="F2280" s="50" t="str">
        <x:v>WATCH</x:v>
      </x:c>
      <x:c r="G2280" s="50"/>
      <x:c r="H2280" s="50" t="str">
        <x:v>LONG</x:v>
      </x:c>
      <x:c r="I2280" s="71" t="n">
        <x:v>193.8</x:v>
      </x:c>
      <x:c r="J2280" s="76" t="str">
        <x:v>SIP</x:v>
      </x:c>
    </x:row>
    <x:row r="2281">
      <x:c r="A2281" s="50" t="str">
        <x:v>019fde0c-1beb-7e91-a184-8ba843f79268</x:v>
      </x:c>
      <x:c r="B2281" s="50" t="str">
        <x:v>MMM</x:v>
      </x:c>
      <x:c r="C2281" s="70" t="n">
        <x:v>46241.87920568287</x:v>
      </x:c>
      <x:c r="D2281" s="50" t="str">
        <x:v>SWING_SETUP</x:v>
      </x:c>
      <x:c r="E2281" s="50" t="str">
        <x:v>MMM SWING SETUP</x:v>
      </x:c>
      <x:c r="F2281" s="50" t="str">
        <x:v>WATCH</x:v>
      </x:c>
      <x:c r="G2281" s="50"/>
      <x:c r="H2281" s="50" t="str">
        <x:v>LONG</x:v>
      </x:c>
      <x:c r="I2281" s="71" t="n">
        <x:v>182.89</x:v>
      </x:c>
      <x:c r="J2281" s="76" t="str">
        <x:v>SIP</x:v>
      </x:c>
    </x:row>
    <x:row r="2282">
      <x:c r="A2282" s="50" t="str">
        <x:v>019fde0c-1bf5-7b95-b3f8-d5e58628547d</x:v>
      </x:c>
      <x:c r="B2282" s="50" t="str">
        <x:v>ABT</x:v>
      </x:c>
      <x:c r="C2282" s="70" t="n">
        <x:v>46241.879205798614</x:v>
      </x:c>
      <x:c r="D2282" s="50" t="str">
        <x:v>SWING_SETUP</x:v>
      </x:c>
      <x:c r="E2282" s="50" t="str">
        <x:v>ABT SWING SETUP</x:v>
      </x:c>
      <x:c r="F2282" s="50" t="str">
        <x:v>WATCH</x:v>
      </x:c>
      <x:c r="G2282" s="50"/>
      <x:c r="H2282" s="50" t="str">
        <x:v>LONG</x:v>
      </x:c>
      <x:c r="I2282" s="71" t="n">
        <x:v>107.81</x:v>
      </x:c>
      <x:c r="J2282" s="76" t="str">
        <x:v>SIP</x:v>
      </x:c>
    </x:row>
    <x:row r="2283">
      <x:c r="A2283" s="50" t="str">
        <x:v>019fde0c-1dbc-7c1d-8d46-7296ee429bda</x:v>
      </x:c>
      <x:c r="B2283" s="50" t="str">
        <x:v>UEC</x:v>
      </x:c>
      <x:c r="C2283" s="70" t="n">
        <x:v>46241.879211064814</x:v>
      </x:c>
      <x:c r="D2283" s="50" t="str">
        <x:v>SWING_SETUP</x:v>
      </x:c>
      <x:c r="E2283" s="50" t="str">
        <x:v>UEC SWING SETUP</x:v>
      </x:c>
      <x:c r="F2283" s="50" t="str">
        <x:v>WATCH</x:v>
      </x:c>
      <x:c r="G2283" s="50"/>
      <x:c r="H2283" s="50" t="str">
        <x:v>LONG</x:v>
      </x:c>
      <x:c r="I2283" s="71" t="n">
        <x:v>11.2707</x:v>
      </x:c>
      <x:c r="J2283" s="76" t="str">
        <x:v>SIP</x:v>
      </x:c>
    </x:row>
    <x:row r="2284">
      <x:c r="A2284" s="50" t="str">
        <x:v>019fde0c-1e5a-71a8-9f5c-a74fccbb203e</x:v>
      </x:c>
      <x:c r="B2284" s="50" t="str">
        <x:v>JPM</x:v>
      </x:c>
      <x:c r="C2284" s="70" t="n">
        <x:v>46241.87921289352</x:v>
      </x:c>
      <x:c r="D2284" s="50" t="str">
        <x:v>SWING_SETUP</x:v>
      </x:c>
      <x:c r="E2284" s="50" t="str">
        <x:v>JPM SWING SETUP</x:v>
      </x:c>
      <x:c r="F2284" s="50" t="str">
        <x:v>WATCH</x:v>
      </x:c>
      <x:c r="G2284" s="50"/>
      <x:c r="H2284" s="50" t="str">
        <x:v>LONG</x:v>
      </x:c>
      <x:c r="I2284" s="71" t="n">
        <x:v>357.52</x:v>
      </x:c>
      <x:c r="J2284" s="76" t="str">
        <x:v>SIP</x:v>
      </x:c>
    </x:row>
    <x:row r="2285">
      <x:c r="A2285" s="50" t="str">
        <x:v>019fde0c-1e67-7b30-9371-deb1d767df56</x:v>
      </x:c>
      <x:c r="B2285" s="50" t="str">
        <x:v>ECL</x:v>
      </x:c>
      <x:c r="C2285" s="70" t="n">
        <x:v>46241.87921304398</x:v>
      </x:c>
      <x:c r="D2285" s="50" t="str">
        <x:v>SWING_SETUP</x:v>
      </x:c>
      <x:c r="E2285" s="50" t="str">
        <x:v>ECL SWING SETUP</x:v>
      </x:c>
      <x:c r="F2285" s="50" t="str">
        <x:v>WATCH</x:v>
      </x:c>
      <x:c r="G2285" s="50"/>
      <x:c r="H2285" s="50" t="str">
        <x:v>LONG</x:v>
      </x:c>
      <x:c r="I2285" s="71" t="n">
        <x:v>285.03</x:v>
      </x:c>
      <x:c r="J2285" s="76" t="str">
        <x:v>SIP</x:v>
      </x:c>
    </x:row>
    <x:row r="2286">
      <x:c r="A2286" s="50" t="str">
        <x:v>019fde0d-06c1-7f9d-a64c-3a2cdbcb9a27</x:v>
      </x:c>
      <x:c r="B2286" s="50" t="str">
        <x:v>SCHW</x:v>
      </x:c>
      <x:c r="C2286" s="70" t="n">
        <x:v>46241.879901493056</x:v>
      </x:c>
      <x:c r="D2286" s="50" t="str">
        <x:v>SWING_SETUP</x:v>
      </x:c>
      <x:c r="E2286" s="50" t="str">
        <x:v>SCHW SWING SETUP</x:v>
      </x:c>
      <x:c r="F2286" s="50" t="str">
        <x:v>WATCH</x:v>
      </x:c>
      <x:c r="G2286" s="50"/>
      <x:c r="H2286" s="50" t="str">
        <x:v>LONG</x:v>
      </x:c>
      <x:c r="I2286" s="71" t="n">
        <x:v>107.6</x:v>
      </x:c>
      <x:c r="J2286" s="76" t="str">
        <x:v>SIP</x:v>
      </x:c>
    </x:row>
    <x:row r="2287">
      <x:c r="A2287" s="50" t="str">
        <x:v>019fde0d-0723-78fb-949c-d4fc8231dc97</x:v>
      </x:c>
      <x:c r="B2287" s="50" t="str">
        <x:v>BKNG</x:v>
      </x:c>
      <x:c r="C2287" s="70" t="n">
        <x:v>46241.87990262731</x:v>
      </x:c>
      <x:c r="D2287" s="50" t="str">
        <x:v>SWING_SETUP</x:v>
      </x:c>
      <x:c r="E2287" s="50" t="str">
        <x:v>BKNG SWING SETUP</x:v>
      </x:c>
      <x:c r="F2287" s="50" t="str">
        <x:v>WATCH</x:v>
      </x:c>
      <x:c r="G2287" s="50"/>
      <x:c r="H2287" s="50" t="str">
        <x:v>LONG</x:v>
      </x:c>
      <x:c r="I2287" s="71" t="n">
        <x:v>213.82</x:v>
      </x:c>
      <x:c r="J2287" s="76" t="str">
        <x:v>SIP</x:v>
      </x:c>
    </x:row>
    <x:row r="2288">
      <x:c r="A2288" s="50" t="str">
        <x:v>019fde0d-07e0-7ab4-8069-3c6082cf99c4</x:v>
      </x:c>
      <x:c r="B2288" s="50" t="str">
        <x:v>PSX</x:v>
      </x:c>
      <x:c r="C2288" s="70" t="n">
        <x:v>46241.879904814814</x:v>
      </x:c>
      <x:c r="D2288" s="50" t="str">
        <x:v>SWING_SETUP</x:v>
      </x:c>
      <x:c r="E2288" s="50" t="str">
        <x:v>PSX SWING SETUP</x:v>
      </x:c>
      <x:c r="F2288" s="50" t="str">
        <x:v>WATCH</x:v>
      </x:c>
      <x:c r="G2288" s="50"/>
      <x:c r="H2288" s="50" t="str">
        <x:v>LONG</x:v>
      </x:c>
      <x:c r="I2288" s="71" t="n">
        <x:v>203.89</x:v>
      </x:c>
      <x:c r="J2288" s="76" t="str">
        <x:v>SIP</x:v>
      </x:c>
    </x:row>
    <x:row r="2289">
      <x:c r="A2289" s="50" t="str">
        <x:v>019fde0d-f0fa-7796-bcad-68ba2cb6a2ce</x:v>
      </x:c>
      <x:c r="B2289" s="50" t="str">
        <x:v>PM</x:v>
      </x:c>
      <x:c r="C2289" s="70" t="n">
        <x:v>46241.88059548611</x:v>
      </x:c>
      <x:c r="D2289" s="50" t="str">
        <x:v>SWING_SETUP</x:v>
      </x:c>
      <x:c r="E2289" s="50" t="str">
        <x:v>PM SWING SETUP</x:v>
      </x:c>
      <x:c r="F2289" s="50" t="str">
        <x:v>WATCH</x:v>
      </x:c>
      <x:c r="G2289" s="50"/>
      <x:c r="H2289" s="50" t="str">
        <x:v>LONG</x:v>
      </x:c>
      <x:c r="I2289" s="71" t="n">
        <x:v>189.47</x:v>
      </x:c>
      <x:c r="J2289" s="76" t="str">
        <x:v>SIP</x:v>
      </x:c>
    </x:row>
    <x:row r="2290">
      <x:c r="A2290" s="50" t="str">
        <x:v>019fde0e-d9fe-7b35-819f-3ba8876f1349</x:v>
      </x:c>
      <x:c r="B2290" s="50" t="str">
        <x:v>SE</x:v>
      </x:c>
      <x:c r="C2290" s="70" t="n">
        <x:v>46241.881285902775</x:v>
      </x:c>
      <x:c r="D2290" s="50" t="str">
        <x:v>SWING_SETUP</x:v>
      </x:c>
      <x:c r="E2290" s="50" t="str">
        <x:v>SE SWING SETUP</x:v>
      </x:c>
      <x:c r="F2290" s="50" t="str">
        <x:v>WATCH</x:v>
      </x:c>
      <x:c r="G2290" s="50"/>
      <x:c r="H2290" s="50" t="str">
        <x:v>LONG</x:v>
      </x:c>
      <x:c r="I2290" s="71" t="n">
        <x:v>113.34</x:v>
      </x:c>
      <x:c r="J2290" s="76" t="str">
        <x:v>SIP</x:v>
      </x:c>
    </x:row>
    <x:row r="2291">
      <x:c r="A2291" s="50" t="str">
        <x:v>019fde0e-da4f-75c0-bc86-1a874812e443</x:v>
      </x:c>
      <x:c r="B2291" s="50" t="str">
        <x:v>NUE</x:v>
      </x:c>
      <x:c r="C2291" s="70" t="n">
        <x:v>46241.881286840275</x:v>
      </x:c>
      <x:c r="D2291" s="50" t="str">
        <x:v>SWING_SETUP</x:v>
      </x:c>
      <x:c r="E2291" s="50" t="str">
        <x:v>NUE SWING SETUP</x:v>
      </x:c>
      <x:c r="F2291" s="50" t="str">
        <x:v>WATCH</x:v>
      </x:c>
      <x:c r="G2291" s="50"/>
      <x:c r="H2291" s="50" t="str">
        <x:v>LONG</x:v>
      </x:c>
      <x:c r="I2291" s="71" t="n">
        <x:v>272.57</x:v>
      </x:c>
      <x:c r="J2291" s="76" t="str">
        <x:v>SIP</x:v>
      </x:c>
    </x:row>
    <x:row r="2292">
      <x:c r="A2292" s="50" t="str">
        <x:v>019fde0e-db1e-7c28-ab20-b5bb25407681</x:v>
      </x:c>
      <x:c r="B2292" s="50" t="str">
        <x:v>BLK</x:v>
      </x:c>
      <x:c r="C2292" s="70" t="n">
        <x:v>46241.88128923611</x:v>
      </x:c>
      <x:c r="D2292" s="50" t="str">
        <x:v>SWING_SETUP</x:v>
      </x:c>
      <x:c r="E2292" s="50" t="str">
        <x:v>BLK SWING SETUP</x:v>
      </x:c>
      <x:c r="F2292" s="50" t="str">
        <x:v>WATCH</x:v>
      </x:c>
      <x:c r="G2292" s="50"/>
      <x:c r="H2292" s="50" t="str">
        <x:v>LONG</x:v>
      </x:c>
      <x:c r="I2292" s="71" t="n">
        <x:v>1136.4</x:v>
      </x:c>
      <x:c r="J2292" s="76" t="str">
        <x:v>SIP</x:v>
      </x:c>
    </x:row>
    <x:row r="2293">
      <x:c r="A2293" s="50" t="str">
        <x:v>019fde0e-db46-7402-8f0a-890a3b85b1b2</x:v>
      </x:c>
      <x:c r="B2293" s="50" t="str">
        <x:v>ECL</x:v>
      </x:c>
      <x:c r="C2293" s="70" t="n">
        <x:v>46241.88128969907</x:v>
      </x:c>
      <x:c r="D2293" s="50" t="str">
        <x:v>LONG_BUY_ZONE</x:v>
      </x:c>
      <x:c r="E2293" s="50" t="str">
        <x:v>ECL LONG BUY ZONE</x:v>
      </x:c>
      <x:c r="F2293" s="50" t="str">
        <x:v>WATCH</x:v>
      </x:c>
      <x:c r="G2293" s="50"/>
      <x:c r="H2293" s="50" t="str">
        <x:v>LONG</x:v>
      </x:c>
      <x:c r="I2293" s="71" t="n">
        <x:v>285.32</x:v>
      </x:c>
      <x:c r="J2293" s="76" t="str">
        <x:v>SIP</x:v>
      </x:c>
    </x:row>
    <x:row r="2294">
      <x:c r="A2294" s="50" t="str">
        <x:v>019fde0e-dbce-7b54-99b1-096036e1d287</x:v>
      </x:c>
      <x:c r="B2294" s="50" t="str">
        <x:v>BABA</x:v>
      </x:c>
      <x:c r="C2294" s="70" t="n">
        <x:v>46241.881291273145</x:v>
      </x:c>
      <x:c r="D2294" s="50" t="str">
        <x:v>SWING_SETUP</x:v>
      </x:c>
      <x:c r="E2294" s="50" t="str">
        <x:v>BABA SWING SETUP</x:v>
      </x:c>
      <x:c r="F2294" s="50" t="str">
        <x:v>WATCH</x:v>
      </x:c>
      <x:c r="G2294" s="50"/>
      <x:c r="H2294" s="50" t="str">
        <x:v>LONG</x:v>
      </x:c>
      <x:c r="I2294" s="71" t="n">
        <x:v>128.3</x:v>
      </x:c>
      <x:c r="J2294" s="76" t="str">
        <x:v>SIP</x:v>
      </x:c>
    </x:row>
    <x:row r="2295">
      <x:c r="A2295" s="50" t="str">
        <x:v>019fde0e-dbf2-7719-9cd0-778d17922a49</x:v>
      </x:c>
      <x:c r="B2295" s="50" t="str">
        <x:v>BLFS</x:v>
      </x:c>
      <x:c r="C2295" s="70" t="n">
        <x:v>46241.88129168982</x:v>
      </x:c>
      <x:c r="D2295" s="50" t="str">
        <x:v>SWING_SETUP</x:v>
      </x:c>
      <x:c r="E2295" s="50" t="str">
        <x:v>BLFS SWING SETUP</x:v>
      </x:c>
      <x:c r="F2295" s="50" t="str">
        <x:v>WATCH</x:v>
      </x:c>
      <x:c r="G2295" s="50"/>
      <x:c r="H2295" s="50" t="str">
        <x:v>LONG</x:v>
      </x:c>
      <x:c r="I2295" s="71" t="n">
        <x:v>34.645</x:v>
      </x:c>
      <x:c r="J2295" s="76" t="str">
        <x:v>SIP</x:v>
      </x:c>
    </x:row>
    <x:row r="2296">
      <x:c r="A2296" s="50" t="str">
        <x:v>019fde0f-c3bb-710f-8819-c1d0bcc885c3</x:v>
      </x:c>
      <x:c r="B2296" s="50" t="str">
        <x:v>SHW</x:v>
      </x:c>
      <x:c r="C2296" s="70" t="n">
        <x:v>46241.881978460646</x:v>
      </x:c>
      <x:c r="D2296" s="50" t="str">
        <x:v>SWING_SETUP</x:v>
      </x:c>
      <x:c r="E2296" s="50" t="str">
        <x:v>SHW SWING SETUP</x:v>
      </x:c>
      <x:c r="F2296" s="50" t="str">
        <x:v>WATCH</x:v>
      </x:c>
      <x:c r="G2296" s="50"/>
      <x:c r="H2296" s="50" t="str">
        <x:v>LONG</x:v>
      </x:c>
      <x:c r="I2296" s="71" t="n">
        <x:v>369.73</x:v>
      </x:c>
      <x:c r="J2296" s="76" t="str">
        <x:v>SIP</x:v>
      </x:c>
    </x:row>
    <x:row r="2297">
      <x:c r="A2297" s="50" t="str">
        <x:v>019fde0f-c42d-704e-8c04-02178948819a</x:v>
      </x:c>
      <x:c r="B2297" s="50" t="str">
        <x:v>ABNB</x:v>
      </x:c>
      <x:c r="C2297" s="70" t="n">
        <x:v>46241.88197978009</x:v>
      </x:c>
      <x:c r="D2297" s="50" t="str">
        <x:v>SWING_SETUP</x:v>
      </x:c>
      <x:c r="E2297" s="50" t="str">
        <x:v>ABNB SWING SETUP</x:v>
      </x:c>
      <x:c r="F2297" s="50" t="str">
        <x:v>WATCH</x:v>
      </x:c>
      <x:c r="G2297" s="50"/>
      <x:c r="H2297" s="50" t="str">
        <x:v>LONG</x:v>
      </x:c>
      <x:c r="I2297" s="71" t="n">
        <x:v>177.295</x:v>
      </x:c>
      <x:c r="J2297" s="76" t="str">
        <x:v>SIP</x:v>
      </x:c>
    </x:row>
    <x:row r="2298">
      <x:c r="A2298" s="50" t="str">
        <x:v>019fde0f-c463-7654-833c-cd3dc0244736</x:v>
      </x:c>
      <x:c r="B2298" s="50" t="str">
        <x:v>DE</x:v>
      </x:c>
      <x:c r="C2298" s="70" t="n">
        <x:v>46241.881980405095</x:v>
      </x:c>
      <x:c r="D2298" s="50" t="str">
        <x:v>SWING_SETUP</x:v>
      </x:c>
      <x:c r="E2298" s="50" t="str">
        <x:v>DE SWING SETUP</x:v>
      </x:c>
      <x:c r="F2298" s="50" t="str">
        <x:v>WATCH</x:v>
      </x:c>
      <x:c r="G2298" s="50"/>
      <x:c r="H2298" s="50" t="str">
        <x:v>LONG</x:v>
      </x:c>
      <x:c r="I2298" s="71" t="n">
        <x:v>620.77</x:v>
      </x:c>
      <x:c r="J2298" s="76" t="str">
        <x:v>SIP</x:v>
      </x:c>
    </x:row>
    <x:row r="2299">
      <x:c r="A2299" s="50" t="str">
        <x:v>019fde0f-c535-7e15-9faa-8e0ae4993f1a</x:v>
      </x:c>
      <x:c r="B2299" s="50" t="str">
        <x:v>RTX</x:v>
      </x:c>
      <x:c r="C2299" s="70" t="n">
        <x:v>46241.88198283565</x:v>
      </x:c>
      <x:c r="D2299" s="50" t="str">
        <x:v>SWING_SETUP</x:v>
      </x:c>
      <x:c r="E2299" s="50" t="str">
        <x:v>RTX SWING SETUP</x:v>
      </x:c>
      <x:c r="F2299" s="50" t="str">
        <x:v>WATCH</x:v>
      </x:c>
      <x:c r="G2299" s="50"/>
      <x:c r="H2299" s="50" t="str">
        <x:v>LONG</x:v>
      </x:c>
      <x:c r="I2299" s="71" t="n">
        <x:v>222.98</x:v>
      </x:c>
      <x:c r="J2299" s="76" t="str">
        <x:v>SIP</x:v>
      </x:c>
    </x:row>
    <x:row r="2300">
      <x:c r="A2300" s="50" t="str">
        <x:v>019fde0f-c578-7261-9ea8-6eb463577dbf</x:v>
      </x:c>
      <x:c r="B2300" s="50" t="str">
        <x:v>WFC</x:v>
      </x:c>
      <x:c r="C2300" s="70" t="n">
        <x:v>46241.88198359954</x:v>
      </x:c>
      <x:c r="D2300" s="50" t="str">
        <x:v>SWING_SETUP</x:v>
      </x:c>
      <x:c r="E2300" s="50" t="str">
        <x:v>WFC SWING SETUP</x:v>
      </x:c>
      <x:c r="F2300" s="50" t="str">
        <x:v>WATCH</x:v>
      </x:c>
      <x:c r="G2300" s="50"/>
      <x:c r="H2300" s="50" t="str">
        <x:v>LONG</x:v>
      </x:c>
      <x:c r="I2300" s="71" t="n">
        <x:v>87.235</x:v>
      </x:c>
      <x:c r="J2300" s="76" t="str">
        <x:v>SIP</x:v>
      </x:c>
    </x:row>
    <x:row r="2301">
      <x:c r="A2301" s="50" t="str">
        <x:v>019fde0f-c598-7950-81da-21add71fecc6</x:v>
      </x:c>
      <x:c r="B2301" s="50" t="str">
        <x:v>AMGN</x:v>
      </x:c>
      <x:c r="C2301" s="70" t="n">
        <x:v>46241.88198398148</x:v>
      </x:c>
      <x:c r="D2301" s="50" t="str">
        <x:v>SWING_SETUP</x:v>
      </x:c>
      <x:c r="E2301" s="50" t="str">
        <x:v>AMGN SWING SETUP</x:v>
      </x:c>
      <x:c r="F2301" s="50" t="str">
        <x:v>WATCH</x:v>
      </x:c>
      <x:c r="G2301" s="50"/>
      <x:c r="H2301" s="50" t="str">
        <x:v>LONG</x:v>
      </x:c>
      <x:c r="I2301" s="71" t="n">
        <x:v>410.35</x:v>
      </x:c>
      <x:c r="J2301" s="76" t="str">
        <x:v>SIP</x:v>
      </x:c>
    </x:row>
    <x:row r="2302">
      <x:c r="A2302" s="50" t="str">
        <x:v>019fde0f-c5f1-759d-985e-43ae3ab531a2</x:v>
      </x:c>
      <x:c r="B2302" s="50" t="str">
        <x:v>TMO</x:v>
      </x:c>
      <x:c r="C2302" s="70" t="n">
        <x:v>46241.881985011576</x:v>
      </x:c>
      <x:c r="D2302" s="50" t="str">
        <x:v>SWING_SETUP</x:v>
      </x:c>
      <x:c r="E2302" s="50" t="str">
        <x:v>TMO SWING SETUP</x:v>
      </x:c>
      <x:c r="F2302" s="50" t="str">
        <x:v>WATCH</x:v>
      </x:c>
      <x:c r="G2302" s="50"/>
      <x:c r="H2302" s="50" t="str">
        <x:v>LONG</x:v>
      </x:c>
      <x:c r="I2302" s="71" t="n">
        <x:v>594</x:v>
      </x:c>
      <x:c r="J2302" s="76" t="str">
        <x:v>SIP</x:v>
      </x:c>
    </x:row>
    <x:row r="2303">
      <x:c r="A2303" s="50" t="str">
        <x:v>019fde0f-c611-719f-92d1-58fd434c3fb9</x:v>
      </x:c>
      <x:c r="B2303" s="50" t="str">
        <x:v>SNOW</x:v>
      </x:c>
      <x:c r="C2303" s="70" t="n">
        <x:v>46241.881985381944</x:v>
      </x:c>
      <x:c r="D2303" s="50" t="str">
        <x:v>SWING_SETUP</x:v>
      </x:c>
      <x:c r="E2303" s="50" t="str">
        <x:v>SNOW SWING SETUP</x:v>
      </x:c>
      <x:c r="F2303" s="50" t="str">
        <x:v>WATCH</x:v>
      </x:c>
      <x:c r="G2303" s="50"/>
      <x:c r="H2303" s="50" t="str">
        <x:v>LONG</x:v>
      </x:c>
      <x:c r="I2303" s="71" t="n">
        <x:v>330.1</x:v>
      </x:c>
      <x:c r="J2303" s="76" t="str">
        <x:v>SIP</x:v>
      </x:c>
    </x:row>
    <x:row r="2304">
      <x:c r="A2304" s="50" t="str">
        <x:v>019fde0f-c655-729a-88ff-6739ee565c32</x:v>
      </x:c>
      <x:c r="B2304" s="50" t="str">
        <x:v>TGT</x:v>
      </x:c>
      <x:c r="C2304" s="70" t="n">
        <x:v>46241.88198615741</x:v>
      </x:c>
      <x:c r="D2304" s="50" t="str">
        <x:v>SWING_SETUP</x:v>
      </x:c>
      <x:c r="E2304" s="50" t="str">
        <x:v>TGT SWING SETUP</x:v>
      </x:c>
      <x:c r="F2304" s="50" t="str">
        <x:v>WATCH</x:v>
      </x:c>
      <x:c r="G2304" s="50"/>
      <x:c r="H2304" s="50" t="str">
        <x:v>LONG</x:v>
      </x:c>
      <x:c r="I2304" s="71" t="n">
        <x:v>149.9755</x:v>
      </x:c>
      <x:c r="J2304" s="76" t="str">
        <x:v>SIP</x:v>
      </x:c>
    </x:row>
    <x:row r="2305">
      <x:c r="A2305" s="50" t="str">
        <x:v>019fde10-adf0-7794-9cf3-a3573105d4ad</x:v>
      </x:c>
      <x:c r="B2305" s="50" t="str">
        <x:v>OXY</x:v>
      </x:c>
      <x:c r="C2305" s="70" t="n">
        <x:v>46241.882672395834</x:v>
      </x:c>
      <x:c r="D2305" s="50" t="str">
        <x:v>LONG_BUY_ZONE</x:v>
      </x:c>
      <x:c r="E2305" s="50" t="str">
        <x:v>OXY LONG BUY ZONE</x:v>
      </x:c>
      <x:c r="F2305" s="50" t="str">
        <x:v>WATCH</x:v>
      </x:c>
      <x:c r="G2305" s="50"/>
      <x:c r="H2305" s="50" t="str">
        <x:v>LONG</x:v>
      </x:c>
      <x:c r="I2305" s="71" t="n">
        <x:v>55.94</x:v>
      </x:c>
      <x:c r="J2305" s="76" t="str">
        <x:v>SIP</x:v>
      </x:c>
    </x:row>
    <x:row r="2306">
      <x:c r="A2306" s="50" t="str">
        <x:v>019fde10-afb2-76dd-8cc2-acb99ce2b290</x:v>
      </x:c>
      <x:c r="B2306" s="50" t="str">
        <x:v>NXE</x:v>
      </x:c>
      <x:c r="C2306" s="70" t="n">
        <x:v>46241.882677615744</x:v>
      </x:c>
      <x:c r="D2306" s="50" t="str">
        <x:v>SWING_SETUP</x:v>
      </x:c>
      <x:c r="E2306" s="50" t="str">
        <x:v>NXE SWING SETUP</x:v>
      </x:c>
      <x:c r="F2306" s="50" t="str">
        <x:v>WATCH</x:v>
      </x:c>
      <x:c r="G2306" s="50"/>
      <x:c r="H2306" s="50" t="str">
        <x:v>LONG</x:v>
      </x:c>
      <x:c r="I2306" s="71" t="n">
        <x:v>10.43</x:v>
      </x:c>
      <x:c r="J2306" s="76" t="str">
        <x:v>SIP</x:v>
      </x:c>
    </x:row>
    <x:row r="2307">
      <x:c r="A2307" s="50" t="str">
        <x:v>019fde11-9b50-7541-91ac-5ea815a14427</x:v>
      </x:c>
      <x:c r="B2307" s="50" t="str">
        <x:v>RDW</x:v>
      </x:c>
      <x:c r="C2307" s="70" t="n">
        <x:v>46241.883375729165</x:v>
      </x:c>
      <x:c r="D2307" s="50" t="str">
        <x:v>SWING_SETUP</x:v>
      </x:c>
      <x:c r="E2307" s="50" t="str">
        <x:v>RDW SWING SETUP</x:v>
      </x:c>
      <x:c r="F2307" s="50" t="str">
        <x:v>WATCH</x:v>
      </x:c>
      <x:c r="G2307" s="50"/>
      <x:c r="H2307" s="50" t="str">
        <x:v>LONG</x:v>
      </x:c>
      <x:c r="I2307" s="71" t="n">
        <x:v>13.551</x:v>
      </x:c>
      <x:c r="J2307" s="76" t="str">
        <x:v>SIP</x:v>
      </x:c>
    </x:row>
    <x:row r="2308">
      <x:c r="A2308" s="50" t="str">
        <x:v>019fde11-9bc9-7f7d-bf51-74dac6818a42</x:v>
      </x:c>
      <x:c r="B2308" s="50" t="str">
        <x:v>CROX</x:v>
      </x:c>
      <x:c r="C2308" s="70" t="n">
        <x:v>46241.8833771412</x:v>
      </x:c>
      <x:c r="D2308" s="50" t="str">
        <x:v>SWING_SETUP</x:v>
      </x:c>
      <x:c r="E2308" s="50" t="str">
        <x:v>CROX SWING SETUP</x:v>
      </x:c>
      <x:c r="F2308" s="50" t="str">
        <x:v>WATCH</x:v>
      </x:c>
      <x:c r="G2308" s="50"/>
      <x:c r="H2308" s="50" t="str">
        <x:v>LONG</x:v>
      </x:c>
      <x:c r="I2308" s="71" t="n">
        <x:v>136.56</x:v>
      </x:c>
      <x:c r="J2308" s="76" t="str">
        <x:v>SIP</x:v>
      </x:c>
    </x:row>
    <x:row r="2309">
      <x:c r="A2309" s="50" t="str">
        <x:v>019fde11-9c26-7ce5-bd35-966922a94ff3</x:v>
      </x:c>
      <x:c r="B2309" s="50" t="str">
        <x:v>AMZN</x:v>
      </x:c>
      <x:c r="C2309" s="70" t="n">
        <x:v>46241.88337821759</x:v>
      </x:c>
      <x:c r="D2309" s="50" t="str">
        <x:v>SWING_SETUP</x:v>
      </x:c>
      <x:c r="E2309" s="50" t="str">
        <x:v>AMZN SWING SETUP</x:v>
      </x:c>
      <x:c r="F2309" s="50" t="str">
        <x:v>WATCH</x:v>
      </x:c>
      <x:c r="G2309" s="50"/>
      <x:c r="H2309" s="50" t="str">
        <x:v>LONG</x:v>
      </x:c>
      <x:c r="I2309" s="71" t="n">
        <x:v>274.48</x:v>
      </x:c>
      <x:c r="J2309" s="76" t="str">
        <x:v>SIP</x:v>
      </x:c>
    </x:row>
    <x:row r="2310">
      <x:c r="A2310" s="50" t="str">
        <x:v>019fde11-9cdf-7ad2-a998-712ca8a9d38f</x:v>
      </x:c>
      <x:c r="B2310" s="50" t="str">
        <x:v>MRK</x:v>
      </x:c>
      <x:c r="C2310" s="70" t="n">
        <x:v>46241.88338034722</x:v>
      </x:c>
      <x:c r="D2310" s="50" t="str">
        <x:v>SWING_SETUP</x:v>
      </x:c>
      <x:c r="E2310" s="50" t="str">
        <x:v>MRK SWING SETUP</x:v>
      </x:c>
      <x:c r="F2310" s="50" t="str">
        <x:v>WATCH</x:v>
      </x:c>
      <x:c r="G2310" s="50"/>
      <x:c r="H2310" s="50" t="str">
        <x:v>LONG</x:v>
      </x:c>
      <x:c r="I2310" s="71" t="n">
        <x:v>128.57</x:v>
      </x:c>
      <x:c r="J2310" s="76" t="str">
        <x:v>SIP</x:v>
      </x:c>
    </x:row>
    <x:row r="2311">
      <x:c r="A2311" s="50" t="str">
        <x:v>019fde14-5832-76c0-a690-12b45eb52bc3</x:v>
      </x:c>
      <x:c r="B2311" s="50" t="str">
        <x:v>PLTR</x:v>
      </x:c>
      <x:c r="C2311" s="70" t="n">
        <x:v>46241.88545243056</x:v>
      </x:c>
      <x:c r="D2311" s="50" t="str">
        <x:v>SWING_SETUP</x:v>
      </x:c>
      <x:c r="E2311" s="50" t="str">
        <x:v>PLTR SWING SETUP</x:v>
      </x:c>
      <x:c r="F2311" s="50" t="str">
        <x:v>WATCH</x:v>
      </x:c>
      <x:c r="G2311" s="50"/>
      <x:c r="H2311" s="50" t="str">
        <x:v>LONG</x:v>
      </x:c>
      <x:c r="I2311" s="71" t="n">
        <x:v>171.39</x:v>
      </x:c>
      <x:c r="J2311" s="76" t="str">
        <x:v>SIP</x:v>
      </x:c>
    </x:row>
    <x:row r="2312">
      <x:c r="A2312" s="50" t="str">
        <x:v>019fde14-591a-75d9-a191-8c8935f0dc21</x:v>
      </x:c>
      <x:c r="B2312" s="50" t="str">
        <x:v>NOC</x:v>
      </x:c>
      <x:c r="C2312" s="70" t="n">
        <x:v>46241.88545511574</x:v>
      </x:c>
      <x:c r="D2312" s="50" t="str">
        <x:v>SWING_SETUP</x:v>
      </x:c>
      <x:c r="E2312" s="50" t="str">
        <x:v>NOC SWING SETUP</x:v>
      </x:c>
      <x:c r="F2312" s="50" t="str">
        <x:v>WATCH</x:v>
      </x:c>
      <x:c r="G2312" s="50"/>
      <x:c r="H2312" s="50" t="str">
        <x:v>LONG</x:v>
      </x:c>
      <x:c r="I2312" s="71" t="n">
        <x:v>571.58</x:v>
      </x:c>
      <x:c r="J2312" s="76" t="str">
        <x:v>SIP</x:v>
      </x:c>
    </x:row>
    <x:row r="2313">
      <x:c r="A2313" s="50" t="str">
        <x:v>019fde15-4392-7182-a658-5df0d4529bfc</x:v>
      </x:c>
      <x:c r="B2313" s="50" t="str">
        <x:v>VZ</x:v>
      </x:c>
      <x:c r="C2313" s="70" t="n">
        <x:v>46241.88614983796</x:v>
      </x:c>
      <x:c r="D2313" s="50" t="str">
        <x:v>SWING_SETUP</x:v>
      </x:c>
      <x:c r="E2313" s="50" t="str">
        <x:v>VZ SWING SETUP</x:v>
      </x:c>
      <x:c r="F2313" s="50" t="str">
        <x:v>WATCH</x:v>
      </x:c>
      <x:c r="G2313" s="50"/>
      <x:c r="H2313" s="50" t="str">
        <x:v>LONG</x:v>
      </x:c>
      <x:c r="I2313" s="71" t="n">
        <x:v>46.9839</x:v>
      </x:c>
      <x:c r="J2313" s="76" t="str">
        <x:v>SIP</x:v>
      </x:c>
    </x:row>
    <x:row r="2314">
      <x:c r="A2314" s="50" t="str">
        <x:v>019fde16-2c1a-7dbe-a830-82ea4a76a00c</x:v>
      </x:c>
      <x:c r="B2314" s="50" t="str">
        <x:v>DE</x:v>
      </x:c>
      <x:c r="C2314" s="70" t="n">
        <x:v>46241.886838819446</x:v>
      </x:c>
      <x:c r="D2314" s="50" t="str">
        <x:v>LONG_BUY_ZONE</x:v>
      </x:c>
      <x:c r="E2314" s="50" t="str">
        <x:v>DE LONG BUY ZONE</x:v>
      </x:c>
      <x:c r="F2314" s="50" t="str">
        <x:v>WATCH</x:v>
      </x:c>
      <x:c r="G2314" s="50"/>
      <x:c r="H2314" s="50" t="str">
        <x:v>LONG</x:v>
      </x:c>
      <x:c r="I2314" s="71" t="n">
        <x:v>617.3794</x:v>
      </x:c>
      <x:c r="J2314" s="76" t="str">
        <x:v>SIP</x:v>
      </x:c>
    </x:row>
    <x:row r="2315">
      <x:c r="A2315" s="50" t="str">
        <x:v>019fde16-2e34-7d15-928a-95be3fb69888</x:v>
      </x:c>
      <x:c r="B2315" s="50" t="str">
        <x:v>INTU</x:v>
      </x:c>
      <x:c r="C2315" s="70" t="n">
        <x:v>46241.88684503472</x:v>
      </x:c>
      <x:c r="D2315" s="50" t="str">
        <x:v>SWING_SETUP</x:v>
      </x:c>
      <x:c r="E2315" s="50" t="str">
        <x:v>INTU SWING SETUP</x:v>
      </x:c>
      <x:c r="F2315" s="50" t="str">
        <x:v>WATCH</x:v>
      </x:c>
      <x:c r="G2315" s="50"/>
      <x:c r="H2315" s="50" t="str">
        <x:v>LONG</x:v>
      </x:c>
      <x:c r="I2315" s="71" t="n">
        <x:v>325.25</x:v>
      </x:c>
      <x:c r="J2315" s="76" t="str">
        <x:v>SIP</x:v>
      </x:c>
    </x:row>
    <x:row r="2316">
      <x:c r="A2316" s="50" t="str">
        <x:v>019fde16-2eed-7e95-b6a7-3a5f5ee6e3dc</x:v>
      </x:c>
      <x:c r="B2316" s="50" t="str">
        <x:v>SBUX</x:v>
      </x:c>
      <x:c r="C2316" s="70" t="n">
        <x:v>46241.8868471875</x:v>
      </x:c>
      <x:c r="D2316" s="50" t="str">
        <x:v>SWING_SETUP</x:v>
      </x:c>
      <x:c r="E2316" s="50" t="str">
        <x:v>SBUX SWING SETUP</x:v>
      </x:c>
      <x:c r="F2316" s="50" t="str">
        <x:v>WATCH</x:v>
      </x:c>
      <x:c r="G2316" s="50"/>
      <x:c r="H2316" s="50" t="str">
        <x:v>LONG</x:v>
      </x:c>
      <x:c r="I2316" s="71" t="n">
        <x:v>105.58</x:v>
      </x:c>
      <x:c r="J2316" s="76" t="str">
        <x:v>SIP</x:v>
      </x:c>
    </x:row>
    <x:row r="2317">
      <x:c r="A2317" s="50" t="str">
        <x:v>019fde17-1713-755c-b516-b830539bccd2</x:v>
      </x:c>
      <x:c r="B2317" s="50" t="str">
        <x:v>APA</x:v>
      </x:c>
      <x:c r="C2317" s="70" t="n">
        <x:v>46241.88753503472</x:v>
      </x:c>
      <x:c r="D2317" s="50" t="str">
        <x:v>SWING_SETUP</x:v>
      </x:c>
      <x:c r="E2317" s="50" t="str">
        <x:v>APA SWING SETUP</x:v>
      </x:c>
      <x:c r="F2317" s="50" t="str">
        <x:v>WATCH</x:v>
      </x:c>
      <x:c r="G2317" s="50"/>
      <x:c r="H2317" s="50" t="str">
        <x:v>LONG</x:v>
      </x:c>
      <x:c r="I2317" s="71" t="n">
        <x:v>37.648</x:v>
      </x:c>
      <x:c r="J2317" s="76" t="str">
        <x:v>SIP</x:v>
      </x:c>
    </x:row>
    <x:row r="2318">
      <x:c r="A2318" s="50" t="str">
        <x:v>019fde18-01a9-7b5d-9110-16c832c4ae77</x:v>
      </x:c>
      <x:c r="B2318" s="50" t="str">
        <x:v>APH</x:v>
      </x:c>
      <x:c r="C2318" s="70" t="n">
        <x:v>46241.88823010417</x:v>
      </x:c>
      <x:c r="D2318" s="50" t="str">
        <x:v>SWING_SETUP</x:v>
      </x:c>
      <x:c r="E2318" s="50" t="str">
        <x:v>APH SWING SETUP</x:v>
      </x:c>
      <x:c r="F2318" s="50" t="str">
        <x:v>WATCH</x:v>
      </x:c>
      <x:c r="G2318" s="50"/>
      <x:c r="H2318" s="50" t="str">
        <x:v>LONG</x:v>
      </x:c>
      <x:c r="I2318" s="71" t="n">
        <x:v>169.17</x:v>
      </x:c>
      <x:c r="J2318" s="76" t="str">
        <x:v>SIP</x:v>
      </x:c>
    </x:row>
    <x:row r="2319">
      <x:c r="A2319" s="50" t="str">
        <x:v>019fde18-01c4-78c2-9870-5d4ee598061e</x:v>
      </x:c>
      <x:c r="B2319" s="50" t="str">
        <x:v>ACHV</x:v>
      </x:c>
      <x:c r="C2319" s="70" t="n">
        <x:v>46241.88823041667</x:v>
      </x:c>
      <x:c r="D2319" s="50" t="str">
        <x:v>SWING_SETUP</x:v>
      </x:c>
      <x:c r="E2319" s="50" t="str">
        <x:v>ACHV SWING SETUP</x:v>
      </x:c>
      <x:c r="F2319" s="50" t="str">
        <x:v>WATCH</x:v>
      </x:c>
      <x:c r="G2319" s="50"/>
      <x:c r="H2319" s="50" t="str">
        <x:v>LONG</x:v>
      </x:c>
      <x:c r="I2319" s="71" t="n">
        <x:v>6.65</x:v>
      </x:c>
      <x:c r="J2319" s="76" t="str">
        <x:v>SIP</x:v>
      </x:c>
    </x:row>
    <x:row r="2320">
      <x:c r="A2320" s="50" t="str">
        <x:v>019fde18-01fe-7f66-a434-ee5e786f3c8c</x:v>
      </x:c>
      <x:c r="B2320" s="50" t="str">
        <x:v>ANET</x:v>
      </x:c>
      <x:c r="C2320" s="70" t="n">
        <x:v>46241.88823107639</x:v>
      </x:c>
      <x:c r="D2320" s="50" t="str">
        <x:v>SWING_SETUP</x:v>
      </x:c>
      <x:c r="E2320" s="50" t="str">
        <x:v>ANET SWING SETUP</x:v>
      </x:c>
      <x:c r="F2320" s="50" t="str">
        <x:v>WATCH</x:v>
      </x:c>
      <x:c r="G2320" s="50"/>
      <x:c r="H2320" s="50" t="str">
        <x:v>LONG</x:v>
      </x:c>
      <x:c r="I2320" s="71" t="n">
        <x:v>189.1</x:v>
      </x:c>
      <x:c r="J2320" s="76" t="str">
        <x:v>SIP</x:v>
      </x:c>
    </x:row>
    <x:row r="2321">
      <x:c r="A2321" s="50" t="str">
        <x:v>019fde18-0207-78bd-b808-a69291bd2965</x:v>
      </x:c>
      <x:c r="B2321" s="50" t="str">
        <x:v>OXY</x:v>
      </x:c>
      <x:c r="C2321" s="70" t="n">
        <x:v>46241.888231192126</x:v>
      </x:c>
      <x:c r="D2321" s="50" t="str">
        <x:v>SWING_SETUP</x:v>
      </x:c>
      <x:c r="E2321" s="50" t="str">
        <x:v>OXY SWING SETUP</x:v>
      </x:c>
      <x:c r="F2321" s="50" t="str">
        <x:v>WATCH</x:v>
      </x:c>
      <x:c r="G2321" s="50"/>
      <x:c r="H2321" s="50" t="str">
        <x:v>LONG</x:v>
      </x:c>
      <x:c r="I2321" s="71" t="n">
        <x:v>56.03</x:v>
      </x:c>
      <x:c r="J2321" s="76" t="str">
        <x:v>SIP</x:v>
      </x:c>
    </x:row>
    <x:row r="2322">
      <x:c r="A2322" s="50" t="str">
        <x:v>019fde18-0216-7561-81b2-8d1896cdb762</x:v>
      </x:c>
      <x:c r="B2322" s="50" t="str">
        <x:v>COP</x:v>
      </x:c>
      <x:c r="C2322" s="70" t="n">
        <x:v>46241.88823136574</x:v>
      </x:c>
      <x:c r="D2322" s="50" t="str">
        <x:v>SWING_SETUP</x:v>
      </x:c>
      <x:c r="E2322" s="50" t="str">
        <x:v>COP SWING SETUP</x:v>
      </x:c>
      <x:c r="F2322" s="50" t="str">
        <x:v>WATCH</x:v>
      </x:c>
      <x:c r="G2322" s="50"/>
      <x:c r="H2322" s="50" t="str">
        <x:v>LONG</x:v>
      </x:c>
      <x:c r="I2322" s="71" t="n">
        <x:v>117.6</x:v>
      </x:c>
      <x:c r="J2322" s="76" t="str">
        <x:v>SIP</x:v>
      </x:c>
    </x:row>
    <x:row r="2323">
      <x:c r="A2323" s="50" t="str">
        <x:v>019fde18-02aa-7968-9b96-8f5693157af7</x:v>
      </x:c>
      <x:c r="B2323" s="50" t="str">
        <x:v>PYPL</x:v>
      </x:c>
      <x:c r="C2323" s="70" t="n">
        <x:v>46241.8882330787</x:v>
      </x:c>
      <x:c r="D2323" s="50" t="str">
        <x:v>SWING_SETUP</x:v>
      </x:c>
      <x:c r="E2323" s="50" t="str">
        <x:v>PYPL SWING SETUP</x:v>
      </x:c>
      <x:c r="F2323" s="50" t="str">
        <x:v>WATCH</x:v>
      </x:c>
      <x:c r="G2323" s="50"/>
      <x:c r="H2323" s="50" t="str">
        <x:v>LONG</x:v>
      </x:c>
      <x:c r="I2323" s="71" t="n">
        <x:v>59.095</x:v>
      </x:c>
      <x:c r="J2323" s="76" t="str">
        <x:v>SIP</x:v>
      </x:c>
    </x:row>
    <x:row r="2324">
      <x:c r="A2324" s="50" t="str">
        <x:v>019fde18-0379-7738-a1aa-21afba3a9e8f</x:v>
      </x:c>
      <x:c r="B2324" s="50" t="str">
        <x:v>PFE</x:v>
      </x:c>
      <x:c r="C2324" s="70" t="n">
        <x:v>46241.88823547454</x:v>
      </x:c>
      <x:c r="D2324" s="50" t="str">
        <x:v>SWING_SETUP</x:v>
      </x:c>
      <x:c r="E2324" s="50" t="str">
        <x:v>PFE SWING SETUP</x:v>
      </x:c>
      <x:c r="F2324" s="50" t="str">
        <x:v>WATCH</x:v>
      </x:c>
      <x:c r="G2324" s="50"/>
      <x:c r="H2324" s="50" t="str">
        <x:v>LONG</x:v>
      </x:c>
      <x:c r="I2324" s="71" t="n">
        <x:v>26.6117</x:v>
      </x:c>
      <x:c r="J2324" s="76" t="str">
        <x:v>SIP</x:v>
      </x:c>
    </x:row>
    <x:row r="2325">
      <x:c r="A2325" s="50" t="str">
        <x:v>019fde18-03af-7312-91b2-9c58b3fbabd1</x:v>
      </x:c>
      <x:c r="B2325" s="50" t="str">
        <x:v>ETHA</x:v>
      </x:c>
      <x:c r="C2325" s="70" t="n">
        <x:v>46241.888236099534</x:v>
      </x:c>
      <x:c r="D2325" s="50" t="str">
        <x:v>SWING_SETUP</x:v>
      </x:c>
      <x:c r="E2325" s="50" t="str">
        <x:v>ETHA SWING SETUP</x:v>
      </x:c>
      <x:c r="F2325" s="50" t="str">
        <x:v>WATCH</x:v>
      </x:c>
      <x:c r="G2325" s="50"/>
      <x:c r="H2325" s="50" t="str">
        <x:v>LONG</x:v>
      </x:c>
      <x:c r="I2325" s="71" t="n">
        <x:v>14.4627</x:v>
      </x:c>
      <x:c r="J2325" s="76" t="str">
        <x:v>SIP</x:v>
      </x:c>
    </x:row>
    <x:row r="2326">
      <x:c r="A2326" s="50" t="str">
        <x:v>019fde18-eaec-786b-8f32-dcfe40c288dd</x:v>
      </x:c>
      <x:c r="B2326" s="50" t="str">
        <x:v>GRAB</x:v>
      </x:c>
      <x:c r="C2326" s="70" t="n">
        <x:v>46241.88892125</x:v>
      </x:c>
      <x:c r="D2326" s="50" t="str">
        <x:v>SWING_SETUP</x:v>
      </x:c>
      <x:c r="E2326" s="50" t="str">
        <x:v>GRAB SWING SETUP</x:v>
      </x:c>
      <x:c r="F2326" s="50" t="str">
        <x:v>WATCH</x:v>
      </x:c>
      <x:c r="G2326" s="50"/>
      <x:c r="H2326" s="50" t="str">
        <x:v>LONG</x:v>
      </x:c>
      <x:c r="I2326" s="71" t="n">
        <x:v>3.6597</x:v>
      </x:c>
      <x:c r="J2326" s="76" t="str">
        <x:v>SIP</x:v>
      </x:c>
    </x:row>
    <x:row r="2327">
      <x:c r="A2327" s="50" t="str">
        <x:v>019fde18-ebe6-77fc-bffa-c3eb8b67ebb1</x:v>
      </x:c>
      <x:c r="B2327" s="50" t="str">
        <x:v>MDLZ</x:v>
      </x:c>
      <x:c r="C2327" s="70" t="n">
        <x:v>46241.88892414352</x:v>
      </x:c>
      <x:c r="D2327" s="50" t="str">
        <x:v>SWING_SETUP</x:v>
      </x:c>
      <x:c r="E2327" s="50" t="str">
        <x:v>MDLZ SWING SETUP</x:v>
      </x:c>
      <x:c r="F2327" s="50" t="str">
        <x:v>WATCH</x:v>
      </x:c>
      <x:c r="G2327" s="50"/>
      <x:c r="H2327" s="50" t="str">
        <x:v>LONG</x:v>
      </x:c>
      <x:c r="I2327" s="71" t="n">
        <x:v>62.61</x:v>
      </x:c>
      <x:c r="J2327" s="76" t="str">
        <x:v>SIP</x:v>
      </x:c>
    </x:row>
    <x:row r="2328">
      <x:c r="A2328" s="50" t="str">
        <x:v>019fde18-ec01-7f25-8b9b-1b0dec4b44db</x:v>
      </x:c>
      <x:c r="B2328" s="50" t="str">
        <x:v>UNP</x:v>
      </x:c>
      <x:c r="C2328" s="70" t="n">
        <x:v>46241.88892445602</x:v>
      </x:c>
      <x:c r="D2328" s="50" t="str">
        <x:v>SWING_SETUP</x:v>
      </x:c>
      <x:c r="E2328" s="50" t="str">
        <x:v>UNP SWING SETUP</x:v>
      </x:c>
      <x:c r="F2328" s="50" t="str">
        <x:v>WATCH</x:v>
      </x:c>
      <x:c r="G2328" s="50"/>
      <x:c r="H2328" s="50" t="str">
        <x:v>LONG</x:v>
      </x:c>
      <x:c r="I2328" s="71" t="n">
        <x:v>293.13</x:v>
      </x:c>
      <x:c r="J2328" s="76" t="str">
        <x:v>SIP</x:v>
      </x:c>
    </x:row>
    <x:row r="2329">
      <x:c r="A2329" s="50" t="str">
        <x:v>019fde18-ecc1-74c8-b511-9dcb69b10463</x:v>
      </x:c>
      <x:c r="B2329" s="50" t="str">
        <x:v>RCL</x:v>
      </x:c>
      <x:c r="C2329" s="70" t="n">
        <x:v>46241.88892667824</x:v>
      </x:c>
      <x:c r="D2329" s="50" t="str">
        <x:v>SWING_SETUP</x:v>
      </x:c>
      <x:c r="E2329" s="50" t="str">
        <x:v>RCL SWING SETUP</x:v>
      </x:c>
      <x:c r="F2329" s="50" t="str">
        <x:v>WATCH</x:v>
      </x:c>
      <x:c r="G2329" s="50"/>
      <x:c r="H2329" s="50" t="str">
        <x:v>LONG</x:v>
      </x:c>
      <x:c r="I2329" s="71" t="n">
        <x:v>320</x:v>
      </x:c>
      <x:c r="J2329" s="76" t="str">
        <x:v>SIP</x:v>
      </x:c>
    </x:row>
    <x:row r="2330">
      <x:c r="A2330" s="50" t="str">
        <x:v>019fde18-ed56-73c3-928e-05531abc8657</x:v>
      </x:c>
      <x:c r="B2330" s="50" t="str">
        <x:v>BMY</x:v>
      </x:c>
      <x:c r="C2330" s="70" t="n">
        <x:v>46241.888928402775</x:v>
      </x:c>
      <x:c r="D2330" s="50" t="str">
        <x:v>SWING_SETUP</x:v>
      </x:c>
      <x:c r="E2330" s="50" t="str">
        <x:v>BMY SWING SETUP</x:v>
      </x:c>
      <x:c r="F2330" s="50" t="str">
        <x:v>WATCH</x:v>
      </x:c>
      <x:c r="G2330" s="50"/>
      <x:c r="H2330" s="50" t="str">
        <x:v>LONG</x:v>
      </x:c>
      <x:c r="I2330" s="71" t="n">
        <x:v>64.71</x:v>
      </x:c>
      <x:c r="J2330" s="76" t="str">
        <x:v>SIP</x:v>
      </x:c>
    </x:row>
    <x:row r="2331">
      <x:c r="A2331" s="50" t="str">
        <x:v>019fde18-eda9-7030-a594-a4c3ed3e8ca0</x:v>
      </x:c>
      <x:c r="B2331" s="50" t="str">
        <x:v>JD</x:v>
      </x:c>
      <x:c r="C2331" s="70" t="n">
        <x:v>46241.88892936343</x:v>
      </x:c>
      <x:c r="D2331" s="50" t="str">
        <x:v>SWING_SETUP</x:v>
      </x:c>
      <x:c r="E2331" s="50" t="str">
        <x:v>JD SWING SETUP</x:v>
      </x:c>
      <x:c r="F2331" s="50" t="str">
        <x:v>WATCH</x:v>
      </x:c>
      <x:c r="G2331" s="50"/>
      <x:c r="H2331" s="50" t="str">
        <x:v>LONG</x:v>
      </x:c>
      <x:c r="I2331" s="71" t="n">
        <x:v>33</x:v>
      </x:c>
      <x:c r="J2331" s="76" t="str">
        <x:v>SIP</x:v>
      </x:c>
    </x:row>
    <x:row r="2332">
      <x:c r="A2332" s="50" t="str">
        <x:v>019fde18-edbe-7747-b0df-df8638d9b65b</x:v>
      </x:c>
      <x:c r="B2332" s="50" t="str">
        <x:v>BAC</x:v>
      </x:c>
      <x:c r="C2332" s="70" t="n">
        <x:v>46241.88892960648</x:v>
      </x:c>
      <x:c r="D2332" s="50" t="str">
        <x:v>SWING_SETUP</x:v>
      </x:c>
      <x:c r="E2332" s="50" t="str">
        <x:v>BAC SWING SETUP</x:v>
      </x:c>
      <x:c r="F2332" s="50" t="str">
        <x:v>WATCH</x:v>
      </x:c>
      <x:c r="G2332" s="50"/>
      <x:c r="H2332" s="50" t="str">
        <x:v>LONG</x:v>
      </x:c>
      <x:c r="I2332" s="71" t="n">
        <x:v>63.17</x:v>
      </x:c>
      <x:c r="J2332" s="76" t="str">
        <x:v>SIP</x:v>
      </x:c>
    </x:row>
    <x:row r="2333">
      <x:c r="A2333" s="50" t="str">
        <x:v>019fde18-eddc-7f8d-8073-110760855c71</x:v>
      </x:c>
      <x:c r="B2333" s="50" t="str">
        <x:v>TMDX</x:v>
      </x:c>
      <x:c r="C2333" s="70" t="n">
        <x:v>46241.888929953704</x:v>
      </x:c>
      <x:c r="D2333" s="50" t="str">
        <x:v>SWING_SETUP</x:v>
      </x:c>
      <x:c r="E2333" s="50" t="str">
        <x:v>TMDX SWING SETUP</x:v>
      </x:c>
      <x:c r="F2333" s="50" t="str">
        <x:v>WATCH</x:v>
      </x:c>
      <x:c r="G2333" s="50"/>
      <x:c r="H2333" s="50" t="str">
        <x:v>LONG</x:v>
      </x:c>
      <x:c r="I2333" s="71" t="n">
        <x:v>83.5</x:v>
      </x:c>
      <x:c r="J2333" s="76" t="str">
        <x:v>SIP</x:v>
      </x:c>
    </x:row>
    <x:row r="2334">
      <x:c r="A2334" s="50" t="str">
        <x:v>019fde18-ee56-7efe-a2df-542532616b0a</x:v>
      </x:c>
      <x:c r="B2334" s="50" t="str">
        <x:v>LMT</x:v>
      </x:c>
      <x:c r="C2334" s="70" t="n">
        <x:v>46241.88893136574</x:v>
      </x:c>
      <x:c r="D2334" s="50" t="str">
        <x:v>SWING_SETUP</x:v>
      </x:c>
      <x:c r="E2334" s="50" t="str">
        <x:v>LMT SWING SETUP</x:v>
      </x:c>
      <x:c r="F2334" s="50" t="str">
        <x:v>WATCH</x:v>
      </x:c>
      <x:c r="G2334" s="50"/>
      <x:c r="H2334" s="50" t="str">
        <x:v>LONG</x:v>
      </x:c>
      <x:c r="I2334" s="71" t="n">
        <x:v>587.92</x:v>
      </x:c>
      <x:c r="J2334" s="76" t="str">
        <x:v>SIP</x:v>
      </x:c>
    </x:row>
    <x:row r="2335">
      <x:c r="A2335" s="50" t="str">
        <x:v>019fde18-eeb0-7de3-9fab-a090eb2b1b25</x:v>
      </x:c>
      <x:c r="B2335" s="50" t="str">
        <x:v>ETN</x:v>
      </x:c>
      <x:c r="C2335" s="70" t="n">
        <x:v>46241.888932407404</x:v>
      </x:c>
      <x:c r="D2335" s="50" t="str">
        <x:v>SWING_SETUP</x:v>
      </x:c>
      <x:c r="E2335" s="50" t="str">
        <x:v>ETN SWING SETUP</x:v>
      </x:c>
      <x:c r="F2335" s="50" t="str">
        <x:v>WATCH</x:v>
      </x:c>
      <x:c r="G2335" s="50"/>
      <x:c r="H2335" s="50" t="str">
        <x:v>LONG</x:v>
      </x:c>
      <x:c r="I2335" s="71" t="n">
        <x:v>448.67</x:v>
      </x:c>
      <x:c r="J2335" s="76" t="str">
        <x:v>SIP</x:v>
      </x:c>
    </x:row>
    <x:row r="2336">
      <x:c r="A2336" s="50" t="str">
        <x:v>019fde18-eeda-720d-aa77-0eb1c94926b3</x:v>
      </x:c>
      <x:c r="B2336" s="50" t="str">
        <x:v>WELL</x:v>
      </x:c>
      <x:c r="C2336" s="70" t="n">
        <x:v>46241.88893288194</x:v>
      </x:c>
      <x:c r="D2336" s="50" t="str">
        <x:v>SWING_SETUP</x:v>
      </x:c>
      <x:c r="E2336" s="50" t="str">
        <x:v>WELL SWING SETUP</x:v>
      </x:c>
      <x:c r="F2336" s="50" t="str">
        <x:v>WATCH</x:v>
      </x:c>
      <x:c r="G2336" s="50"/>
      <x:c r="H2336" s="50" t="str">
        <x:v>LONG</x:v>
      </x:c>
      <x:c r="I2336" s="71" t="n">
        <x:v>236.92</x:v>
      </x:c>
      <x:c r="J2336" s="76" t="str">
        <x:v>SIP</x:v>
      </x:c>
    </x:row>
    <x:row r="2337">
      <x:c r="A2337" s="50" t="str">
        <x:v>019fde19-d6ca-70cd-b608-854eeab9cced</x:v>
      </x:c>
      <x:c r="B2337" s="50" t="str">
        <x:v>VZ</x:v>
      </x:c>
      <x:c r="C2337" s="70" t="n">
        <x:v>46241.88962011574</x:v>
      </x:c>
      <x:c r="D2337" s="50" t="str">
        <x:v>LONG_BUY_ZONE</x:v>
      </x:c>
      <x:c r="E2337" s="50" t="str">
        <x:v>VZ LONG BUY ZONE</x:v>
      </x:c>
      <x:c r="F2337" s="50" t="str">
        <x:v>WATCH</x:v>
      </x:c>
      <x:c r="G2337" s="50"/>
      <x:c r="H2337" s="50" t="str">
        <x:v>LONG</x:v>
      </x:c>
      <x:c r="I2337" s="71" t="n">
        <x:v>47.01</x:v>
      </x:c>
      <x:c r="J2337" s="76" t="str">
        <x:v>SIP</x:v>
      </x:c>
    </x:row>
    <x:row r="2338">
      <x:c r="A2338" s="50" t="str">
        <x:v>019fde19-d81f-79a7-a54d-f145ce4bd220</x:v>
      </x:c>
      <x:c r="B2338" s="50" t="str">
        <x:v>KO</x:v>
      </x:c>
      <x:c r="C2338" s="70" t="n">
        <x:v>46241.8896240625</x:v>
      </x:c>
      <x:c r="D2338" s="50" t="str">
        <x:v>SWING_SETUP</x:v>
      </x:c>
      <x:c r="E2338" s="50" t="str">
        <x:v>KO SWING SETUP</x:v>
      </x:c>
      <x:c r="F2338" s="50" t="str">
        <x:v>WATCH</x:v>
      </x:c>
      <x:c r="G2338" s="50"/>
      <x:c r="H2338" s="50" t="str">
        <x:v>LONG</x:v>
      </x:c>
      <x:c r="I2338" s="71" t="n">
        <x:v>87.15</x:v>
      </x:c>
      <x:c r="J2338" s="76" t="str">
        <x:v>SIP</x:v>
      </x:c>
    </x:row>
    <x:row r="2339">
      <x:c r="A2339" s="50" t="str">
        <x:v>019fde19-d82d-7f41-8279-650e32de60d9</x:v>
      </x:c>
      <x:c r="B2339" s="50" t="str">
        <x:v>CEG</x:v>
      </x:c>
      <x:c r="C2339" s="70" t="n">
        <x:v>46241.88962422454</x:v>
      </x:c>
      <x:c r="D2339" s="50" t="str">
        <x:v>SWING_SETUP</x:v>
      </x:c>
      <x:c r="E2339" s="50" t="str">
        <x:v>CEG SWING SETUP</x:v>
      </x:c>
      <x:c r="F2339" s="50" t="str">
        <x:v>WATCH</x:v>
      </x:c>
      <x:c r="G2339" s="50"/>
      <x:c r="H2339" s="50" t="str">
        <x:v>LONG</x:v>
      </x:c>
      <x:c r="I2339" s="71" t="n">
        <x:v>269.9</x:v>
      </x:c>
      <x:c r="J2339" s="76" t="str">
        <x:v>SIP</x:v>
      </x:c>
    </x:row>
    <x:row r="2340">
      <x:c r="A2340" s="50" t="str">
        <x:v>019fde1a-c236-7cf8-93a0-ee5d498e3436</x:v>
      </x:c>
      <x:c r="B2340" s="50" t="str">
        <x:v>JPM</x:v>
      </x:c>
      <x:c r="C2340" s="70" t="n">
        <x:v>46241.89031766204</x:v>
      </x:c>
      <x:c r="D2340" s="50" t="str">
        <x:v>SWING_SETUP</x:v>
      </x:c>
      <x:c r="E2340" s="50" t="str">
        <x:v>JPM SWING SETUP</x:v>
      </x:c>
      <x:c r="F2340" s="50" t="str">
        <x:v>WATCH</x:v>
      </x:c>
      <x:c r="G2340" s="50"/>
      <x:c r="H2340" s="50" t="str">
        <x:v>LONG</x:v>
      </x:c>
      <x:c r="I2340" s="71" t="n">
        <x:v>357.4511</x:v>
      </x:c>
      <x:c r="J2340" s="76" t="str">
        <x:v>SIP</x:v>
      </x:c>
    </x:row>
    <x:row r="2341">
      <x:c r="A2341" s="50" t="str">
        <x:v>019fde1a-c246-7a63-ae79-e053719b2aaa</x:v>
      </x:c>
      <x:c r="B2341" s="50" t="str">
        <x:v>ECL</x:v>
      </x:c>
      <x:c r="C2341" s="70" t="n">
        <x:v>46241.890317847225</x:v>
      </x:c>
      <x:c r="D2341" s="50" t="str">
        <x:v>SWING_SETUP</x:v>
      </x:c>
      <x:c r="E2341" s="50" t="str">
        <x:v>ECL SWING SETUP</x:v>
      </x:c>
      <x:c r="F2341" s="50" t="str">
        <x:v>WATCH</x:v>
      </x:c>
      <x:c r="G2341" s="50"/>
      <x:c r="H2341" s="50" t="str">
        <x:v>LONG</x:v>
      </x:c>
      <x:c r="I2341" s="71" t="n">
        <x:v>285.17</x:v>
      </x:c>
      <x:c r="J2341" s="76" t="str">
        <x:v>SIP</x:v>
      </x:c>
    </x:row>
    <x:row r="2342">
      <x:c r="A2342" s="50" t="str">
        <x:v>019fde1a-c29e-751d-a336-73dd8fee3640</x:v>
      </x:c>
      <x:c r="B2342" s="50" t="str">
        <x:v>SCHW</x:v>
      </x:c>
      <x:c r="C2342" s="70" t="n">
        <x:v>46241.89031886574</x:v>
      </x:c>
      <x:c r="D2342" s="50" t="str">
        <x:v>SWING_SETUP</x:v>
      </x:c>
      <x:c r="E2342" s="50" t="str">
        <x:v>SCHW SWING SETUP</x:v>
      </x:c>
      <x:c r="F2342" s="50" t="str">
        <x:v>WATCH</x:v>
      </x:c>
      <x:c r="G2342" s="50"/>
      <x:c r="H2342" s="50" t="str">
        <x:v>LONG</x:v>
      </x:c>
      <x:c r="I2342" s="71" t="n">
        <x:v>107.6</x:v>
      </x:c>
      <x:c r="J2342" s="76" t="str">
        <x:v>SIP</x:v>
      </x:c>
    </x:row>
    <x:row r="2343">
      <x:c r="A2343" s="50" t="str">
        <x:v>019fde1a-c3df-75d6-aed9-82e142bad0d4</x:v>
      </x:c>
      <x:c r="B2343" s="50" t="str">
        <x:v>DLR</x:v>
      </x:c>
      <x:c r="C2343" s="70" t="n">
        <x:v>46241.89032258102</x:v>
      </x:c>
      <x:c r="D2343" s="50" t="str">
        <x:v>SWING_SETUP</x:v>
      </x:c>
      <x:c r="E2343" s="50" t="str">
        <x:v>DLR SWING SETUP</x:v>
      </x:c>
      <x:c r="F2343" s="50" t="str">
        <x:v>WATCH</x:v>
      </x:c>
      <x:c r="G2343" s="50"/>
      <x:c r="H2343" s="50" t="str">
        <x:v>LONG</x:v>
      </x:c>
      <x:c r="I2343" s="71" t="n">
        <x:v>193.8</x:v>
      </x:c>
      <x:c r="J2343" s="76" t="str">
        <x:v>SIP</x:v>
      </x:c>
    </x:row>
    <x:row r="2344">
      <x:c r="A2344" s="50" t="str">
        <x:v>019fde1a-c3f3-750c-95f8-f7d2088fd5cc</x:v>
      </x:c>
      <x:c r="B2344" s="50" t="str">
        <x:v>PSX</x:v>
      </x:c>
      <x:c r="C2344" s="70" t="n">
        <x:v>46241.8903228125</x:v>
      </x:c>
      <x:c r="D2344" s="50" t="str">
        <x:v>SWING_SETUP</x:v>
      </x:c>
      <x:c r="E2344" s="50" t="str">
        <x:v>PSX SWING SETUP</x:v>
      </x:c>
      <x:c r="F2344" s="50" t="str">
        <x:v>WATCH</x:v>
      </x:c>
      <x:c r="G2344" s="50"/>
      <x:c r="H2344" s="50" t="str">
        <x:v>LONG</x:v>
      </x:c>
      <x:c r="I2344" s="71" t="n">
        <x:v>203.89</x:v>
      </x:c>
      <x:c r="J2344" s="76" t="str">
        <x:v>SIP</x:v>
      </x:c>
    </x:row>
    <x:row r="2345">
      <x:c r="A2345" s="50" t="str">
        <x:v>019fde1a-c439-7092-9d67-d6c992bfc24b</x:v>
      </x:c>
      <x:c r="B2345" s="50" t="str">
        <x:v>NEM</x:v>
      </x:c>
      <x:c r="C2345" s="70" t="n">
        <x:v>46241.89032362268</x:v>
      </x:c>
      <x:c r="D2345" s="50" t="str">
        <x:v>SWING_SETUP</x:v>
      </x:c>
      <x:c r="E2345" s="50" t="str">
        <x:v>NEM SWING SETUP</x:v>
      </x:c>
      <x:c r="F2345" s="50" t="str">
        <x:v>WATCH</x:v>
      </x:c>
      <x:c r="G2345" s="50"/>
      <x:c r="H2345" s="50" t="str">
        <x:v>LONG</x:v>
      </x:c>
      <x:c r="I2345" s="71" t="n">
        <x:v>112.85</x:v>
      </x:c>
      <x:c r="J2345" s="76" t="str">
        <x:v>SIP</x:v>
      </x:c>
    </x:row>
    <x:row r="2346">
      <x:c r="A2346" s="50" t="str">
        <x:v>019fde1a-c4e6-7d80-9366-33a13103d74c</x:v>
      </x:c>
      <x:c r="B2346" s="50" t="str">
        <x:v>MMM</x:v>
      </x:c>
      <x:c r="C2346" s="70" t="n">
        <x:v>46241.890325625</x:v>
      </x:c>
      <x:c r="D2346" s="50" t="str">
        <x:v>SWING_SETUP</x:v>
      </x:c>
      <x:c r="E2346" s="50" t="str">
        <x:v>MMM SWING SETUP</x:v>
      </x:c>
      <x:c r="F2346" s="50" t="str">
        <x:v>WATCH</x:v>
      </x:c>
      <x:c r="G2346" s="50"/>
      <x:c r="H2346" s="50" t="str">
        <x:v>LONG</x:v>
      </x:c>
      <x:c r="I2346" s="71" t="n">
        <x:v>182.89</x:v>
      </x:c>
      <x:c r="J2346" s="76" t="str">
        <x:v>SIP</x:v>
      </x:c>
    </x:row>
    <x:row r="2347">
      <x:c r="A2347" s="50" t="str">
        <x:v>019fde1a-c4f0-7346-ad94-bd3ab9db4ced</x:v>
      </x:c>
      <x:c r="B2347" s="50" t="str">
        <x:v>ABT</x:v>
      </x:c>
      <x:c r="C2347" s="70" t="n">
        <x:v>46241.890325740744</x:v>
      </x:c>
      <x:c r="D2347" s="50" t="str">
        <x:v>SWING_SETUP</x:v>
      </x:c>
      <x:c r="E2347" s="50" t="str">
        <x:v>ABT SWING SETUP</x:v>
      </x:c>
      <x:c r="F2347" s="50" t="str">
        <x:v>WATCH</x:v>
      </x:c>
      <x:c r="G2347" s="50"/>
      <x:c r="H2347" s="50" t="str">
        <x:v>LONG</x:v>
      </x:c>
      <x:c r="I2347" s="71" t="n">
        <x:v>107.81</x:v>
      </x:c>
      <x:c r="J2347" s="76" t="str">
        <x:v>SIP</x:v>
      </x:c>
    </x:row>
    <x:row r="2348">
      <x:c r="A2348" s="50" t="str">
        <x:v>019fde1c-9690-7ff5-8502-6f11bbc9dc83</x:v>
      </x:c>
      <x:c r="B2348" s="50" t="str">
        <x:v>UEC</x:v>
      </x:c>
      <x:c r="C2348" s="70" t="n">
        <x:v>46241.89170537037</x:v>
      </x:c>
      <x:c r="D2348" s="50" t="str">
        <x:v>SWING_SETUP</x:v>
      </x:c>
      <x:c r="E2348" s="50" t="str">
        <x:v>UEC SWING SETUP</x:v>
      </x:c>
      <x:c r="F2348" s="50" t="str">
        <x:v>WATCH</x:v>
      </x:c>
      <x:c r="G2348" s="50"/>
      <x:c r="H2348" s="50" t="str">
        <x:v>LONG</x:v>
      </x:c>
      <x:c r="I2348" s="71" t="n">
        <x:v>11.2707</x:v>
      </x:c>
      <x:c r="J2348" s="76" t="str">
        <x:v>SIP</x:v>
      </x:c>
    </x:row>
    <x:row r="2349">
      <x:c r="A2349" s="50" t="str">
        <x:v>019fde1c-970c-711a-9ae9-7d892f5ea2d3</x:v>
      </x:c>
      <x:c r="B2349" s="50" t="str">
        <x:v>GS</x:v>
      </x:c>
      <x:c r="C2349" s="70" t="n">
        <x:v>46241.89170680555</x:v>
      </x:c>
      <x:c r="D2349" s="50" t="str">
        <x:v>LONG_BUY_ZONE</x:v>
      </x:c>
      <x:c r="E2349" s="50" t="str">
        <x:v>GS LONG BUY ZONE</x:v>
      </x:c>
      <x:c r="F2349" s="50" t="str">
        <x:v>WATCH</x:v>
      </x:c>
      <x:c r="G2349" s="50"/>
      <x:c r="H2349" s="50" t="str">
        <x:v>LONG</x:v>
      </x:c>
      <x:c r="I2349" s="71" t="n">
        <x:v>1040</x:v>
      </x:c>
      <x:c r="J2349" s="76" t="str">
        <x:v>SIP</x:v>
      </x:c>
    </x:row>
    <x:row r="2350">
      <x:c r="A2350" s="50" t="str">
        <x:v>019fde1d-7fb6-7c55-9806-275f3d73a1ff</x:v>
      </x:c>
      <x:c r="B2350" s="50" t="str">
        <x:v>SE</x:v>
      </x:c>
      <x:c r="C2350" s="70" t="n">
        <x:v>46241.892396180556</x:v>
      </x:c>
      <x:c r="D2350" s="50" t="str">
        <x:v>SWING_SETUP</x:v>
      </x:c>
      <x:c r="E2350" s="50" t="str">
        <x:v>SE SWING SETUP</x:v>
      </x:c>
      <x:c r="F2350" s="50" t="str">
        <x:v>WATCH</x:v>
      </x:c>
      <x:c r="G2350" s="50"/>
      <x:c r="H2350" s="50" t="str">
        <x:v>LONG</x:v>
      </x:c>
      <x:c r="I2350" s="71" t="n">
        <x:v>113.43</x:v>
      </x:c>
      <x:c r="J2350" s="76" t="str">
        <x:v>SIP</x:v>
      </x:c>
    </x:row>
    <x:row r="2351">
      <x:c r="A2351" s="50" t="str">
        <x:v>019fde1d-7fe4-74ba-85cd-02cc32e2a40d</x:v>
      </x:c>
      <x:c r="B2351" s="50" t="str">
        <x:v>SHW</x:v>
      </x:c>
      <x:c r="C2351" s="70" t="n">
        <x:v>46241.89239671296</x:v>
      </x:c>
      <x:c r="D2351" s="50" t="str">
        <x:v>SWING_SETUP</x:v>
      </x:c>
      <x:c r="E2351" s="50" t="str">
        <x:v>SHW SWING SETUP</x:v>
      </x:c>
      <x:c r="F2351" s="50" t="str">
        <x:v>WATCH</x:v>
      </x:c>
      <x:c r="G2351" s="50"/>
      <x:c r="H2351" s="50" t="str">
        <x:v>LONG</x:v>
      </x:c>
      <x:c r="I2351" s="71" t="n">
        <x:v>369.73</x:v>
      </x:c>
      <x:c r="J2351" s="76" t="str">
        <x:v>SIP</x:v>
      </x:c>
    </x:row>
    <x:row r="2352">
      <x:c r="A2352" s="50" t="str">
        <x:v>019fde1d-8036-7dbc-80de-fce54ae34405</x:v>
      </x:c>
      <x:c r="B2352" s="50" t="str">
        <x:v>NUE</x:v>
      </x:c>
      <x:c r="C2352" s="70" t="n">
        <x:v>46241.892397662035</x:v>
      </x:c>
      <x:c r="D2352" s="50" t="str">
        <x:v>SWING_SETUP</x:v>
      </x:c>
      <x:c r="E2352" s="50" t="str">
        <x:v>NUE SWING SETUP</x:v>
      </x:c>
      <x:c r="F2352" s="50" t="str">
        <x:v>WATCH</x:v>
      </x:c>
      <x:c r="G2352" s="50"/>
      <x:c r="H2352" s="50" t="str">
        <x:v>LONG</x:v>
      </x:c>
      <x:c r="I2352" s="71" t="n">
        <x:v>272.57</x:v>
      </x:c>
      <x:c r="J2352" s="76" t="str">
        <x:v>SIP</x:v>
      </x:c>
    </x:row>
    <x:row r="2353">
      <x:c r="A2353" s="50" t="str">
        <x:v>019fde1d-8068-7334-bde9-986de46ea8e7</x:v>
      </x:c>
      <x:c r="B2353" s="50" t="str">
        <x:v>ABNB</x:v>
      </x:c>
      <x:c r="C2353" s="70" t="n">
        <x:v>46241.89239824074</x:v>
      </x:c>
      <x:c r="D2353" s="50" t="str">
        <x:v>SWING_SETUP</x:v>
      </x:c>
      <x:c r="E2353" s="50" t="str">
        <x:v>ABNB SWING SETUP</x:v>
      </x:c>
      <x:c r="F2353" s="50" t="str">
        <x:v>WATCH</x:v>
      </x:c>
      <x:c r="G2353" s="50"/>
      <x:c r="H2353" s="50" t="str">
        <x:v>LONG</x:v>
      </x:c>
      <x:c r="I2353" s="71" t="n">
        <x:v>177.3336</x:v>
      </x:c>
      <x:c r="J2353" s="76" t="str">
        <x:v>SIP</x:v>
      </x:c>
    </x:row>
    <x:row r="2354">
      <x:c r="A2354" s="50" t="str">
        <x:v>019fde1d-80dc-79fc-9ffa-b0c42ad1ca03</x:v>
      </x:c>
      <x:c r="B2354" s="50" t="str">
        <x:v>DE</x:v>
      </x:c>
      <x:c r="C2354" s="70" t="n">
        <x:v>46241.89239958333</x:v>
      </x:c>
      <x:c r="D2354" s="50" t="str">
        <x:v>SWING_SETUP</x:v>
      </x:c>
      <x:c r="E2354" s="50" t="str">
        <x:v>DE SWING SETUP</x:v>
      </x:c>
      <x:c r="F2354" s="50" t="str">
        <x:v>WATCH</x:v>
      </x:c>
      <x:c r="G2354" s="50"/>
      <x:c r="H2354" s="50" t="str">
        <x:v>LONG</x:v>
      </x:c>
      <x:c r="I2354" s="71" t="n">
        <x:v>620.83</x:v>
      </x:c>
      <x:c r="J2354" s="76" t="str">
        <x:v>SIP</x:v>
      </x:c>
    </x:row>
    <x:row r="2355">
      <x:c r="A2355" s="50" t="str">
        <x:v>019fde1d-8116-730e-945d-375ad6b7a15d</x:v>
      </x:c>
      <x:c r="B2355" s="50" t="str">
        <x:v>PM</x:v>
      </x:c>
      <x:c r="C2355" s="70" t="n">
        <x:v>46241.89240025463</x:v>
      </x:c>
      <x:c r="D2355" s="50" t="str">
        <x:v>SWING_SETUP</x:v>
      </x:c>
      <x:c r="E2355" s="50" t="str">
        <x:v>PM SWING SETUP</x:v>
      </x:c>
      <x:c r="F2355" s="50" t="str">
        <x:v>WATCH</x:v>
      </x:c>
      <x:c r="G2355" s="50"/>
      <x:c r="H2355" s="50" t="str">
        <x:v>LONG</x:v>
      </x:c>
      <x:c r="I2355" s="71" t="n">
        <x:v>189.47</x:v>
      </x:c>
      <x:c r="J2355" s="76" t="str">
        <x:v>SIP</x:v>
      </x:c>
    </x:row>
    <x:row r="2356">
      <x:c r="A2356" s="50" t="str">
        <x:v>019fde1d-8207-7b68-ad62-8edb80532666</x:v>
      </x:c>
      <x:c r="B2356" s="50" t="str">
        <x:v>RTX</x:v>
      </x:c>
      <x:c r="C2356" s="70" t="n">
        <x:v>46241.89240304398</x:v>
      </x:c>
      <x:c r="D2356" s="50" t="str">
        <x:v>SWING_SETUP</x:v>
      </x:c>
      <x:c r="E2356" s="50" t="str">
        <x:v>RTX SWING SETUP</x:v>
      </x:c>
      <x:c r="F2356" s="50" t="str">
        <x:v>WATCH</x:v>
      </x:c>
      <x:c r="G2356" s="50"/>
      <x:c r="H2356" s="50" t="str">
        <x:v>LONG</x:v>
      </x:c>
      <x:c r="I2356" s="71" t="n">
        <x:v>222.98</x:v>
      </x:c>
      <x:c r="J2356" s="76" t="str">
        <x:v>SIP</x:v>
      </x:c>
    </x:row>
    <x:row r="2357">
      <x:c r="A2357" s="50" t="str">
        <x:v>019fde1d-8216-7685-8864-069413cbca84</x:v>
      </x:c>
      <x:c r="B2357" s="50" t="str">
        <x:v>BLK</x:v>
      </x:c>
      <x:c r="C2357" s="70" t="n">
        <x:v>46241.89240321759</x:v>
      </x:c>
      <x:c r="D2357" s="50" t="str">
        <x:v>SWING_SETUP</x:v>
      </x:c>
      <x:c r="E2357" s="50" t="str">
        <x:v>BLK SWING SETUP</x:v>
      </x:c>
      <x:c r="F2357" s="50" t="str">
        <x:v>WATCH</x:v>
      </x:c>
      <x:c r="G2357" s="50"/>
      <x:c r="H2357" s="50" t="str">
        <x:v>LONG</x:v>
      </x:c>
      <x:c r="I2357" s="71" t="n">
        <x:v>1136.4</x:v>
      </x:c>
      <x:c r="J2357" s="76" t="str">
        <x:v>SIP</x:v>
      </x:c>
    </x:row>
    <x:row r="2358">
      <x:c r="A2358" s="50" t="str">
        <x:v>019fde1d-8235-7ccb-b953-3ff3f46a3f1d</x:v>
      </x:c>
      <x:c r="B2358" s="50" t="str">
        <x:v>WFC</x:v>
      </x:c>
      <x:c r="C2358" s="70" t="n">
        <x:v>46241.89240357639</x:v>
      </x:c>
      <x:c r="D2358" s="50" t="str">
        <x:v>SWING_SETUP</x:v>
      </x:c>
      <x:c r="E2358" s="50" t="str">
        <x:v>WFC SWING SETUP</x:v>
      </x:c>
      <x:c r="F2358" s="50" t="str">
        <x:v>WATCH</x:v>
      </x:c>
      <x:c r="G2358" s="50"/>
      <x:c r="H2358" s="50" t="str">
        <x:v>LONG</x:v>
      </x:c>
      <x:c r="I2358" s="71" t="n">
        <x:v>87.235</x:v>
      </x:c>
      <x:c r="J2358" s="76" t="str">
        <x:v>SIP</x:v>
      </x:c>
    </x:row>
    <x:row r="2359">
      <x:c r="A2359" s="50" t="str">
        <x:v>019fde1d-826d-749c-b562-b8a1514dc9ab</x:v>
      </x:c>
      <x:c r="B2359" s="50" t="str">
        <x:v>AMGN</x:v>
      </x:c>
      <x:c r="C2359" s="70" t="n">
        <x:v>46241.892404224534</x:v>
      </x:c>
      <x:c r="D2359" s="50" t="str">
        <x:v>SWING_SETUP</x:v>
      </x:c>
      <x:c r="E2359" s="50" t="str">
        <x:v>AMGN SWING SETUP</x:v>
      </x:c>
      <x:c r="F2359" s="50" t="str">
        <x:v>WATCH</x:v>
      </x:c>
      <x:c r="G2359" s="50"/>
      <x:c r="H2359" s="50" t="str">
        <x:v>LONG</x:v>
      </x:c>
      <x:c r="I2359" s="71" t="n">
        <x:v>410.35</x:v>
      </x:c>
      <x:c r="J2359" s="76" t="str">
        <x:v>SIP</x:v>
      </x:c>
    </x:row>
    <x:row r="2360">
      <x:c r="A2360" s="50" t="str">
        <x:v>019fde1d-828e-7a7a-bb05-62715233e343</x:v>
      </x:c>
      <x:c r="B2360" s="50" t="str">
        <x:v>BLFS</x:v>
      </x:c>
      <x:c r="C2360" s="70" t="n">
        <x:v>46241.89240459491</x:v>
      </x:c>
      <x:c r="D2360" s="50" t="str">
        <x:v>SWING_SETUP</x:v>
      </x:c>
      <x:c r="E2360" s="50" t="str">
        <x:v>BLFS SWING SETUP</x:v>
      </x:c>
      <x:c r="F2360" s="50" t="str">
        <x:v>WATCH</x:v>
      </x:c>
      <x:c r="G2360" s="50"/>
      <x:c r="H2360" s="50" t="str">
        <x:v>LONG</x:v>
      </x:c>
      <x:c r="I2360" s="71" t="n">
        <x:v>34.645</x:v>
      </x:c>
      <x:c r="J2360" s="76" t="str">
        <x:v>SIP</x:v>
      </x:c>
    </x:row>
    <x:row r="2361">
      <x:c r="A2361" s="50" t="str">
        <x:v>019fde1d-82bf-7dc2-a724-5ec94ed943cf</x:v>
      </x:c>
      <x:c r="B2361" s="50" t="str">
        <x:v>BABA</x:v>
      </x:c>
      <x:c r="C2361" s="70" t="n">
        <x:v>46241.89240517361</x:v>
      </x:c>
      <x:c r="D2361" s="50" t="str">
        <x:v>SWING_SETUP</x:v>
      </x:c>
      <x:c r="E2361" s="50" t="str">
        <x:v>BABA SWING SETUP</x:v>
      </x:c>
      <x:c r="F2361" s="50" t="str">
        <x:v>WATCH</x:v>
      </x:c>
      <x:c r="G2361" s="50"/>
      <x:c r="H2361" s="50" t="str">
        <x:v>LONG</x:v>
      </x:c>
      <x:c r="I2361" s="71" t="n">
        <x:v>128.3</x:v>
      </x:c>
      <x:c r="J2361" s="76" t="str">
        <x:v>SIP</x:v>
      </x:c>
    </x:row>
    <x:row r="2362">
      <x:c r="A2362" s="50" t="str">
        <x:v>019fde1d-82d3-7ba0-b0bc-33cb3de4445f</x:v>
      </x:c>
      <x:c r="B2362" s="50" t="str">
        <x:v>TMO</x:v>
      </x:c>
      <x:c r="C2362" s="70" t="n">
        <x:v>46241.892405405095</x:v>
      </x:c>
      <x:c r="D2362" s="50" t="str">
        <x:v>SWING_SETUP</x:v>
      </x:c>
      <x:c r="E2362" s="50" t="str">
        <x:v>TMO SWING SETUP</x:v>
      </x:c>
      <x:c r="F2362" s="50" t="str">
        <x:v>WATCH</x:v>
      </x:c>
      <x:c r="G2362" s="50"/>
      <x:c r="H2362" s="50" t="str">
        <x:v>LONG</x:v>
      </x:c>
      <x:c r="I2362" s="71" t="n">
        <x:v>594</x:v>
      </x:c>
      <x:c r="J2362" s="76" t="str">
        <x:v>SIP</x:v>
      </x:c>
    </x:row>
    <x:row r="2363">
      <x:c r="A2363" s="50" t="str">
        <x:v>019fde1d-830c-7f1c-92e7-d79b4418ce04</x:v>
      </x:c>
      <x:c r="B2363" s="50" t="str">
        <x:v>SNOW</x:v>
      </x:c>
      <x:c r="C2363" s="70" t="n">
        <x:v>46241.89240606481</x:v>
      </x:c>
      <x:c r="D2363" s="50" t="str">
        <x:v>SWING_SETUP</x:v>
      </x:c>
      <x:c r="E2363" s="50" t="str">
        <x:v>SNOW SWING SETUP</x:v>
      </x:c>
      <x:c r="F2363" s="50" t="str">
        <x:v>WATCH</x:v>
      </x:c>
      <x:c r="G2363" s="50"/>
      <x:c r="H2363" s="50" t="str">
        <x:v>LONG</x:v>
      </x:c>
      <x:c r="I2363" s="71" t="n">
        <x:v>330.1</x:v>
      </x:c>
      <x:c r="J2363" s="76" t="str">
        <x:v>SIP</x:v>
      </x:c>
    </x:row>
    <x:row r="2364">
      <x:c r="A2364" s="50" t="str">
        <x:v>019fde1d-8366-70f9-94b2-496d3d09072b</x:v>
      </x:c>
      <x:c r="B2364" s="50" t="str">
        <x:v>TGT</x:v>
      </x:c>
      <x:c r="C2364" s="70" t="n">
        <x:v>46241.89240710648</x:v>
      </x:c>
      <x:c r="D2364" s="50" t="str">
        <x:v>SWING_SETUP</x:v>
      </x:c>
      <x:c r="E2364" s="50" t="str">
        <x:v>TGT SWING SETUP</x:v>
      </x:c>
      <x:c r="F2364" s="50" t="str">
        <x:v>WATCH</x:v>
      </x:c>
      <x:c r="G2364" s="50"/>
      <x:c r="H2364" s="50" t="str">
        <x:v>LONG</x:v>
      </x:c>
      <x:c r="I2364" s="71" t="n">
        <x:v>149.6</x:v>
      </x:c>
      <x:c r="J2364" s="76" t="str">
        <x:v>SIP</x:v>
      </x:c>
    </x:row>
    <x:row r="2365">
      <x:c r="A2365" s="50" t="str">
        <x:v>019fde1d-83d5-7805-ba09-f07069b7bebd</x:v>
      </x:c>
      <x:c r="B2365" s="50" t="str">
        <x:v>BKNG</x:v>
      </x:c>
      <x:c r="C2365" s="70" t="n">
        <x:v>46241.892408391206</x:v>
      </x:c>
      <x:c r="D2365" s="50" t="str">
        <x:v>SWING_SETUP</x:v>
      </x:c>
      <x:c r="E2365" s="50" t="str">
        <x:v>BKNG SWING SETUP</x:v>
      </x:c>
      <x:c r="F2365" s="50" t="str">
        <x:v>WATCH</x:v>
      </x:c>
      <x:c r="G2365" s="50"/>
      <x:c r="H2365" s="50" t="str">
        <x:v>LONG</x:v>
      </x:c>
      <x:c r="I2365" s="71" t="n">
        <x:v>213.82</x:v>
      </x:c>
      <x:c r="J2365" s="76" t="str">
        <x:v>SIP</x:v>
      </x:c>
    </x:row>
    <x:row r="2366">
      <x:c r="A2366" s="50" t="str">
        <x:v>019fde20-3f34-70dd-a17b-a59698df6208</x:v>
      </x:c>
      <x:c r="B2366" s="50" t="str">
        <x:v>RDW</x:v>
      </x:c>
      <x:c r="C2366" s="70" t="n">
        <x:v>46241.894480601855</x:v>
      </x:c>
      <x:c r="D2366" s="50" t="str">
        <x:v>SWING_SETUP</x:v>
      </x:c>
      <x:c r="E2366" s="50" t="str">
        <x:v>RDW SWING SETUP</x:v>
      </x:c>
      <x:c r="F2366" s="50" t="str">
        <x:v>WATCH</x:v>
      </x:c>
      <x:c r="G2366" s="50"/>
      <x:c r="H2366" s="50" t="str">
        <x:v>LONG</x:v>
      </x:c>
      <x:c r="I2366" s="71" t="n">
        <x:v>13.5669</x:v>
      </x:c>
      <x:c r="J2366" s="76" t="str">
        <x:v>SIP</x:v>
      </x:c>
    </x:row>
    <x:row r="2367">
      <x:c r="A2367" s="50" t="str">
        <x:v>019fde20-3fea-7373-b59d-c5f4c81a1c5b</x:v>
      </x:c>
      <x:c r="B2367" s="50" t="str">
        <x:v>AMZN</x:v>
      </x:c>
      <x:c r="C2367" s="70" t="n">
        <x:v>46241.89448270833</x:v>
      </x:c>
      <x:c r="D2367" s="50" t="str">
        <x:v>SWING_SETUP</x:v>
      </x:c>
      <x:c r="E2367" s="50" t="str">
        <x:v>AMZN SWING SETUP</x:v>
      </x:c>
      <x:c r="F2367" s="50" t="str">
        <x:v>WATCH</x:v>
      </x:c>
      <x:c r="G2367" s="50"/>
      <x:c r="H2367" s="50" t="str">
        <x:v>LONG</x:v>
      </x:c>
      <x:c r="I2367" s="71" t="n">
        <x:v>274.33</x:v>
      </x:c>
      <x:c r="J2367" s="76" t="str">
        <x:v>SIP</x:v>
      </x:c>
    </x:row>
    <x:row r="2368">
      <x:c r="A2368" s="50" t="str">
        <x:v>019fde20-4087-78ef-bd12-399bd7c3c68d</x:v>
      </x:c>
      <x:c r="B2368" s="50" t="str">
        <x:v>MRK</x:v>
      </x:c>
      <x:c r="C2368" s="70" t="n">
        <x:v>46241.89448452547</x:v>
      </x:c>
      <x:c r="D2368" s="50" t="str">
        <x:v>SWING_SETUP</x:v>
      </x:c>
      <x:c r="E2368" s="50" t="str">
        <x:v>MRK SWING SETUP</x:v>
      </x:c>
      <x:c r="F2368" s="50" t="str">
        <x:v>WATCH</x:v>
      </x:c>
      <x:c r="G2368" s="50"/>
      <x:c r="H2368" s="50" t="str">
        <x:v>LONG</x:v>
      </x:c>
      <x:c r="I2368" s="71" t="n">
        <x:v>128.57</x:v>
      </x:c>
      <x:c r="J2368" s="76" t="str">
        <x:v>SIP</x:v>
      </x:c>
    </x:row>
    <x:row r="2369">
      <x:c r="A2369" s="50" t="str">
        <x:v>019fde20-4168-798a-964c-ec43107dd772</x:v>
      </x:c>
      <x:c r="B2369" s="50" t="str">
        <x:v>NXE</x:v>
      </x:c>
      <x:c r="C2369" s="70" t="n">
        <x:v>46241.894487129626</x:v>
      </x:c>
      <x:c r="D2369" s="50" t="str">
        <x:v>SWING_SETUP</x:v>
      </x:c>
      <x:c r="E2369" s="50" t="str">
        <x:v>NXE SWING SETUP</x:v>
      </x:c>
      <x:c r="F2369" s="50" t="str">
        <x:v>WATCH</x:v>
      </x:c>
      <x:c r="G2369" s="50"/>
      <x:c r="H2369" s="50" t="str">
        <x:v>LONG</x:v>
      </x:c>
      <x:c r="I2369" s="71" t="n">
        <x:v>10.43</x:v>
      </x:c>
      <x:c r="J2369" s="76" t="str">
        <x:v>SIP</x:v>
      </x:c>
    </x:row>
    <x:row r="2370">
      <x:c r="A2370" s="50" t="str">
        <x:v>019fde21-2bdf-729c-a0b9-a5d860abb748</x:v>
      </x:c>
      <x:c r="B2370" s="50" t="str">
        <x:v>CROX</x:v>
      </x:c>
      <x:c r="C2370" s="70" t="n">
        <x:v>46241.89518184028</x:v>
      </x:c>
      <x:c r="D2370" s="50" t="str">
        <x:v>SWING_SETUP</x:v>
      </x:c>
      <x:c r="E2370" s="50" t="str">
        <x:v>CROX SWING SETUP</x:v>
      </x:c>
      <x:c r="F2370" s="50" t="str">
        <x:v>WATCH</x:v>
      </x:c>
      <x:c r="G2370" s="50"/>
      <x:c r="H2370" s="50" t="str">
        <x:v>LONG</x:v>
      </x:c>
      <x:c r="I2370" s="71" t="n">
        <x:v>136.56</x:v>
      </x:c>
      <x:c r="J2370" s="76" t="str">
        <x:v>SIP</x:v>
      </x:c>
    </x:row>
    <x:row r="2371">
      <x:c r="A2371" s="50" t="str">
        <x:v>019fde22-1489-7904-ac22-6c56199db971</x:v>
      </x:c>
      <x:c r="B2371" s="50" t="str">
        <x:v>PLTR</x:v>
      </x:c>
      <x:c r="C2371" s="70" t="n">
        <x:v>46241.895871203706</x:v>
      </x:c>
      <x:c r="D2371" s="50" t="str">
        <x:v>SWING_SETUP</x:v>
      </x:c>
      <x:c r="E2371" s="50" t="str">
        <x:v>PLTR SWING SETUP</x:v>
      </x:c>
      <x:c r="F2371" s="50" t="str">
        <x:v>WATCH</x:v>
      </x:c>
      <x:c r="G2371" s="50"/>
      <x:c r="H2371" s="50" t="str">
        <x:v>LONG</x:v>
      </x:c>
      <x:c r="I2371" s="71" t="n">
        <x:v>171.27</x:v>
      </x:c>
      <x:c r="J2371" s="76" t="str">
        <x:v>SIP</x:v>
      </x:c>
    </x:row>
    <x:row r="2372">
      <x:c r="A2372" s="50" t="str">
        <x:v>019fde23-0085-7238-9f91-f43fd856ff93</x:v>
      </x:c>
      <x:c r="B2372" s="50" t="str">
        <x:v>NOC</x:v>
      </x:c>
      <x:c r="C2372" s="70" t="n">
        <x:v>46241.89657042824</x:v>
      </x:c>
      <x:c r="D2372" s="50" t="str">
        <x:v>SWING_SETUP</x:v>
      </x:c>
      <x:c r="E2372" s="50" t="str">
        <x:v>NOC SWING SETUP</x:v>
      </x:c>
      <x:c r="F2372" s="50" t="str">
        <x:v>WATCH</x:v>
      </x:c>
      <x:c r="G2372" s="50"/>
      <x:c r="H2372" s="50" t="str">
        <x:v>LONG</x:v>
      </x:c>
      <x:c r="I2372" s="71" t="n">
        <x:v>571.58</x:v>
      </x:c>
      <x:c r="J2372" s="76" t="str">
        <x:v>SIP</x:v>
      </x:c>
    </x:row>
    <x:row r="2373">
      <x:c r="A2373" s="50" t="str">
        <x:v>019fde23-e7c7-7d16-902c-cf7234006f8e</x:v>
      </x:c>
      <x:c r="B2373" s="50" t="str">
        <x:v>VZ</x:v>
      </x:c>
      <x:c r="C2373" s="70" t="n">
        <x:v>46241.89725563658</x:v>
      </x:c>
      <x:c r="D2373" s="50" t="str">
        <x:v>SWING_SETUP</x:v>
      </x:c>
      <x:c r="E2373" s="50" t="str">
        <x:v>VZ SWING SETUP</x:v>
      </x:c>
      <x:c r="F2373" s="50" t="str">
        <x:v>WATCH</x:v>
      </x:c>
      <x:c r="G2373" s="50"/>
      <x:c r="H2373" s="50" t="str">
        <x:v>LONG</x:v>
      </x:c>
      <x:c r="I2373" s="71" t="n">
        <x:v>46.9839</x:v>
      </x:c>
      <x:c r="J2373" s="76" t="str">
        <x:v>SIP</x:v>
      </x:c>
    </x:row>
    <x:row r="2374">
      <x:c r="A2374" s="50" t="str">
        <x:v>019fde23-eb8a-7231-b930-f339be00e7f4</x:v>
      </x:c>
      <x:c r="B2374" s="50" t="str">
        <x:v>INTU</x:v>
      </x:c>
      <x:c r="C2374" s="70" t="n">
        <x:v>46241.897266782405</x:v>
      </x:c>
      <x:c r="D2374" s="50" t="str">
        <x:v>SWING_SETUP</x:v>
      </x:c>
      <x:c r="E2374" s="50" t="str">
        <x:v>INTU SWING SETUP</x:v>
      </x:c>
      <x:c r="F2374" s="50" t="str">
        <x:v>WATCH</x:v>
      </x:c>
      <x:c r="G2374" s="50"/>
      <x:c r="H2374" s="50" t="str">
        <x:v>LONG</x:v>
      </x:c>
      <x:c r="I2374" s="71" t="n">
        <x:v>325.25</x:v>
      </x:c>
      <x:c r="J2374" s="76" t="str">
        <x:v>SIP</x:v>
      </x:c>
    </x:row>
    <x:row r="2375">
      <x:c r="A2375" s="50" t="str">
        <x:v>019fde24-d2c6-7810-b433-0b6e27478cca</x:v>
      </x:c>
      <x:c r="B2375" s="50" t="str">
        <x:v>SBUX</x:v>
      </x:c>
      <x:c r="C2375" s="70" t="n">
        <x:v>46241.897951921295</x:v>
      </x:c>
      <x:c r="D2375" s="50" t="str">
        <x:v>SWING_SETUP</x:v>
      </x:c>
      <x:c r="E2375" s="50" t="str">
        <x:v>SBUX SWING SETUP</x:v>
      </x:c>
      <x:c r="F2375" s="50" t="str">
        <x:v>WATCH</x:v>
      </x:c>
      <x:c r="G2375" s="50"/>
      <x:c r="H2375" s="50" t="str">
        <x:v>LONG</x:v>
      </x:c>
      <x:c r="I2375" s="71" t="n">
        <x:v>105.58</x:v>
      </x:c>
      <x:c r="J2375" s="76" t="str">
        <x:v>SIP</x:v>
      </x:c>
    </x:row>
    <x:row r="2376">
      <x:c r="A2376" s="50" t="str">
        <x:v>019fde24-d4fd-7aea-8c6a-23f713eb99f2</x:v>
      </x:c>
      <x:c r="B2376" s="50" t="str">
        <x:v>APA</x:v>
      </x:c>
      <x:c r="C2376" s="70" t="n">
        <x:v>46241.897958472226</x:v>
      </x:c>
      <x:c r="D2376" s="50" t="str">
        <x:v>SWING_SETUP</x:v>
      </x:c>
      <x:c r="E2376" s="50" t="str">
        <x:v>APA SWING SETUP</x:v>
      </x:c>
      <x:c r="F2376" s="50" t="str">
        <x:v>WATCH</x:v>
      </x:c>
      <x:c r="G2376" s="50"/>
      <x:c r="H2376" s="50" t="str">
        <x:v>LONG</x:v>
      </x:c>
      <x:c r="I2376" s="71" t="n">
        <x:v>37.648</x:v>
      </x:c>
      <x:c r="J2376" s="76" t="str">
        <x:v>SIP</x:v>
      </x:c>
    </x:row>
    <x:row r="2377">
      <x:c r="A2377" s="50" t="str">
        <x:v>019fde26-a772-7bbe-8f62-e6e76b681ea7</x:v>
      </x:c>
      <x:c r="B2377" s="50" t="str">
        <x:v>GRAB</x:v>
      </x:c>
      <x:c r="C2377" s="70" t="n">
        <x:v>46241.899340578704</x:v>
      </x:c>
      <x:c r="D2377" s="50" t="str">
        <x:v>SWING_SETUP</x:v>
      </x:c>
      <x:c r="E2377" s="50" t="str">
        <x:v>GRAB SWING SETUP</x:v>
      </x:c>
      <x:c r="F2377" s="50" t="str">
        <x:v>WATCH</x:v>
      </x:c>
      <x:c r="G2377" s="50"/>
      <x:c r="H2377" s="50" t="str">
        <x:v>LONG</x:v>
      </x:c>
      <x:c r="I2377" s="71" t="n">
        <x:v>3.6597</x:v>
      </x:c>
      <x:c r="J2377" s="76" t="str">
        <x:v>SIP</x:v>
      </x:c>
    </x:row>
    <x:row r="2378">
      <x:c r="A2378" s="50" t="str">
        <x:v>019fde26-a7e5-72c4-a27d-e970069b4251</x:v>
      </x:c>
      <x:c r="B2378" s="50" t="str">
        <x:v>ANET</x:v>
      </x:c>
      <x:c r="C2378" s="70" t="n">
        <x:v>46241.899341909724</x:v>
      </x:c>
      <x:c r="D2378" s="50" t="str">
        <x:v>SWING_SETUP</x:v>
      </x:c>
      <x:c r="E2378" s="50" t="str">
        <x:v>ANET SWING SETUP</x:v>
      </x:c>
      <x:c r="F2378" s="50" t="str">
        <x:v>WATCH</x:v>
      </x:c>
      <x:c r="G2378" s="50"/>
      <x:c r="H2378" s="50" t="str">
        <x:v>LONG</x:v>
      </x:c>
      <x:c r="I2378" s="71" t="n">
        <x:v>189.1</x:v>
      </x:c>
      <x:c r="J2378" s="76" t="str">
        <x:v>SIP</x:v>
      </x:c>
    </x:row>
    <x:row r="2379">
      <x:c r="A2379" s="50" t="str">
        <x:v>019fde26-a7f5-7426-97ca-f5e7b4c1dc69</x:v>
      </x:c>
      <x:c r="B2379" s="50" t="str">
        <x:v>APH</x:v>
      </x:c>
      <x:c r="C2379" s="70" t="n">
        <x:v>46241.899342094905</x:v>
      </x:c>
      <x:c r="D2379" s="50" t="str">
        <x:v>SWING_SETUP</x:v>
      </x:c>
      <x:c r="E2379" s="50" t="str">
        <x:v>APH SWING SETUP</x:v>
      </x:c>
      <x:c r="F2379" s="50" t="str">
        <x:v>WATCH</x:v>
      </x:c>
      <x:c r="G2379" s="50"/>
      <x:c r="H2379" s="50" t="str">
        <x:v>LONG</x:v>
      </x:c>
      <x:c r="I2379" s="71" t="n">
        <x:v>169.17</x:v>
      </x:c>
      <x:c r="J2379" s="76" t="str">
        <x:v>SIP</x:v>
      </x:c>
    </x:row>
    <x:row r="2380">
      <x:c r="A2380" s="50" t="str">
        <x:v>019fde26-a829-7e1c-b84b-371734417dbf</x:v>
      </x:c>
      <x:c r="B2380" s="50" t="str">
        <x:v>UNP</x:v>
      </x:c>
      <x:c r="C2380" s="70" t="n">
        <x:v>46241.89934269676</x:v>
      </x:c>
      <x:c r="D2380" s="50" t="str">
        <x:v>SWING_SETUP</x:v>
      </x:c>
      <x:c r="E2380" s="50" t="str">
        <x:v>UNP SWING SETUP</x:v>
      </x:c>
      <x:c r="F2380" s="50" t="str">
        <x:v>WATCH</x:v>
      </x:c>
      <x:c r="G2380" s="50"/>
      <x:c r="H2380" s="50" t="str">
        <x:v>LONG</x:v>
      </x:c>
      <x:c r="I2380" s="71" t="n">
        <x:v>293.13</x:v>
      </x:c>
      <x:c r="J2380" s="76" t="str">
        <x:v>SIP</x:v>
      </x:c>
    </x:row>
    <x:row r="2381">
      <x:c r="A2381" s="50" t="str">
        <x:v>019fde26-a840-7eab-b1a6-de7836ed55a2</x:v>
      </x:c>
      <x:c r="B2381" s="50" t="str">
        <x:v>COP</x:v>
      </x:c>
      <x:c r="C2381" s="70" t="n">
        <x:v>46241.89934296296</x:v>
      </x:c>
      <x:c r="D2381" s="50" t="str">
        <x:v>SWING_SETUP</x:v>
      </x:c>
      <x:c r="E2381" s="50" t="str">
        <x:v>COP SWING SETUP</x:v>
      </x:c>
      <x:c r="F2381" s="50" t="str">
        <x:v>WATCH</x:v>
      </x:c>
      <x:c r="G2381" s="50"/>
      <x:c r="H2381" s="50" t="str">
        <x:v>LONG</x:v>
      </x:c>
      <x:c r="I2381" s="71" t="n">
        <x:v>117.6</x:v>
      </x:c>
      <x:c r="J2381" s="76" t="str">
        <x:v>SIP</x:v>
      </x:c>
    </x:row>
    <x:row r="2382">
      <x:c r="A2382" s="50" t="str">
        <x:v>019fde26-a8a5-76fb-af9a-dbc375dfdd17</x:v>
      </x:c>
      <x:c r="B2382" s="50" t="str">
        <x:v>PYPL</x:v>
      </x:c>
      <x:c r="C2382" s="70" t="n">
        <x:v>46241.89934412037</x:v>
      </x:c>
      <x:c r="D2382" s="50" t="str">
        <x:v>SWING_SETUP</x:v>
      </x:c>
      <x:c r="E2382" s="50" t="str">
        <x:v>PYPL SWING SETUP</x:v>
      </x:c>
      <x:c r="F2382" s="50" t="str">
        <x:v>WATCH</x:v>
      </x:c>
      <x:c r="G2382" s="50"/>
      <x:c r="H2382" s="50" t="str">
        <x:v>LONG</x:v>
      </x:c>
      <x:c r="I2382" s="71" t="n">
        <x:v>59.095</x:v>
      </x:c>
      <x:c r="J2382" s="76" t="str">
        <x:v>SIP</x:v>
      </x:c>
    </x:row>
    <x:row r="2383">
      <x:c r="A2383" s="50" t="str">
        <x:v>019fde26-a912-7a05-8a1b-11c62710e94f</x:v>
      </x:c>
      <x:c r="B2383" s="50" t="str">
        <x:v>PFE</x:v>
      </x:c>
      <x:c r="C2383" s="70" t="n">
        <x:v>46241.89934539352</x:v>
      </x:c>
      <x:c r="D2383" s="50" t="str">
        <x:v>SWING_SETUP</x:v>
      </x:c>
      <x:c r="E2383" s="50" t="str">
        <x:v>PFE SWING SETUP</x:v>
      </x:c>
      <x:c r="F2383" s="50" t="str">
        <x:v>WATCH</x:v>
      </x:c>
      <x:c r="G2383" s="50"/>
      <x:c r="H2383" s="50" t="str">
        <x:v>LONG</x:v>
      </x:c>
      <x:c r="I2383" s="71" t="n">
        <x:v>26.61</x:v>
      </x:c>
      <x:c r="J2383" s="76" t="str">
        <x:v>SIP</x:v>
      </x:c>
    </x:row>
    <x:row r="2384">
      <x:c r="A2384" s="50" t="str">
        <x:v>019fde27-9229-7a38-b4cb-d52aa4941b46</x:v>
      </x:c>
      <x:c r="B2384" s="50" t="str">
        <x:v>BMY</x:v>
      </x:c>
      <x:c r="C2384" s="70" t="n">
        <x:v>46241.90003603009</x:v>
      </x:c>
      <x:c r="D2384" s="50" t="str">
        <x:v>SWING_SETUP</x:v>
      </x:c>
      <x:c r="E2384" s="50" t="str">
        <x:v>BMY SWING SETUP</x:v>
      </x:c>
      <x:c r="F2384" s="50" t="str">
        <x:v>WATCH</x:v>
      </x:c>
      <x:c r="G2384" s="50"/>
      <x:c r="H2384" s="50" t="str">
        <x:v>LONG</x:v>
      </x:c>
      <x:c r="I2384" s="71" t="n">
        <x:v>64.69</x:v>
      </x:c>
      <x:c r="J2384" s="76" t="str">
        <x:v>SIP</x:v>
      </x:c>
    </x:row>
    <x:row r="2385">
      <x:c r="A2385" s="50" t="str">
        <x:v>019fde27-92b7-77e5-a975-bbed7d80ff47</x:v>
      </x:c>
      <x:c r="B2385" s="50" t="str">
        <x:v>ETHA</x:v>
      </x:c>
      <x:c r="C2385" s="70" t="n">
        <x:v>46241.90003767361</x:v>
      </x:c>
      <x:c r="D2385" s="50" t="str">
        <x:v>SWING_SETUP</x:v>
      </x:c>
      <x:c r="E2385" s="50" t="str">
        <x:v>ETHA SWING SETUP</x:v>
      </x:c>
      <x:c r="F2385" s="50" t="str">
        <x:v>WATCH</x:v>
      </x:c>
      <x:c r="G2385" s="50"/>
      <x:c r="H2385" s="50" t="str">
        <x:v>LONG</x:v>
      </x:c>
      <x:c r="I2385" s="71" t="n">
        <x:v>14.4627</x:v>
      </x:c>
      <x:c r="J2385" s="76" t="str">
        <x:v>SIP</x:v>
      </x:c>
    </x:row>
    <x:row r="2386">
      <x:c r="A2386" s="50" t="str">
        <x:v>019fde27-9340-7511-9d32-71a05feb5da0</x:v>
      </x:c>
      <x:c r="B2386" s="50" t="str">
        <x:v>LMT</x:v>
      </x:c>
      <x:c r="C2386" s="70" t="n">
        <x:v>46241.90003925926</x:v>
      </x:c>
      <x:c r="D2386" s="50" t="str">
        <x:v>SWING_SETUP</x:v>
      </x:c>
      <x:c r="E2386" s="50" t="str">
        <x:v>LMT SWING SETUP</x:v>
      </x:c>
      <x:c r="F2386" s="50" t="str">
        <x:v>WATCH</x:v>
      </x:c>
      <x:c r="G2386" s="50"/>
      <x:c r="H2386" s="50" t="str">
        <x:v>LONG</x:v>
      </x:c>
      <x:c r="I2386" s="71" t="n">
        <x:v>587.92</x:v>
      </x:c>
      <x:c r="J2386" s="76" t="str">
        <x:v>SIP</x:v>
      </x:c>
    </x:row>
    <x:row r="2387">
      <x:c r="A2387" s="50" t="str">
        <x:v>019fde27-936d-73bb-a20c-addd6e291272</x:v>
      </x:c>
      <x:c r="B2387" s="50" t="str">
        <x:v>WELL</x:v>
      </x:c>
      <x:c r="C2387" s="70" t="n">
        <x:v>46241.90003978009</x:v>
      </x:c>
      <x:c r="D2387" s="50" t="str">
        <x:v>SWING_SETUP</x:v>
      </x:c>
      <x:c r="E2387" s="50" t="str">
        <x:v>WELL SWING SETUP</x:v>
      </x:c>
      <x:c r="F2387" s="50" t="str">
        <x:v>WATCH</x:v>
      </x:c>
      <x:c r="G2387" s="50"/>
      <x:c r="H2387" s="50" t="str">
        <x:v>LONG</x:v>
      </x:c>
      <x:c r="I2387" s="71" t="n">
        <x:v>236.92</x:v>
      </x:c>
      <x:c r="J2387" s="76" t="str">
        <x:v>SIP</x:v>
      </x:c>
    </x:row>
    <x:row r="2388">
      <x:c r="A2388" s="50" t="str">
        <x:v>019fde27-938f-7a60-896e-2799c4c56bc0</x:v>
      </x:c>
      <x:c r="B2388" s="50" t="str">
        <x:v>ETN</x:v>
      </x:c>
      <x:c r="C2388" s="70" t="n">
        <x:v>46241.90004017361</x:v>
      </x:c>
      <x:c r="D2388" s="50" t="str">
        <x:v>SWING_SETUP</x:v>
      </x:c>
      <x:c r="E2388" s="50" t="str">
        <x:v>ETN SWING SETUP</x:v>
      </x:c>
      <x:c r="F2388" s="50" t="str">
        <x:v>WATCH</x:v>
      </x:c>
      <x:c r="G2388" s="50"/>
      <x:c r="H2388" s="50" t="str">
        <x:v>LONG</x:v>
      </x:c>
      <x:c r="I2388" s="71" t="n">
        <x:v>448.67</x:v>
      </x:c>
      <x:c r="J2388" s="76" t="str">
        <x:v>SIP</x:v>
      </x:c>
    </x:row>
    <x:row r="2389">
      <x:c r="A2389" s="50" t="str">
        <x:v>019fde27-941d-72df-b27c-6b6b772e05c3</x:v>
      </x:c>
      <x:c r="B2389" s="50" t="str">
        <x:v>ACHV</x:v>
      </x:c>
      <x:c r="C2389" s="70" t="n">
        <x:v>46241.90004181713</x:v>
      </x:c>
      <x:c r="D2389" s="50" t="str">
        <x:v>SWING_SETUP</x:v>
      </x:c>
      <x:c r="E2389" s="50" t="str">
        <x:v>ACHV SWING SETUP</x:v>
      </x:c>
      <x:c r="F2389" s="50" t="str">
        <x:v>WATCH</x:v>
      </x:c>
      <x:c r="G2389" s="50"/>
      <x:c r="H2389" s="50" t="str">
        <x:v>LONG</x:v>
      </x:c>
      <x:c r="I2389" s="71" t="n">
        <x:v>6.65</x:v>
      </x:c>
      <x:c r="J2389" s="76" t="str">
        <x:v>SIP</x:v>
      </x:c>
    </x:row>
    <x:row r="2390">
      <x:c r="A2390" s="50" t="str">
        <x:v>019fde27-945a-7933-8840-9f65fe333528</x:v>
      </x:c>
      <x:c r="B2390" s="50" t="str">
        <x:v>MDLZ</x:v>
      </x:c>
      <x:c r="C2390" s="70" t="n">
        <x:v>46241.90004252315</x:v>
      </x:c>
      <x:c r="D2390" s="50" t="str">
        <x:v>SWING_SETUP</x:v>
      </x:c>
      <x:c r="E2390" s="50" t="str">
        <x:v>MDLZ SWING SETUP</x:v>
      </x:c>
      <x:c r="F2390" s="50" t="str">
        <x:v>WATCH</x:v>
      </x:c>
      <x:c r="G2390" s="50"/>
      <x:c r="H2390" s="50" t="str">
        <x:v>LONG</x:v>
      </x:c>
      <x:c r="I2390" s="71" t="n">
        <x:v>62.61</x:v>
      </x:c>
      <x:c r="J2390" s="76" t="str">
        <x:v>SIP</x:v>
      </x:c>
    </x:row>
    <x:row r="2391">
      <x:c r="A2391" s="50" t="str">
        <x:v>019fde27-9470-76e7-9a5c-32e2d7e688e0</x:v>
      </x:c>
      <x:c r="B2391" s="50" t="str">
        <x:v>OXY</x:v>
      </x:c>
      <x:c r="C2391" s="70" t="n">
        <x:v>46241.90004277778</x:v>
      </x:c>
      <x:c r="D2391" s="50" t="str">
        <x:v>SWING_SETUP</x:v>
      </x:c>
      <x:c r="E2391" s="50" t="str">
        <x:v>OXY SWING SETUP</x:v>
      </x:c>
      <x:c r="F2391" s="50" t="str">
        <x:v>WATCH</x:v>
      </x:c>
      <x:c r="G2391" s="50"/>
      <x:c r="H2391" s="50" t="str">
        <x:v>LONG</x:v>
      </x:c>
      <x:c r="I2391" s="71" t="n">
        <x:v>56.03</x:v>
      </x:c>
      <x:c r="J2391" s="76" t="str">
        <x:v>SIP</x:v>
      </x:c>
    </x:row>
    <x:row r="2392">
      <x:c r="A2392" s="50" t="str">
        <x:v>019fde28-7c30-73b1-89d0-3af5e3bf5848</x:v>
      </x:c>
      <x:c r="B2392" s="50" t="str">
        <x:v>CEG</x:v>
      </x:c>
      <x:c r="C2392" s="70" t="n">
        <x:v>46241.900729444445</x:v>
      </x:c>
      <x:c r="D2392" s="50" t="str">
        <x:v>SWING_SETUP</x:v>
      </x:c>
      <x:c r="E2392" s="50" t="str">
        <x:v>CEG SWING SETUP</x:v>
      </x:c>
      <x:c r="F2392" s="50" t="str">
        <x:v>WATCH</x:v>
      </x:c>
      <x:c r="G2392" s="50"/>
      <x:c r="H2392" s="50" t="str">
        <x:v>LONG</x:v>
      </x:c>
      <x:c r="I2392" s="71" t="n">
        <x:v>269.9</x:v>
      </x:c>
      <x:c r="J2392" s="76" t="str">
        <x:v>SIP</x:v>
      </x:c>
    </x:row>
    <x:row r="2393">
      <x:c r="A2393" s="50" t="str">
        <x:v>019fde28-7e4e-737d-b00c-1114ebf2e031</x:v>
      </x:c>
      <x:c r="B2393" s="50" t="str">
        <x:v>SBUX</x:v>
      </x:c>
      <x:c r="C2393" s="70" t="n">
        <x:v>46241.900735717594</x:v>
      </x:c>
      <x:c r="D2393" s="50" t="str">
        <x:v>LONG_BUY_ZONE</x:v>
      </x:c>
      <x:c r="E2393" s="50" t="str">
        <x:v>SBUX LONG BUY ZONE</x:v>
      </x:c>
      <x:c r="F2393" s="50" t="str">
        <x:v>WATCH</x:v>
      </x:c>
      <x:c r="G2393" s="50"/>
      <x:c r="H2393" s="50" t="str">
        <x:v>LONG</x:v>
      </x:c>
      <x:c r="I2393" s="71" t="n">
        <x:v>105.669</x:v>
      </x:c>
      <x:c r="J2393" s="76" t="str">
        <x:v>SIP</x:v>
      </x:c>
    </x:row>
    <x:row r="2394">
      <x:c r="A2394" s="50" t="str">
        <x:v>019fde28-7e6c-76de-918a-f1bb523a0a67</x:v>
      </x:c>
      <x:c r="B2394" s="50" t="str">
        <x:v>RCL</x:v>
      </x:c>
      <x:c r="C2394" s="70" t="n">
        <x:v>46241.90073606482</x:v>
      </x:c>
      <x:c r="D2394" s="50" t="str">
        <x:v>SWING_SETUP</x:v>
      </x:c>
      <x:c r="E2394" s="50" t="str">
        <x:v>RCL SWING SETUP</x:v>
      </x:c>
      <x:c r="F2394" s="50" t="str">
        <x:v>WATCH</x:v>
      </x:c>
      <x:c r="G2394" s="50"/>
      <x:c r="H2394" s="50" t="str">
        <x:v>LONG</x:v>
      </x:c>
      <x:c r="I2394" s="71" t="n">
        <x:v>320</x:v>
      </x:c>
      <x:c r="J2394" s="76" t="str">
        <x:v>SIP</x:v>
      </x:c>
    </x:row>
    <x:row r="2395">
      <x:c r="A2395" s="50" t="str">
        <x:v>019fde28-7f1d-7eeb-9935-1eff0ae8a26f</x:v>
      </x:c>
      <x:c r="B2395" s="50" t="str">
        <x:v>JPM</x:v>
      </x:c>
      <x:c r="C2395" s="70" t="n">
        <x:v>46241.90073811343</x:v>
      </x:c>
      <x:c r="D2395" s="50" t="str">
        <x:v>SWING_SETUP</x:v>
      </x:c>
      <x:c r="E2395" s="50" t="str">
        <x:v>JPM SWING SETUP</x:v>
      </x:c>
      <x:c r="F2395" s="50" t="str">
        <x:v>WATCH</x:v>
      </x:c>
      <x:c r="G2395" s="50"/>
      <x:c r="H2395" s="50" t="str">
        <x:v>LONG</x:v>
      </x:c>
      <x:c r="I2395" s="71" t="n">
        <x:v>357.4511</x:v>
      </x:c>
      <x:c r="J2395" s="76" t="str">
        <x:v>SIP</x:v>
      </x:c>
    </x:row>
    <x:row r="2396">
      <x:c r="A2396" s="50" t="str">
        <x:v>019fde28-7f29-7fb4-95cd-4fd45770b9ff</x:v>
      </x:c>
      <x:c r="B2396" s="50" t="str">
        <x:v>ECL</x:v>
      </x:c>
      <x:c r="C2396" s="70" t="n">
        <x:v>46241.90073825231</x:v>
      </x:c>
      <x:c r="D2396" s="50" t="str">
        <x:v>SWING_SETUP</x:v>
      </x:c>
      <x:c r="E2396" s="50" t="str">
        <x:v>ECL SWING SETUP</x:v>
      </x:c>
      <x:c r="F2396" s="50" t="str">
        <x:v>WATCH</x:v>
      </x:c>
      <x:c r="G2396" s="50"/>
      <x:c r="H2396" s="50" t="str">
        <x:v>LONG</x:v>
      </x:c>
      <x:c r="I2396" s="71" t="n">
        <x:v>285.17</x:v>
      </x:c>
      <x:c r="J2396" s="76" t="str">
        <x:v>SIP</x:v>
      </x:c>
    </x:row>
    <x:row r="2397">
      <x:c r="A2397" s="50" t="str">
        <x:v>019fde28-7f4a-75d2-9cf8-e9e3a51cbad8</x:v>
      </x:c>
      <x:c r="B2397" s="50" t="str">
        <x:v>JD</x:v>
      </x:c>
      <x:c r="C2397" s="70" t="n">
        <x:v>46241.90073863426</x:v>
      </x:c>
      <x:c r="D2397" s="50" t="str">
        <x:v>SWING_SETUP</x:v>
      </x:c>
      <x:c r="E2397" s="50" t="str">
        <x:v>JD SWING SETUP</x:v>
      </x:c>
      <x:c r="F2397" s="50" t="str">
        <x:v>WATCH</x:v>
      </x:c>
      <x:c r="G2397" s="50"/>
      <x:c r="H2397" s="50" t="str">
        <x:v>LONG</x:v>
      </x:c>
      <x:c r="I2397" s="71" t="n">
        <x:v>33</x:v>
      </x:c>
      <x:c r="J2397" s="76" t="str">
        <x:v>SIP</x:v>
      </x:c>
    </x:row>
    <x:row r="2398">
      <x:c r="A2398" s="50" t="str">
        <x:v>019fde28-7f63-7e47-9e20-03f877f84fc8</x:v>
      </x:c>
      <x:c r="B2398" s="50" t="str">
        <x:v>BAC</x:v>
      </x:c>
      <x:c r="C2398" s="70" t="n">
        <x:v>46241.900738923614</x:v>
      </x:c>
      <x:c r="D2398" s="50" t="str">
        <x:v>SWING_SETUP</x:v>
      </x:c>
      <x:c r="E2398" s="50" t="str">
        <x:v>BAC SWING SETUP</x:v>
      </x:c>
      <x:c r="F2398" s="50" t="str">
        <x:v>WATCH</x:v>
      </x:c>
      <x:c r="G2398" s="50"/>
      <x:c r="H2398" s="50" t="str">
        <x:v>LONG</x:v>
      </x:c>
      <x:c r="I2398" s="71" t="n">
        <x:v>63.17</x:v>
      </x:c>
      <x:c r="J2398" s="76" t="str">
        <x:v>SIP</x:v>
      </x:c>
    </x:row>
    <x:row r="2399">
      <x:c r="A2399" s="50" t="str">
        <x:v>019fde28-7f7d-7513-84c1-b50e0d74a494</x:v>
      </x:c>
      <x:c r="B2399" s="50" t="str">
        <x:v>TMDX</x:v>
      </x:c>
      <x:c r="C2399" s="70" t="n">
        <x:v>46241.90073922454</x:v>
      </x:c>
      <x:c r="D2399" s="50" t="str">
        <x:v>SWING_SETUP</x:v>
      </x:c>
      <x:c r="E2399" s="50" t="str">
        <x:v>TMDX SWING SETUP</x:v>
      </x:c>
      <x:c r="F2399" s="50" t="str">
        <x:v>WATCH</x:v>
      </x:c>
      <x:c r="G2399" s="50"/>
      <x:c r="H2399" s="50" t="str">
        <x:v>LONG</x:v>
      </x:c>
      <x:c r="I2399" s="71" t="n">
        <x:v>83.5</x:v>
      </x:c>
      <x:c r="J2399" s="76" t="str">
        <x:v>SIP</x:v>
      </x:c>
    </x:row>
    <x:row r="2400">
      <x:c r="A2400" s="50" t="str">
        <x:v>019fde28-7f85-750a-8ff9-1378dc547ee0</x:v>
      </x:c>
      <x:c r="B2400" s="50" t="str">
        <x:v>SCHW</x:v>
      </x:c>
      <x:c r="C2400" s="70" t="n">
        <x:v>46241.90073931713</x:v>
      </x:c>
      <x:c r="D2400" s="50" t="str">
        <x:v>SWING_SETUP</x:v>
      </x:c>
      <x:c r="E2400" s="50" t="str">
        <x:v>SCHW SWING SETUP</x:v>
      </x:c>
      <x:c r="F2400" s="50" t="str">
        <x:v>WATCH</x:v>
      </x:c>
      <x:c r="G2400" s="50"/>
      <x:c r="H2400" s="50" t="str">
        <x:v>LONG</x:v>
      </x:c>
      <x:c r="I2400" s="71" t="n">
        <x:v>107.6</x:v>
      </x:c>
      <x:c r="J2400" s="76" t="str">
        <x:v>SIP</x:v>
      </x:c>
    </x:row>
    <x:row r="2401">
      <x:c r="A2401" s="50" t="str">
        <x:v>019fde29-6802-71ae-a908-0a4b0d349fe1</x:v>
      </x:c>
      <x:c r="B2401" s="50" t="str">
        <x:v>KO</x:v>
      </x:c>
      <x:c r="C2401" s="70" t="n">
        <x:v>46241.901428171295</x:v>
      </x:c>
      <x:c r="D2401" s="50" t="str">
        <x:v>SWING_SETUP</x:v>
      </x:c>
      <x:c r="E2401" s="50" t="str">
        <x:v>KO SWING SETUP</x:v>
      </x:c>
      <x:c r="F2401" s="50" t="str">
        <x:v>WATCH</x:v>
      </x:c>
      <x:c r="G2401" s="50"/>
      <x:c r="H2401" s="50" t="str">
        <x:v>LONG</x:v>
      </x:c>
      <x:c r="I2401" s="71" t="n">
        <x:v>87.15</x:v>
      </x:c>
      <x:c r="J2401" s="76" t="str">
        <x:v>SIP</x:v>
      </x:c>
    </x:row>
    <x:row r="2402">
      <x:c r="A2402" s="50" t="str">
        <x:v>019fde29-68bd-77ae-b92c-7f20fc07a42d</x:v>
      </x:c>
      <x:c r="B2402" s="50" t="str">
        <x:v>PSX</x:v>
      </x:c>
      <x:c r="C2402" s="70" t="n">
        <x:v>46241.901430335645</x:v>
      </x:c>
      <x:c r="D2402" s="50" t="str">
        <x:v>SWING_SETUP</x:v>
      </x:c>
      <x:c r="E2402" s="50" t="str">
        <x:v>PSX SWING SETUP</x:v>
      </x:c>
      <x:c r="F2402" s="50" t="str">
        <x:v>WATCH</x:v>
      </x:c>
      <x:c r="G2402" s="50"/>
      <x:c r="H2402" s="50" t="str">
        <x:v>LONG</x:v>
      </x:c>
      <x:c r="I2402" s="71" t="n">
        <x:v>203.89</x:v>
      </x:c>
      <x:c r="J2402" s="76" t="str">
        <x:v>SIP</x:v>
      </x:c>
    </x:row>
    <x:row r="2403">
      <x:c r="A2403" s="50" t="str">
        <x:v>019fde29-699a-7a56-a05f-e9269073eda0</x:v>
      </x:c>
      <x:c r="B2403" s="50" t="str">
        <x:v>ABT</x:v>
      </x:c>
      <x:c r="C2403" s="70" t="n">
        <x:v>46241.901432893515</x:v>
      </x:c>
      <x:c r="D2403" s="50" t="str">
        <x:v>SWING_SETUP</x:v>
      </x:c>
      <x:c r="E2403" s="50" t="str">
        <x:v>ABT SWING SETUP</x:v>
      </x:c>
      <x:c r="F2403" s="50" t="str">
        <x:v>WATCH</x:v>
      </x:c>
      <x:c r="G2403" s="50"/>
      <x:c r="H2403" s="50" t="str">
        <x:v>LONG</x:v>
      </x:c>
      <x:c r="I2403" s="71" t="n">
        <x:v>107.81</x:v>
      </x:c>
      <x:c r="J2403" s="76" t="str">
        <x:v>SIP</x:v>
      </x:c>
    </x:row>
    <x:row r="2404">
      <x:c r="A2404" s="50" t="str">
        <x:v>019fde2a-52df-7d5b-856b-867cbba829e4</x:v>
      </x:c>
      <x:c r="B2404" s="50" t="str">
        <x:v>MMM</x:v>
      </x:c>
      <x:c r="C2404" s="70" t="n">
        <x:v>46241.9021240625</x:v>
      </x:c>
      <x:c r="D2404" s="50" t="str">
        <x:v>SWING_SETUP</x:v>
      </x:c>
      <x:c r="E2404" s="50" t="str">
        <x:v>MMM SWING SETUP</x:v>
      </x:c>
      <x:c r="F2404" s="50" t="str">
        <x:v>WATCH</x:v>
      </x:c>
      <x:c r="G2404" s="50"/>
      <x:c r="H2404" s="50" t="str">
        <x:v>LONG</x:v>
      </x:c>
      <x:c r="I2404" s="71" t="n">
        <x:v>182.89</x:v>
      </x:c>
      <x:c r="J2404" s="76" t="str">
        <x:v>SIP</x:v>
      </x:c>
    </x:row>
    <x:row r="2405">
      <x:c r="A2405" s="50" t="str">
        <x:v>019fde2b-3c33-776c-8c00-495f8feb5935</x:v>
      </x:c>
      <x:c r="B2405" s="50" t="str">
        <x:v>SE</x:v>
      </x:c>
      <x:c r="C2405" s="70" t="n">
        <x:v>46241.90281540509</x:v>
      </x:c>
      <x:c r="D2405" s="50" t="str">
        <x:v>SWING_SETUP</x:v>
      </x:c>
      <x:c r="E2405" s="50" t="str">
        <x:v>SE SWING SETUP</x:v>
      </x:c>
      <x:c r="F2405" s="50" t="str">
        <x:v>WATCH</x:v>
      </x:c>
      <x:c r="G2405" s="50"/>
      <x:c r="H2405" s="50" t="str">
        <x:v>LONG</x:v>
      </x:c>
      <x:c r="I2405" s="71" t="n">
        <x:v>113.43</x:v>
      </x:c>
      <x:c r="J2405" s="76" t="str">
        <x:v>SIP</x:v>
      </x:c>
    </x:row>
    <x:row r="2406">
      <x:c r="A2406" s="50" t="str">
        <x:v>019fde2b-3c3d-7cd3-b1e2-0ed4c96c2429</x:v>
      </x:c>
      <x:c r="B2406" s="50" t="str">
        <x:v>ABNB</x:v>
      </x:c>
      <x:c r="C2406" s="70" t="n">
        <x:v>46241.902815520836</x:v>
      </x:c>
      <x:c r="D2406" s="50" t="str">
        <x:v>SWING_SETUP</x:v>
      </x:c>
      <x:c r="E2406" s="50" t="str">
        <x:v>ABNB SWING SETUP</x:v>
      </x:c>
      <x:c r="F2406" s="50" t="str">
        <x:v>WATCH</x:v>
      </x:c>
      <x:c r="G2406" s="50"/>
      <x:c r="H2406" s="50" t="str">
        <x:v>LONG</x:v>
      </x:c>
      <x:c r="I2406" s="71" t="n">
        <x:v>177.3336</x:v>
      </x:c>
      <x:c r="J2406" s="76" t="str">
        <x:v>SIP</x:v>
      </x:c>
    </x:row>
    <x:row r="2407">
      <x:c r="A2407" s="50" t="str">
        <x:v>019fde2b-3c44-72f6-bc2a-3df4c2c9191c</x:v>
      </x:c>
      <x:c r="B2407" s="50" t="str">
        <x:v>DLR</x:v>
      </x:c>
      <x:c r="C2407" s="70" t="n">
        <x:v>46241.902815601854</x:v>
      </x:c>
      <x:c r="D2407" s="50" t="str">
        <x:v>SWING_SETUP</x:v>
      </x:c>
      <x:c r="E2407" s="50" t="str">
        <x:v>DLR SWING SETUP</x:v>
      </x:c>
      <x:c r="F2407" s="50" t="str">
        <x:v>WATCH</x:v>
      </x:c>
      <x:c r="G2407" s="50"/>
      <x:c r="H2407" s="50" t="str">
        <x:v>LONG</x:v>
      </x:c>
      <x:c r="I2407" s="71" t="n">
        <x:v>193.8</x:v>
      </x:c>
      <x:c r="J2407" s="76" t="str">
        <x:v>SIP</x:v>
      </x:c>
    </x:row>
    <x:row r="2408">
      <x:c r="A2408" s="50" t="str">
        <x:v>019fde2b-3c7d-747d-bba8-298e61395333</x:v>
      </x:c>
      <x:c r="B2408" s="50" t="str">
        <x:v>NEM</x:v>
      </x:c>
      <x:c r="C2408" s="70" t="n">
        <x:v>46241.90281626157</x:v>
      </x:c>
      <x:c r="D2408" s="50" t="str">
        <x:v>SWING_SETUP</x:v>
      </x:c>
      <x:c r="E2408" s="50" t="str">
        <x:v>NEM SWING SETUP</x:v>
      </x:c>
      <x:c r="F2408" s="50" t="str">
        <x:v>WATCH</x:v>
      </x:c>
      <x:c r="G2408" s="50"/>
      <x:c r="H2408" s="50" t="str">
        <x:v>LONG</x:v>
      </x:c>
      <x:c r="I2408" s="71" t="n">
        <x:v>112.85</x:v>
      </x:c>
      <x:c r="J2408" s="76" t="str">
        <x:v>SIP</x:v>
      </x:c>
    </x:row>
    <x:row r="2409">
      <x:c r="A2409" s="50" t="str">
        <x:v>019fde2b-3dd8-707d-b832-22280f520250</x:v>
      </x:c>
      <x:c r="B2409" s="50" t="str">
        <x:v>UEC</x:v>
      </x:c>
      <x:c r="C2409" s="70" t="n">
        <x:v>46241.90282027778</x:v>
      </x:c>
      <x:c r="D2409" s="50" t="str">
        <x:v>SWING_SETUP</x:v>
      </x:c>
      <x:c r="E2409" s="50" t="str">
        <x:v>UEC SWING SETUP</x:v>
      </x:c>
      <x:c r="F2409" s="50" t="str">
        <x:v>WATCH</x:v>
      </x:c>
      <x:c r="G2409" s="50"/>
      <x:c r="H2409" s="50" t="str">
        <x:v>LONG</x:v>
      </x:c>
      <x:c r="I2409" s="71" t="n">
        <x:v>11.2707</x:v>
      </x:c>
      <x:c r="J2409" s="76" t="str">
        <x:v>SIP</x:v>
      </x:c>
    </x:row>
    <x:row r="2410">
      <x:c r="A2410" s="50" t="str">
        <x:v>019fde2c-260f-736e-ac86-ab985f95491e</x:v>
      </x:c>
      <x:c r="B2410" s="50" t="str">
        <x:v>NUE</x:v>
      </x:c>
      <x:c r="C2410" s="70" t="n">
        <x:v>46241.90350832176</x:v>
      </x:c>
      <x:c r="D2410" s="50" t="str">
        <x:v>SWING_SETUP</x:v>
      </x:c>
      <x:c r="E2410" s="50" t="str">
        <x:v>NUE SWING SETUP</x:v>
      </x:c>
      <x:c r="F2410" s="50" t="str">
        <x:v>WATCH</x:v>
      </x:c>
      <x:c r="G2410" s="50"/>
      <x:c r="H2410" s="50" t="str">
        <x:v>LONG</x:v>
      </x:c>
      <x:c r="I2410" s="71" t="n">
        <x:v>272.57</x:v>
      </x:c>
      <x:c r="J2410" s="76" t="str">
        <x:v>SIP</x:v>
      </x:c>
    </x:row>
    <x:row r="2411">
      <x:c r="A2411" s="50" t="str">
        <x:v>019fde2c-274c-7f2a-9222-d7c193b849e2</x:v>
      </x:c>
      <x:c r="B2411" s="50" t="str">
        <x:v>BLK</x:v>
      </x:c>
      <x:c r="C2411" s="70" t="n">
        <x:v>46241.90351199074</x:v>
      </x:c>
      <x:c r="D2411" s="50" t="str">
        <x:v>SWING_SETUP</x:v>
      </x:c>
      <x:c r="E2411" s="50" t="str">
        <x:v>BLK SWING SETUP</x:v>
      </x:c>
      <x:c r="F2411" s="50" t="str">
        <x:v>WATCH</x:v>
      </x:c>
      <x:c r="G2411" s="50"/>
      <x:c r="H2411" s="50" t="str">
        <x:v>LONG</x:v>
      </x:c>
      <x:c r="I2411" s="71" t="n">
        <x:v>1136.4</x:v>
      </x:c>
      <x:c r="J2411" s="76" t="str">
        <x:v>SIP</x:v>
      </x:c>
    </x:row>
    <x:row r="2412">
      <x:c r="A2412" s="50" t="str">
        <x:v>019fde2c-2794-7214-831c-be10272e5065</x:v>
      </x:c>
      <x:c r="B2412" s="50" t="str">
        <x:v>VZ</x:v>
      </x:c>
      <x:c r="C2412" s="70" t="n">
        <x:v>46241.90351282407</x:v>
      </x:c>
      <x:c r="D2412" s="50" t="str">
        <x:v>LONG_BUY_ZONE</x:v>
      </x:c>
      <x:c r="E2412" s="50" t="str">
        <x:v>VZ LONG BUY ZONE</x:v>
      </x:c>
      <x:c r="F2412" s="50" t="str">
        <x:v>WATCH</x:v>
      </x:c>
      <x:c r="G2412" s="50"/>
      <x:c r="H2412" s="50" t="str">
        <x:v>LONG</x:v>
      </x:c>
      <x:c r="I2412" s="71" t="n">
        <x:v>47.01</x:v>
      </x:c>
      <x:c r="J2412" s="76" t="str">
        <x:v>SIP</x:v>
      </x:c>
    </x:row>
    <x:row r="2413">
      <x:c r="A2413" s="50" t="str">
        <x:v>019fde2c-27d1-7d8c-ada7-7db5fcd38827</x:v>
      </x:c>
      <x:c r="B2413" s="50" t="str">
        <x:v>BABA</x:v>
      </x:c>
      <x:c r="C2413" s="70" t="n">
        <x:v>46241.903513530095</x:v>
      </x:c>
      <x:c r="D2413" s="50" t="str">
        <x:v>SWING_SETUP</x:v>
      </x:c>
      <x:c r="E2413" s="50" t="str">
        <x:v>BABA SWING SETUP</x:v>
      </x:c>
      <x:c r="F2413" s="50" t="str">
        <x:v>WATCH</x:v>
      </x:c>
      <x:c r="G2413" s="50"/>
      <x:c r="H2413" s="50" t="str">
        <x:v>LONG</x:v>
      </x:c>
      <x:c r="I2413" s="71" t="n">
        <x:v>128.3</x:v>
      </x:c>
      <x:c r="J2413" s="76" t="str">
        <x:v>SIP</x:v>
      </x:c>
    </x:row>
    <x:row r="2414">
      <x:c r="A2414" s="50" t="str">
        <x:v>019fde2c-27fe-7b2c-a96a-f699f09fb087</x:v>
      </x:c>
      <x:c r="B2414" s="50" t="str">
        <x:v>SNOW</x:v>
      </x:c>
      <x:c r="C2414" s="70" t="n">
        <x:v>46241.90351405093</x:v>
      </x:c>
      <x:c r="D2414" s="50" t="str">
        <x:v>SWING_SETUP</x:v>
      </x:c>
      <x:c r="E2414" s="50" t="str">
        <x:v>SNOW SWING SETUP</x:v>
      </x:c>
      <x:c r="F2414" s="50" t="str">
        <x:v>WATCH</x:v>
      </x:c>
      <x:c r="G2414" s="50"/>
      <x:c r="H2414" s="50" t="str">
        <x:v>LONG</x:v>
      </x:c>
      <x:c r="I2414" s="71" t="n">
        <x:v>330.1</x:v>
      </x:c>
      <x:c r="J2414" s="76" t="str">
        <x:v>SIP</x:v>
      </x:c>
    </x:row>
    <x:row r="2415">
      <x:c r="A2415" s="50" t="str">
        <x:v>019fde2c-2840-7539-af78-2ff4842ef0e9</x:v>
      </x:c>
      <x:c r="B2415" s="50" t="str">
        <x:v>TGT</x:v>
      </x:c>
      <x:c r="C2415" s="70" t="n">
        <x:v>46241.90351481482</x:v>
      </x:c>
      <x:c r="D2415" s="50" t="str">
        <x:v>SWING_SETUP</x:v>
      </x:c>
      <x:c r="E2415" s="50" t="str">
        <x:v>TGT SWING SETUP</x:v>
      </x:c>
      <x:c r="F2415" s="50" t="str">
        <x:v>WATCH</x:v>
      </x:c>
      <x:c r="G2415" s="50"/>
      <x:c r="H2415" s="50" t="str">
        <x:v>LONG</x:v>
      </x:c>
      <x:c r="I2415" s="71" t="n">
        <x:v>149.6</x:v>
      </x:c>
      <x:c r="J2415" s="76" t="str">
        <x:v>SIP</x:v>
      </x:c>
    </x:row>
    <x:row r="2416">
      <x:c r="A2416" s="50" t="str">
        <x:v>019fde2d-0f5c-72ad-8a5a-a788eb1adc77</x:v>
      </x:c>
      <x:c r="B2416" s="50" t="str">
        <x:v>RTX</x:v>
      </x:c>
      <x:c r="C2416" s="70" t="n">
        <x:v>46241.90419958333</x:v>
      </x:c>
      <x:c r="D2416" s="50" t="str">
        <x:v>SWING_SETUP</x:v>
      </x:c>
      <x:c r="E2416" s="50" t="str">
        <x:v>RTX SWING SETUP</x:v>
      </x:c>
      <x:c r="F2416" s="50" t="str">
        <x:v>WATCH</x:v>
      </x:c>
      <x:c r="G2416" s="50"/>
      <x:c r="H2416" s="50" t="str">
        <x:v>LONG</x:v>
      </x:c>
      <x:c r="I2416" s="71" t="n">
        <x:v>223.65</x:v>
      </x:c>
      <x:c r="J2416" s="76" t="str">
        <x:v>SIP</x:v>
      </x:c>
    </x:row>
    <x:row r="2417">
      <x:c r="A2417" s="50" t="str">
        <x:v>019fde2d-0f8e-7ab7-822d-cd0c7be84a83</x:v>
      </x:c>
      <x:c r="B2417" s="50" t="str">
        <x:v>BKNG</x:v>
      </x:c>
      <x:c r="C2417" s="70" t="n">
        <x:v>46241.90420016204</x:v>
      </x:c>
      <x:c r="D2417" s="50" t="str">
        <x:v>SWING_SETUP</x:v>
      </x:c>
      <x:c r="E2417" s="50" t="str">
        <x:v>BKNG SWING SETUP</x:v>
      </x:c>
      <x:c r="F2417" s="50" t="str">
        <x:v>WATCH</x:v>
      </x:c>
      <x:c r="G2417" s="50"/>
      <x:c r="H2417" s="50" t="str">
        <x:v>LONG</x:v>
      </x:c>
      <x:c r="I2417" s="71" t="n">
        <x:v>213</x:v>
      </x:c>
      <x:c r="J2417" s="76" t="str">
        <x:v>SIP</x:v>
      </x:c>
    </x:row>
    <x:row r="2418">
      <x:c r="A2418" s="50" t="str">
        <x:v>019fde2d-1049-7f75-aacc-86a538a90c60</x:v>
      </x:c>
      <x:c r="B2418" s="50" t="str">
        <x:v>SHW</x:v>
      </x:c>
      <x:c r="C2418" s="70" t="n">
        <x:v>46241.90420232639</x:v>
      </x:c>
      <x:c r="D2418" s="50" t="str">
        <x:v>SWING_SETUP</x:v>
      </x:c>
      <x:c r="E2418" s="50" t="str">
        <x:v>SHW SWING SETUP</x:v>
      </x:c>
      <x:c r="F2418" s="50" t="str">
        <x:v>WATCH</x:v>
      </x:c>
      <x:c r="G2418" s="50"/>
      <x:c r="H2418" s="50" t="str">
        <x:v>LONG</x:v>
      </x:c>
      <x:c r="I2418" s="71" t="n">
        <x:v>369.73</x:v>
      </x:c>
      <x:c r="J2418" s="76" t="str">
        <x:v>SIP</x:v>
      </x:c>
    </x:row>
    <x:row r="2419">
      <x:c r="A2419" s="50" t="str">
        <x:v>019fde2d-10cc-76f7-9bba-5643db3f2d17</x:v>
      </x:c>
      <x:c r="B2419" s="50" t="str">
        <x:v>DE</x:v>
      </x:c>
      <x:c r="C2419" s="70" t="n">
        <x:v>46241.90420384259</x:v>
      </x:c>
      <x:c r="D2419" s="50" t="str">
        <x:v>SWING_SETUP</x:v>
      </x:c>
      <x:c r="E2419" s="50" t="str">
        <x:v>DE SWING SETUP</x:v>
      </x:c>
      <x:c r="F2419" s="50" t="str">
        <x:v>WATCH</x:v>
      </x:c>
      <x:c r="G2419" s="50"/>
      <x:c r="H2419" s="50" t="str">
        <x:v>LONG</x:v>
      </x:c>
      <x:c r="I2419" s="71" t="n">
        <x:v>620.83</x:v>
      </x:c>
      <x:c r="J2419" s="76" t="str">
        <x:v>SIP</x:v>
      </x:c>
    </x:row>
    <x:row r="2420">
      <x:c r="A2420" s="50" t="str">
        <x:v>019fde2d-1109-7543-875a-4b05db284c32</x:v>
      </x:c>
      <x:c r="B2420" s="50" t="str">
        <x:v>PM</x:v>
      </x:c>
      <x:c r="C2420" s="70" t="n">
        <x:v>46241.90420454861</x:v>
      </x:c>
      <x:c r="D2420" s="50" t="str">
        <x:v>SWING_SETUP</x:v>
      </x:c>
      <x:c r="E2420" s="50" t="str">
        <x:v>PM SWING SETUP</x:v>
      </x:c>
      <x:c r="F2420" s="50" t="str">
        <x:v>WATCH</x:v>
      </x:c>
      <x:c r="G2420" s="50"/>
      <x:c r="H2420" s="50" t="str">
        <x:v>LONG</x:v>
      </x:c>
      <x:c r="I2420" s="71" t="n">
        <x:v>189.47</x:v>
      </x:c>
      <x:c r="J2420" s="76" t="str">
        <x:v>SIP</x:v>
      </x:c>
    </x:row>
    <x:row r="2421">
      <x:c r="A2421" s="50" t="str">
        <x:v>019fde2d-11c4-76a7-b9ef-75cc5b08c2db</x:v>
      </x:c>
      <x:c r="B2421" s="50" t="str">
        <x:v>WFC</x:v>
      </x:c>
      <x:c r="C2421" s="70" t="n">
        <x:v>46241.90420671296</x:v>
      </x:c>
      <x:c r="D2421" s="50" t="str">
        <x:v>SWING_SETUP</x:v>
      </x:c>
      <x:c r="E2421" s="50" t="str">
        <x:v>WFC SWING SETUP</x:v>
      </x:c>
      <x:c r="F2421" s="50" t="str">
        <x:v>WATCH</x:v>
      </x:c>
      <x:c r="G2421" s="50"/>
      <x:c r="H2421" s="50" t="str">
        <x:v>LONG</x:v>
      </x:c>
      <x:c r="I2421" s="71" t="n">
        <x:v>87.235</x:v>
      </x:c>
      <x:c r="J2421" s="76" t="str">
        <x:v>SIP</x:v>
      </x:c>
    </x:row>
    <x:row r="2422">
      <x:c r="A2422" s="50" t="str">
        <x:v>019fde2d-fab4-76d8-b8c2-96c5f53f3b92</x:v>
      </x:c>
      <x:c r="B2422" s="50" t="str">
        <x:v>AMGN</x:v>
      </x:c>
      <x:c r="C2422" s="70" t="n">
        <x:v>46241.90489689815</x:v>
      </x:c>
      <x:c r="D2422" s="50" t="str">
        <x:v>SWING_SETUP</x:v>
      </x:c>
      <x:c r="E2422" s="50" t="str">
        <x:v>AMGN SWING SETUP</x:v>
      </x:c>
      <x:c r="F2422" s="50" t="str">
        <x:v>WATCH</x:v>
      </x:c>
      <x:c r="G2422" s="50"/>
      <x:c r="H2422" s="50" t="str">
        <x:v>LONG</x:v>
      </x:c>
      <x:c r="I2422" s="71" t="n">
        <x:v>410.35</x:v>
      </x:c>
      <x:c r="J2422" s="76" t="str">
        <x:v>SIP</x:v>
      </x:c>
    </x:row>
    <x:row r="2423">
      <x:c r="A2423" s="50" t="str">
        <x:v>019fde2d-fb00-735d-b785-c572f15e4de4</x:v>
      </x:c>
      <x:c r="B2423" s="50" t="str">
        <x:v>BLFS</x:v>
      </x:c>
      <x:c r="C2423" s="70" t="n">
        <x:v>46241.90489777778</x:v>
      </x:c>
      <x:c r="D2423" s="50" t="str">
        <x:v>SWING_SETUP</x:v>
      </x:c>
      <x:c r="E2423" s="50" t="str">
        <x:v>BLFS SWING SETUP</x:v>
      </x:c>
      <x:c r="F2423" s="50" t="str">
        <x:v>WATCH</x:v>
      </x:c>
      <x:c r="G2423" s="50"/>
      <x:c r="H2423" s="50" t="str">
        <x:v>LONG</x:v>
      </x:c>
      <x:c r="I2423" s="71" t="n">
        <x:v>34.645</x:v>
      </x:c>
      <x:c r="J2423" s="76" t="str">
        <x:v>SIP</x:v>
      </x:c>
    </x:row>
    <x:row r="2424">
      <x:c r="A2424" s="50" t="str">
        <x:v>019fde2d-fb37-737d-b8f6-e86084e0d506</x:v>
      </x:c>
      <x:c r="B2424" s="50" t="str">
        <x:v>TMO</x:v>
      </x:c>
      <x:c r="C2424" s="70" t="n">
        <x:v>46241.90489841435</x:v>
      </x:c>
      <x:c r="D2424" s="50" t="str">
        <x:v>SWING_SETUP</x:v>
      </x:c>
      <x:c r="E2424" s="50" t="str">
        <x:v>TMO SWING SETUP</x:v>
      </x:c>
      <x:c r="F2424" s="50" t="str">
        <x:v>WATCH</x:v>
      </x:c>
      <x:c r="G2424" s="50"/>
      <x:c r="H2424" s="50" t="str">
        <x:v>LONG</x:v>
      </x:c>
      <x:c r="I2424" s="71" t="n">
        <x:v>594</x:v>
      </x:c>
      <x:c r="J2424" s="76" t="str">
        <x:v>SIP</x:v>
      </x:c>
    </x:row>
    <x:row r="2425">
      <x:c r="A2425" s="50" t="str">
        <x:v>019fde2d-fc0e-76d4-88c7-60a1f6a35181</x:v>
      </x:c>
      <x:c r="B2425" s="50" t="str">
        <x:v>RDW</x:v>
      </x:c>
      <x:c r="C2425" s="70" t="n">
        <x:v>46241.90490090278</x:v>
      </x:c>
      <x:c r="D2425" s="50" t="str">
        <x:v>SWING_SETUP</x:v>
      </x:c>
      <x:c r="E2425" s="50" t="str">
        <x:v>RDW SWING SETUP</x:v>
      </x:c>
      <x:c r="F2425" s="50" t="str">
        <x:v>WATCH</x:v>
      </x:c>
      <x:c r="G2425" s="50"/>
      <x:c r="H2425" s="50" t="str">
        <x:v>LONG</x:v>
      </x:c>
      <x:c r="I2425" s="71" t="n">
        <x:v>13.5698</x:v>
      </x:c>
      <x:c r="J2425" s="76" t="str">
        <x:v>SIP</x:v>
      </x:c>
    </x:row>
    <x:row r="2426">
      <x:c r="A2426" s="50" t="str">
        <x:v>019fde2d-fc78-7a4e-8dc1-8f8c23bb5063</x:v>
      </x:c>
      <x:c r="B2426" s="50" t="str">
        <x:v>AMZN</x:v>
      </x:c>
      <x:c r="C2426" s="70" t="n">
        <x:v>46241.90490212963</x:v>
      </x:c>
      <x:c r="D2426" s="50" t="str">
        <x:v>SWING_SETUP</x:v>
      </x:c>
      <x:c r="E2426" s="50" t="str">
        <x:v>AMZN SWING SETUP</x:v>
      </x:c>
      <x:c r="F2426" s="50" t="str">
        <x:v>WATCH</x:v>
      </x:c>
      <x:c r="G2426" s="50"/>
      <x:c r="H2426" s="50" t="str">
        <x:v>LONG</x:v>
      </x:c>
      <x:c r="I2426" s="71" t="n">
        <x:v>274.33</x:v>
      </x:c>
      <x:c r="J2426" s="76" t="str">
        <x:v>SIP</x:v>
      </x:c>
    </x:row>
    <x:row r="2427">
      <x:c r="A2427" s="50" t="str">
        <x:v>019fde2d-fcef-7b77-a163-8aeaed57d114</x:v>
      </x:c>
      <x:c r="B2427" s="50" t="str">
        <x:v>MRK</x:v>
      </x:c>
      <x:c r="C2427" s="70" t="n">
        <x:v>46241.90490350695</x:v>
      </x:c>
      <x:c r="D2427" s="50" t="str">
        <x:v>SWING_SETUP</x:v>
      </x:c>
      <x:c r="E2427" s="50" t="str">
        <x:v>MRK SWING SETUP</x:v>
      </x:c>
      <x:c r="F2427" s="50" t="str">
        <x:v>WATCH</x:v>
      </x:c>
      <x:c r="G2427" s="50"/>
      <x:c r="H2427" s="50" t="str">
        <x:v>LONG</x:v>
      </x:c>
      <x:c r="I2427" s="71" t="n">
        <x:v>128.57</x:v>
      </x:c>
      <x:c r="J2427" s="76" t="str">
        <x:v>SIP</x:v>
      </x:c>
    </x:row>
    <x:row r="2428">
      <x:c r="A2428" s="50" t="str">
        <x:v>019fde2e-e61e-7982-9f47-f955f47c4057</x:v>
      </x:c>
      <x:c r="B2428" s="50" t="str">
        <x:v>NXE</x:v>
      </x:c>
      <x:c r="C2428" s="70" t="n">
        <x:v>46241.905594421296</x:v>
      </x:c>
      <x:c r="D2428" s="50" t="str">
        <x:v>SWING_SETUP</x:v>
      </x:c>
      <x:c r="E2428" s="50" t="str">
        <x:v>NXE SWING SETUP</x:v>
      </x:c>
      <x:c r="F2428" s="50" t="str">
        <x:v>WATCH</x:v>
      </x:c>
      <x:c r="G2428" s="50"/>
      <x:c r="H2428" s="50" t="str">
        <x:v>LONG</x:v>
      </x:c>
      <x:c r="I2428" s="71" t="n">
        <x:v>10.43</x:v>
      </x:c>
      <x:c r="J2428" s="76" t="str">
        <x:v>SIP</x:v>
      </x:c>
    </x:row>
    <x:row r="2429">
      <x:c r="A2429" s="50" t="str">
        <x:v>019fde2e-e648-7a39-8951-9406e3d304a0</x:v>
      </x:c>
      <x:c r="B2429" s="50" t="str">
        <x:v>ABBV</x:v>
      </x:c>
      <x:c r="C2429" s="70" t="n">
        <x:v>46241.90559490741</x:v>
      </x:c>
      <x:c r="D2429" s="50" t="str">
        <x:v>LONG_BUY_ZONE</x:v>
      </x:c>
      <x:c r="E2429" s="50" t="str">
        <x:v>ABBV LONG BUY ZONE</x:v>
      </x:c>
      <x:c r="F2429" s="50" t="str">
        <x:v>WATCH</x:v>
      </x:c>
      <x:c r="G2429" s="50"/>
      <x:c r="H2429" s="50" t="str">
        <x:v>LONG</x:v>
      </x:c>
      <x:c r="I2429" s="71" t="n">
        <x:v>245.5201</x:v>
      </x:c>
      <x:c r="J2429" s="76" t="str">
        <x:v>SIP</x:v>
      </x:c>
    </x:row>
    <x:row r="2430">
      <x:c r="A2430" s="50" t="str">
        <x:v>019fde2e-e806-7afc-9735-fb972b5170be</x:v>
      </x:c>
      <x:c r="B2430" s="50" t="str">
        <x:v>CROX</x:v>
      </x:c>
      <x:c r="C2430" s="70" t="n">
        <x:v>46241.90560006945</x:v>
      </x:c>
      <x:c r="D2430" s="50" t="str">
        <x:v>SWING_SETUP</x:v>
      </x:c>
      <x:c r="E2430" s="50" t="str">
        <x:v>CROX SWING SETUP</x:v>
      </x:c>
      <x:c r="F2430" s="50" t="str">
        <x:v>WATCH</x:v>
      </x:c>
      <x:c r="G2430" s="50"/>
      <x:c r="H2430" s="50" t="str">
        <x:v>LONG</x:v>
      </x:c>
      <x:c r="I2430" s="71" t="n">
        <x:v>136.56</x:v>
      </x:c>
      <x:c r="J2430" s="76" t="str">
        <x:v>SIP</x:v>
      </x:c>
    </x:row>
    <x:row r="2431">
      <x:c r="A2431" s="50" t="str">
        <x:v>019fde2f-d2bd-7652-bd44-8e3654c8b402</x:v>
      </x:c>
      <x:c r="B2431" s="50" t="str">
        <x:v>PLTR</x:v>
      </x:c>
      <x:c r="C2431" s="70" t="n">
        <x:v>46241.906295520836</x:v>
      </x:c>
      <x:c r="D2431" s="50" t="str">
        <x:v>SWING_SETUP</x:v>
      </x:c>
      <x:c r="E2431" s="50" t="str">
        <x:v>PLTR SWING SETUP</x:v>
      </x:c>
      <x:c r="F2431" s="50" t="str">
        <x:v>WATCH</x:v>
      </x:c>
      <x:c r="G2431" s="50"/>
      <x:c r="H2431" s="50" t="str">
        <x:v>LONG</x:v>
      </x:c>
      <x:c r="I2431" s="71" t="n">
        <x:v>171.4</x:v>
      </x:c>
      <x:c r="J2431" s="76" t="str">
        <x:v>SIP</x:v>
      </x:c>
    </x:row>
    <x:row r="2432">
      <x:c r="A2432" s="50" t="str">
        <x:v>019fde31-a60c-7c66-a9c0-cc1da2ae18ef</x:v>
      </x:c>
      <x:c r="B2432" s="50" t="str">
        <x:v>VZ</x:v>
      </x:c>
      <x:c r="C2432" s="70" t="n">
        <x:v>46241.90768013889</x:v>
      </x:c>
      <x:c r="D2432" s="50" t="str">
        <x:v>SWING_SETUP</x:v>
      </x:c>
      <x:c r="E2432" s="50" t="str">
        <x:v>VZ SWING SETUP</x:v>
      </x:c>
      <x:c r="F2432" s="50" t="str">
        <x:v>WATCH</x:v>
      </x:c>
      <x:c r="G2432" s="50"/>
      <x:c r="H2432" s="50" t="str">
        <x:v>LONG</x:v>
      </x:c>
      <x:c r="I2432" s="71" t="n">
        <x:v>47.01</x:v>
      </x:c>
      <x:c r="J2432" s="76" t="str">
        <x:v>SIP</x:v>
      </x:c>
    </x:row>
    <x:row r="2433">
      <x:c r="A2433" s="50" t="str">
        <x:v>019fde32-8da3-7798-9110-142a925e9ee4</x:v>
      </x:c>
      <x:c r="B2433" s="50" t="str">
        <x:v>OXY</x:v>
      </x:c>
      <x:c r="C2433" s="70" t="n">
        <x:v>46241.908366331016</x:v>
      </x:c>
      <x:c r="D2433" s="50" t="str">
        <x:v>LONG_BUY_ZONE</x:v>
      </x:c>
      <x:c r="E2433" s="50" t="str">
        <x:v>OXY LONG BUY ZONE</x:v>
      </x:c>
      <x:c r="F2433" s="50" t="str">
        <x:v>WATCH</x:v>
      </x:c>
      <x:c r="G2433" s="50"/>
      <x:c r="H2433" s="50" t="str">
        <x:v>LONG</x:v>
      </x:c>
      <x:c r="I2433" s="71" t="n">
        <x:v>55.93</x:v>
      </x:c>
      <x:c r="J2433" s="76" t="str">
        <x:v>SIP</x:v>
      </x:c>
    </x:row>
    <x:row r="2434">
      <x:c r="A2434" s="50" t="str">
        <x:v>019fde32-9129-7ac4-86fc-4911bc8c71d1</x:v>
      </x:c>
      <x:c r="B2434" s="50" t="str">
        <x:v>NOC</x:v>
      </x:c>
      <x:c r="C2434" s="70" t="n">
        <x:v>46241.908376770836</x:v>
      </x:c>
      <x:c r="D2434" s="50" t="str">
        <x:v>SWING_SETUP</x:v>
      </x:c>
      <x:c r="E2434" s="50" t="str">
        <x:v>NOC SWING SETUP</x:v>
      </x:c>
      <x:c r="F2434" s="50" t="str">
        <x:v>WATCH</x:v>
      </x:c>
      <x:c r="G2434" s="50"/>
      <x:c r="H2434" s="50" t="str">
        <x:v>LONG</x:v>
      </x:c>
      <x:c r="I2434" s="71" t="n">
        <x:v>571.58</x:v>
      </x:c>
      <x:c r="J2434" s="76" t="str">
        <x:v>SIP</x:v>
      </x:c>
    </x:row>
    <x:row r="2435">
      <x:c r="A2435" s="50" t="str">
        <x:v>019fde33-7897-7714-98c0-e703d15e3273</x:v>
      </x:c>
      <x:c r="B2435" s="50" t="str">
        <x:v>SBUX</x:v>
      </x:c>
      <x:c r="C2435" s="70" t="n">
        <x:v>46241.90906248843</x:v>
      </x:c>
      <x:c r="D2435" s="50" t="str">
        <x:v>SWING_SETUP</x:v>
      </x:c>
      <x:c r="E2435" s="50" t="str">
        <x:v>SBUX SWING SETUP</x:v>
      </x:c>
      <x:c r="F2435" s="50" t="str">
        <x:v>WATCH</x:v>
      </x:c>
      <x:c r="G2435" s="50"/>
      <x:c r="H2435" s="50" t="str">
        <x:v>LONG</x:v>
      </x:c>
      <x:c r="I2435" s="71" t="n">
        <x:v>105.58</x:v>
      </x:c>
      <x:c r="J2435" s="76" t="str">
        <x:v>SIP</x:v>
      </x:c>
    </x:row>
    <x:row r="2436">
      <x:c r="A2436" s="50" t="str">
        <x:v>019fde33-7b6e-72d4-a210-70fcebf0066b</x:v>
      </x:c>
      <x:c r="B2436" s="50" t="str">
        <x:v>APA</x:v>
      </x:c>
      <x:c r="C2436" s="70" t="n">
        <x:v>46241.90907090278</x:v>
      </x:c>
      <x:c r="D2436" s="50" t="str">
        <x:v>SWING_SETUP</x:v>
      </x:c>
      <x:c r="E2436" s="50" t="str">
        <x:v>APA SWING SETUP</x:v>
      </x:c>
      <x:c r="F2436" s="50" t="str">
        <x:v>WATCH</x:v>
      </x:c>
      <x:c r="G2436" s="50"/>
      <x:c r="H2436" s="50" t="str">
        <x:v>LONG</x:v>
      </x:c>
      <x:c r="I2436" s="71" t="n">
        <x:v>37.648</x:v>
      </x:c>
      <x:c r="J2436" s="76" t="str">
        <x:v>SIP</x:v>
      </x:c>
    </x:row>
    <x:row r="2437">
      <x:c r="A2437" s="50" t="str">
        <x:v>019fde33-7bd3-7e1c-9092-80cbc8c03712</x:v>
      </x:c>
      <x:c r="B2437" s="50" t="str">
        <x:v>INTU</x:v>
      </x:c>
      <x:c r="C2437" s="70" t="n">
        <x:v>46241.90907207176</x:v>
      </x:c>
      <x:c r="D2437" s="50" t="str">
        <x:v>SWING_SETUP</x:v>
      </x:c>
      <x:c r="E2437" s="50" t="str">
        <x:v>INTU SWING SETUP</x:v>
      </x:c>
      <x:c r="F2437" s="50" t="str">
        <x:v>WATCH</x:v>
      </x:c>
      <x:c r="G2437" s="50"/>
      <x:c r="H2437" s="50" t="str">
        <x:v>LONG</x:v>
      </x:c>
      <x:c r="I2437" s="71" t="n">
        <x:v>325.25</x:v>
      </x:c>
      <x:c r="J2437" s="76" t="str">
        <x:v>SIP</x:v>
      </x:c>
    </x:row>
    <x:row r="2438">
      <x:c r="A2438" s="50" t="str">
        <x:v>019fde34-6513-7b31-904e-c1035ad45bac</x:v>
      </x:c>
      <x:c r="B2438" s="50" t="str">
        <x:v>PFE</x:v>
      </x:c>
      <x:c r="C2438" s="70" t="n">
        <x:v>46241.90976318287</x:v>
      </x:c>
      <x:c r="D2438" s="50" t="str">
        <x:v>SWING_SETUP</x:v>
      </x:c>
      <x:c r="E2438" s="50" t="str">
        <x:v>PFE SWING SETUP</x:v>
      </x:c>
      <x:c r="F2438" s="50" t="str">
        <x:v>WATCH</x:v>
      </x:c>
      <x:c r="G2438" s="50"/>
      <x:c r="H2438" s="50" t="str">
        <x:v>LONG</x:v>
      </x:c>
      <x:c r="I2438" s="71" t="n">
        <x:v>26.5901</x:v>
      </x:c>
      <x:c r="J2438" s="76" t="str">
        <x:v>SIP</x:v>
      </x:c>
    </x:row>
    <x:row r="2439">
      <x:c r="A2439" s="50" t="str">
        <x:v>019fde34-66ed-75e3-88e4-90be9eaac4bf</x:v>
      </x:c>
      <x:c r="B2439" s="50" t="str">
        <x:v>GS</x:v>
      </x:c>
      <x:c r="C2439" s="70" t="n">
        <x:v>46241.90976866898</x:v>
      </x:c>
      <x:c r="D2439" s="50" t="str">
        <x:v>LONG_BUY_ZONE</x:v>
      </x:c>
      <x:c r="E2439" s="50" t="str">
        <x:v>GS LONG BUY ZONE</x:v>
      </x:c>
      <x:c r="F2439" s="50" t="str">
        <x:v>WATCH</x:v>
      </x:c>
      <x:c r="G2439" s="50"/>
      <x:c r="H2439" s="50" t="str">
        <x:v>LONG</x:v>
      </x:c>
      <x:c r="I2439" s="71" t="n">
        <x:v>1039.61</x:v>
      </x:c>
      <x:c r="J2439" s="76" t="str">
        <x:v>SIP</x:v>
      </x:c>
    </x:row>
    <x:row r="2440">
      <x:c r="A2440" s="50" t="str">
        <x:v>019fde34-677f-75c3-8036-21af09061ec6</x:v>
      </x:c>
      <x:c r="B2440" s="50" t="str">
        <x:v>PM</x:v>
      </x:c>
      <x:c r="C2440" s="70" t="n">
        <x:v>46241.9097703588</x:v>
      </x:c>
      <x:c r="D2440" s="50" t="str">
        <x:v>LONG_BUY_ZONE</x:v>
      </x:c>
      <x:c r="E2440" s="50" t="str">
        <x:v>PM LONG BUY ZONE</x:v>
      </x:c>
      <x:c r="F2440" s="50" t="str">
        <x:v>WATCH</x:v>
      </x:c>
      <x:c r="G2440" s="50"/>
      <x:c r="H2440" s="50" t="str">
        <x:v>LONG</x:v>
      </x:c>
      <x:c r="I2440" s="71" t="n">
        <x:v>189.57</x:v>
      </x:c>
      <x:c r="J2440" s="76" t="str">
        <x:v>SIP</x:v>
      </x:c>
    </x:row>
    <x:row r="2441">
      <x:c r="A2441" s="50" t="str">
        <x:v>019fde34-681b-703e-8ce9-91588778b34f</x:v>
      </x:c>
      <x:c r="B2441" s="50" t="str">
        <x:v>GRAB</x:v>
      </x:c>
      <x:c r="C2441" s="70" t="n">
        <x:v>46241.90977216435</x:v>
      </x:c>
      <x:c r="D2441" s="50" t="str">
        <x:v>SWING_SETUP</x:v>
      </x:c>
      <x:c r="E2441" s="50" t="str">
        <x:v>GRAB SWING SETUP</x:v>
      </x:c>
      <x:c r="F2441" s="50" t="str">
        <x:v>WATCH</x:v>
      </x:c>
      <x:c r="G2441" s="50"/>
      <x:c r="H2441" s="50" t="str">
        <x:v>LONG</x:v>
      </x:c>
      <x:c r="I2441" s="71" t="n">
        <x:v>3.6597</x:v>
      </x:c>
      <x:c r="J2441" s="76" t="str">
        <x:v>SIP</x:v>
      </x:c>
    </x:row>
    <x:row r="2442">
      <x:c r="A2442" s="50" t="str">
        <x:v>019fde34-689e-7c61-a2c4-8691e1c5a09a</x:v>
      </x:c>
      <x:c r="B2442" s="50" t="str">
        <x:v>ANET</x:v>
      </x:c>
      <x:c r="C2442" s="70" t="n">
        <x:v>46241.909773680556</x:v>
      </x:c>
      <x:c r="D2442" s="50" t="str">
        <x:v>SWING_SETUP</x:v>
      </x:c>
      <x:c r="E2442" s="50" t="str">
        <x:v>ANET SWING SETUP</x:v>
      </x:c>
      <x:c r="F2442" s="50" t="str">
        <x:v>WATCH</x:v>
      </x:c>
      <x:c r="G2442" s="50"/>
      <x:c r="H2442" s="50" t="str">
        <x:v>LONG</x:v>
      </x:c>
      <x:c r="I2442" s="71" t="n">
        <x:v>189.1</x:v>
      </x:c>
      <x:c r="J2442" s="76" t="str">
        <x:v>SIP</x:v>
      </x:c>
    </x:row>
    <x:row r="2443">
      <x:c r="A2443" s="50" t="str">
        <x:v>019fde34-68af-7be9-97ee-95cbe134c2b4</x:v>
      </x:c>
      <x:c r="B2443" s="50" t="str">
        <x:v>APH</x:v>
      </x:c>
      <x:c r="C2443" s="70" t="n">
        <x:v>46241.90977387731</x:v>
      </x:c>
      <x:c r="D2443" s="50" t="str">
        <x:v>SWING_SETUP</x:v>
      </x:c>
      <x:c r="E2443" s="50" t="str">
        <x:v>APH SWING SETUP</x:v>
      </x:c>
      <x:c r="F2443" s="50" t="str">
        <x:v>WATCH</x:v>
      </x:c>
      <x:c r="G2443" s="50"/>
      <x:c r="H2443" s="50" t="str">
        <x:v>LONG</x:v>
      </x:c>
      <x:c r="I2443" s="71" t="n">
        <x:v>169.17</x:v>
      </x:c>
      <x:c r="J2443" s="76" t="str">
        <x:v>SIP</x:v>
      </x:c>
    </x:row>
    <x:row r="2444">
      <x:c r="A2444" s="50" t="str">
        <x:v>019fde34-691c-7618-b837-3495c34ea162</x:v>
      </x:c>
      <x:c r="B2444" s="50" t="str">
        <x:v>UNP</x:v>
      </x:c>
      <x:c r="C2444" s="70" t="n">
        <x:v>46241.90977513889</x:v>
      </x:c>
      <x:c r="D2444" s="50" t="str">
        <x:v>SWING_SETUP</x:v>
      </x:c>
      <x:c r="E2444" s="50" t="str">
        <x:v>UNP SWING SETUP</x:v>
      </x:c>
      <x:c r="F2444" s="50" t="str">
        <x:v>WATCH</x:v>
      </x:c>
      <x:c r="G2444" s="50"/>
      <x:c r="H2444" s="50" t="str">
        <x:v>LONG</x:v>
      </x:c>
      <x:c r="I2444" s="71" t="n">
        <x:v>293.13</x:v>
      </x:c>
      <x:c r="J2444" s="76" t="str">
        <x:v>SIP</x:v>
      </x:c>
    </x:row>
    <x:row r="2445">
      <x:c r="A2445" s="50" t="str">
        <x:v>019fde34-693a-72a6-bf03-6b8222302152</x:v>
      </x:c>
      <x:c r="B2445" s="50" t="str">
        <x:v>COP</x:v>
      </x:c>
      <x:c r="C2445" s="70" t="n">
        <x:v>46241.909775486114</x:v>
      </x:c>
      <x:c r="D2445" s="50" t="str">
        <x:v>SWING_SETUP</x:v>
      </x:c>
      <x:c r="E2445" s="50" t="str">
        <x:v>COP SWING SETUP</x:v>
      </x:c>
      <x:c r="F2445" s="50" t="str">
        <x:v>WATCH</x:v>
      </x:c>
      <x:c r="G2445" s="50"/>
      <x:c r="H2445" s="50" t="str">
        <x:v>LONG</x:v>
      </x:c>
      <x:c r="I2445" s="71" t="n">
        <x:v>117.6</x:v>
      </x:c>
      <x:c r="J2445" s="76" t="str">
        <x:v>SIP</x:v>
      </x:c>
    </x:row>
    <x:row r="2446">
      <x:c r="A2446" s="50" t="str">
        <x:v>019fde35-4fe4-7a05-b779-8b3688c12551</x:v>
      </x:c>
      <x:c r="B2446" s="50" t="str">
        <x:v>PYPL</x:v>
      </x:c>
      <x:c r="C2446" s="70" t="n">
        <x:v>46241.910458935185</x:v>
      </x:c>
      <x:c r="D2446" s="50" t="str">
        <x:v>SWING_SETUP</x:v>
      </x:c>
      <x:c r="E2446" s="50" t="str">
        <x:v>PYPL SWING SETUP</x:v>
      </x:c>
      <x:c r="F2446" s="50" t="str">
        <x:v>WATCH</x:v>
      </x:c>
      <x:c r="G2446" s="50"/>
      <x:c r="H2446" s="50" t="str">
        <x:v>LONG</x:v>
      </x:c>
      <x:c r="I2446" s="71" t="n">
        <x:v>59.095</x:v>
      </x:c>
      <x:c r="J2446" s="76" t="str">
        <x:v>SIP</x:v>
      </x:c>
    </x:row>
    <x:row r="2447">
      <x:c r="A2447" s="50" t="str">
        <x:v>019fde35-5079-7e9c-ae7d-0de6662ba29a</x:v>
      </x:c>
      <x:c r="B2447" s="50" t="str">
        <x:v>BMY</x:v>
      </x:c>
      <x:c r="C2447" s="70" t="n">
        <x:v>46241.91046064815</x:v>
      </x:c>
      <x:c r="D2447" s="50" t="str">
        <x:v>SWING_SETUP</x:v>
      </x:c>
      <x:c r="E2447" s="50" t="str">
        <x:v>BMY SWING SETUP</x:v>
      </x:c>
      <x:c r="F2447" s="50" t="str">
        <x:v>WATCH</x:v>
      </x:c>
      <x:c r="G2447" s="50"/>
      <x:c r="H2447" s="50" t="str">
        <x:v>LONG</x:v>
      </x:c>
      <x:c r="I2447" s="71" t="n">
        <x:v>64.69</x:v>
      </x:c>
      <x:c r="J2447" s="76" t="str">
        <x:v>SIP</x:v>
      </x:c>
    </x:row>
    <x:row r="2448">
      <x:c r="A2448" s="50" t="str">
        <x:v>019fde35-5173-7894-9c2f-a300a16113aa</x:v>
      </x:c>
      <x:c r="B2448" s="50" t="str">
        <x:v>ETHA</x:v>
      </x:c>
      <x:c r="C2448" s="70" t="n">
        <x:v>46241.91046355324</x:v>
      </x:c>
      <x:c r="D2448" s="50" t="str">
        <x:v>SWING_SETUP</x:v>
      </x:c>
      <x:c r="E2448" s="50" t="str">
        <x:v>ETHA SWING SETUP</x:v>
      </x:c>
      <x:c r="F2448" s="50" t="str">
        <x:v>WATCH</x:v>
      </x:c>
      <x:c r="G2448" s="50"/>
      <x:c r="H2448" s="50" t="str">
        <x:v>LONG</x:v>
      </x:c>
      <x:c r="I2448" s="71" t="n">
        <x:v>14.4627</x:v>
      </x:c>
      <x:c r="J2448" s="76" t="str">
        <x:v>SIP</x:v>
      </x:c>
    </x:row>
    <x:row r="2449">
      <x:c r="A2449" s="50" t="str">
        <x:v>019fde36-3777-74a9-82fa-00a3fddd59b8</x:v>
      </x:c>
      <x:c r="B2449" s="50" t="str">
        <x:v>WELL</x:v>
      </x:c>
      <x:c r="C2449" s="70" t="n">
        <x:v>46241.911145081016</x:v>
      </x:c>
      <x:c r="D2449" s="50" t="str">
        <x:v>SWING_SETUP</x:v>
      </x:c>
      <x:c r="E2449" s="50" t="str">
        <x:v>WELL SWING SETUP</x:v>
      </x:c>
      <x:c r="F2449" s="50" t="str">
        <x:v>WATCH</x:v>
      </x:c>
      <x:c r="G2449" s="50"/>
      <x:c r="H2449" s="50" t="str">
        <x:v>LONG</x:v>
      </x:c>
      <x:c r="I2449" s="71" t="n">
        <x:v>236.92</x:v>
      </x:c>
      <x:c r="J2449" s="76" t="str">
        <x:v>SIP</x:v>
      </x:c>
    </x:row>
    <x:row r="2450">
      <x:c r="A2450" s="50" t="str">
        <x:v>019fde36-37c9-7c56-85ce-c1c056e797ff</x:v>
      </x:c>
      <x:c r="B2450" s="50" t="str">
        <x:v>ETN</x:v>
      </x:c>
      <x:c r="C2450" s="70" t="n">
        <x:v>46241.911146018516</x:v>
      </x:c>
      <x:c r="D2450" s="50" t="str">
        <x:v>SWING_SETUP</x:v>
      </x:c>
      <x:c r="E2450" s="50" t="str">
        <x:v>ETN SWING SETUP</x:v>
      </x:c>
      <x:c r="F2450" s="50" t="str">
        <x:v>WATCH</x:v>
      </x:c>
      <x:c r="G2450" s="50"/>
      <x:c r="H2450" s="50" t="str">
        <x:v>LONG</x:v>
      </x:c>
      <x:c r="I2450" s="71" t="n">
        <x:v>448.67</x:v>
      </x:c>
      <x:c r="J2450" s="76" t="str">
        <x:v>SIP</x:v>
      </x:c>
    </x:row>
    <x:row r="2451">
      <x:c r="A2451" s="50" t="str">
        <x:v>019fde36-38b8-72bb-8a22-5090c9d01802</x:v>
      </x:c>
      <x:c r="B2451" s="50" t="str">
        <x:v>OXY</x:v>
      </x:c>
      <x:c r="C2451" s="70" t="n">
        <x:v>46241.911148796295</x:v>
      </x:c>
      <x:c r="D2451" s="50" t="str">
        <x:v>SWING_SETUP</x:v>
      </x:c>
      <x:c r="E2451" s="50" t="str">
        <x:v>OXY SWING SETUP</x:v>
      </x:c>
      <x:c r="F2451" s="50" t="str">
        <x:v>WATCH</x:v>
      </x:c>
      <x:c r="G2451" s="50"/>
      <x:c r="H2451" s="50" t="str">
        <x:v>LONG</x:v>
      </x:c>
      <x:c r="I2451" s="71" t="n">
        <x:v>56.03</x:v>
      </x:c>
      <x:c r="J2451" s="76" t="str">
        <x:v>SIP</x:v>
      </x:c>
    </x:row>
    <x:row r="2452">
      <x:c r="A2452" s="50" t="str">
        <x:v>019fde36-3aab-7fef-8d86-c16f93a57c0d</x:v>
      </x:c>
      <x:c r="B2452" s="50" t="str">
        <x:v>CEG</x:v>
      </x:c>
      <x:c r="C2452" s="70" t="n">
        <x:v>46241.91115457176</x:v>
      </x:c>
      <x:c r="D2452" s="50" t="str">
        <x:v>SWING_SETUP</x:v>
      </x:c>
      <x:c r="E2452" s="50" t="str">
        <x:v>CEG SWING SETUP</x:v>
      </x:c>
      <x:c r="F2452" s="50" t="str">
        <x:v>WATCH</x:v>
      </x:c>
      <x:c r="G2452" s="50"/>
      <x:c r="H2452" s="50" t="str">
        <x:v>LONG</x:v>
      </x:c>
      <x:c r="I2452" s="71" t="n">
        <x:v>269.9</x:v>
      </x:c>
      <x:c r="J2452" s="76" t="str">
        <x:v>SIP</x:v>
      </x:c>
    </x:row>
    <x:row r="2453">
      <x:c r="A2453" s="50" t="str">
        <x:v>019fde37-21be-7dae-9aca-f35357069a06</x:v>
      </x:c>
      <x:c r="B2453" s="50" t="str">
        <x:v>TMDX</x:v>
      </x:c>
      <x:c r="C2453" s="70" t="n">
        <x:v>46241.91183922454</x:v>
      </x:c>
      <x:c r="D2453" s="50" t="str">
        <x:v>SWING_SETUP</x:v>
      </x:c>
      <x:c r="E2453" s="50" t="str">
        <x:v>TMDX SWING SETUP</x:v>
      </x:c>
      <x:c r="F2453" s="50" t="str">
        <x:v>WATCH</x:v>
      </x:c>
      <x:c r="G2453" s="50"/>
      <x:c r="H2453" s="50" t="str">
        <x:v>LONG</x:v>
      </x:c>
      <x:c r="I2453" s="71" t="n">
        <x:v>83.5</x:v>
      </x:c>
      <x:c r="J2453" s="76" t="str">
        <x:v>SIP</x:v>
      </x:c>
    </x:row>
    <x:row r="2454">
      <x:c r="A2454" s="50" t="str">
        <x:v>019fde37-22bc-7789-a051-49b42cf1d201</x:v>
      </x:c>
      <x:c r="B2454" s="50" t="str">
        <x:v>LMT</x:v>
      </x:c>
      <x:c r="C2454" s="70" t="n">
        <x:v>46241.91184216435</x:v>
      </x:c>
      <x:c r="D2454" s="50" t="str">
        <x:v>SWING_SETUP</x:v>
      </x:c>
      <x:c r="E2454" s="50" t="str">
        <x:v>LMT SWING SETUP</x:v>
      </x:c>
      <x:c r="F2454" s="50" t="str">
        <x:v>WATCH</x:v>
      </x:c>
      <x:c r="G2454" s="50"/>
      <x:c r="H2454" s="50" t="str">
        <x:v>LONG</x:v>
      </x:c>
      <x:c r="I2454" s="71" t="n">
        <x:v>587.92</x:v>
      </x:c>
      <x:c r="J2454" s="76" t="str">
        <x:v>SIP</x:v>
      </x:c>
    </x:row>
    <x:row r="2455">
      <x:c r="A2455" s="50" t="str">
        <x:v>019fde37-241c-7ea7-972f-5dc4bb78926e</x:v>
      </x:c>
      <x:c r="B2455" s="50" t="str">
        <x:v>MDLZ</x:v>
      </x:c>
      <x:c r="C2455" s="70" t="n">
        <x:v>46241.91184625</x:v>
      </x:c>
      <x:c r="D2455" s="50" t="str">
        <x:v>SWING_SETUP</x:v>
      </x:c>
      <x:c r="E2455" s="50" t="str">
        <x:v>MDLZ SWING SETUP</x:v>
      </x:c>
      <x:c r="F2455" s="50" t="str">
        <x:v>WATCH</x:v>
      </x:c>
      <x:c r="G2455" s="50"/>
      <x:c r="H2455" s="50" t="str">
        <x:v>LONG</x:v>
      </x:c>
      <x:c r="I2455" s="71" t="n">
        <x:v>62.61</x:v>
      </x:c>
      <x:c r="J2455" s="76" t="str">
        <x:v>SIP</x:v>
      </x:c>
    </x:row>
    <x:row r="2456">
      <x:c r="A2456" s="50" t="str">
        <x:v>019fde37-2549-70e7-b085-6294175d4a25</x:v>
      </x:c>
      <x:c r="B2456" s="50" t="str">
        <x:v>JD</x:v>
      </x:c>
      <x:c r="C2456" s="70" t="n">
        <x:v>46241.9118497338</x:v>
      </x:c>
      <x:c r="D2456" s="50" t="str">
        <x:v>SWING_SETUP</x:v>
      </x:c>
      <x:c r="E2456" s="50" t="str">
        <x:v>JD SWING SETUP</x:v>
      </x:c>
      <x:c r="F2456" s="50" t="str">
        <x:v>WATCH</x:v>
      </x:c>
      <x:c r="G2456" s="50"/>
      <x:c r="H2456" s="50" t="str">
        <x:v>LONG</x:v>
      </x:c>
      <x:c r="I2456" s="71" t="n">
        <x:v>33</x:v>
      </x:c>
      <x:c r="J2456" s="76" t="str">
        <x:v>SIP</x:v>
      </x:c>
    </x:row>
    <x:row r="2457">
      <x:c r="A2457" s="50" t="str">
        <x:v>019fde37-2568-7e3d-ab8b-71a4e93a9b2a</x:v>
      </x:c>
      <x:c r="B2457" s="50" t="str">
        <x:v>JPM</x:v>
      </x:c>
      <x:c r="C2457" s="70" t="n">
        <x:v>46241.91185009259</x:v>
      </x:c>
      <x:c r="D2457" s="50" t="str">
        <x:v>SWING_SETUP</x:v>
      </x:c>
      <x:c r="E2457" s="50" t="str">
        <x:v>JPM SWING SETUP</x:v>
      </x:c>
      <x:c r="F2457" s="50" t="str">
        <x:v>WATCH</x:v>
      </x:c>
      <x:c r="G2457" s="50"/>
      <x:c r="H2457" s="50" t="str">
        <x:v>LONG</x:v>
      </x:c>
      <x:c r="I2457" s="71" t="n">
        <x:v>357.4511</x:v>
      </x:c>
      <x:c r="J2457" s="76" t="str">
        <x:v>SIP</x:v>
      </x:c>
    </x:row>
    <x:row r="2458">
      <x:c r="A2458" s="50" t="str">
        <x:v>019fde38-0cb1-7f15-8428-4cd53f12b975</x:v>
      </x:c>
      <x:c r="B2458" s="50" t="str">
        <x:v>ACHV</x:v>
      </x:c>
      <x:c r="C2458" s="70" t="n">
        <x:v>46241.91253538195</x:v>
      </x:c>
      <x:c r="D2458" s="50" t="str">
        <x:v>SWING_SETUP</x:v>
      </x:c>
      <x:c r="E2458" s="50" t="str">
        <x:v>ACHV SWING SETUP</x:v>
      </x:c>
      <x:c r="F2458" s="50" t="str">
        <x:v>WATCH</x:v>
      </x:c>
      <x:c r="G2458" s="50"/>
      <x:c r="H2458" s="50" t="str">
        <x:v>LONG</x:v>
      </x:c>
      <x:c r="I2458" s="71" t="n">
        <x:v>6.65</x:v>
      </x:c>
      <x:c r="J2458" s="76" t="str">
        <x:v>SIP</x:v>
      </x:c>
    </x:row>
    <x:row r="2459">
      <x:c r="A2459" s="50" t="str">
        <x:v>019fde38-0daf-7660-8a0f-08567c6272ff</x:v>
      </x:c>
      <x:c r="B2459" s="50" t="str">
        <x:v>RCL</x:v>
      </x:c>
      <x:c r="C2459" s="70" t="n">
        <x:v>46241.91253832176</x:v>
      </x:c>
      <x:c r="D2459" s="50" t="str">
        <x:v>SWING_SETUP</x:v>
      </x:c>
      <x:c r="E2459" s="50" t="str">
        <x:v>RCL SWING SETUP</x:v>
      </x:c>
      <x:c r="F2459" s="50" t="str">
        <x:v>WATCH</x:v>
      </x:c>
      <x:c r="G2459" s="50"/>
      <x:c r="H2459" s="50" t="str">
        <x:v>LONG</x:v>
      </x:c>
      <x:c r="I2459" s="71" t="n">
        <x:v>320</x:v>
      </x:c>
      <x:c r="J2459" s="76" t="str">
        <x:v>SIP</x:v>
      </x:c>
    </x:row>
    <x:row r="2460">
      <x:c r="A2460" s="50" t="str">
        <x:v>019fde38-0ec3-7cf3-a532-98f759ca99ac</x:v>
      </x:c>
      <x:c r="B2460" s="50" t="str">
        <x:v>ECL</x:v>
      </x:c>
      <x:c r="C2460" s="70" t="n">
        <x:v>46241.912541516205</x:v>
      </x:c>
      <x:c r="D2460" s="50" t="str">
        <x:v>SWING_SETUP</x:v>
      </x:c>
      <x:c r="E2460" s="50" t="str">
        <x:v>ECL SWING SETUP</x:v>
      </x:c>
      <x:c r="F2460" s="50" t="str">
        <x:v>WATCH</x:v>
      </x:c>
      <x:c r="G2460" s="50"/>
      <x:c r="H2460" s="50" t="str">
        <x:v>LONG</x:v>
      </x:c>
      <x:c r="I2460" s="71" t="n">
        <x:v>285.17</x:v>
      </x:c>
      <x:c r="J2460" s="76" t="str">
        <x:v>SIP</x:v>
      </x:c>
    </x:row>
    <x:row r="2461">
      <x:c r="A2461" s="50" t="str">
        <x:v>019fde38-0efc-737d-bb1f-e99a2184b26c</x:v>
      </x:c>
      <x:c r="B2461" s="50" t="str">
        <x:v>BAC</x:v>
      </x:c>
      <x:c r="C2461" s="70" t="n">
        <x:v>46241.91254217592</x:v>
      </x:c>
      <x:c r="D2461" s="50" t="str">
        <x:v>SWING_SETUP</x:v>
      </x:c>
      <x:c r="E2461" s="50" t="str">
        <x:v>BAC SWING SETUP</x:v>
      </x:c>
      <x:c r="F2461" s="50" t="str">
        <x:v>WATCH</x:v>
      </x:c>
      <x:c r="G2461" s="50"/>
      <x:c r="H2461" s="50" t="str">
        <x:v>LONG</x:v>
      </x:c>
      <x:c r="I2461" s="71" t="n">
        <x:v>63.17</x:v>
      </x:c>
      <x:c r="J2461" s="76" t="str">
        <x:v>SIP</x:v>
      </x:c>
    </x:row>
    <x:row r="2462">
      <x:c r="A2462" s="50" t="str">
        <x:v>019fde38-0f1b-746d-8f1c-090bec0dca99</x:v>
      </x:c>
      <x:c r="B2462" s="50" t="str">
        <x:v>SCHW</x:v>
      </x:c>
      <x:c r="C2462" s="70" t="n">
        <x:v>46241.91254253472</x:v>
      </x:c>
      <x:c r="D2462" s="50" t="str">
        <x:v>SWING_SETUP</x:v>
      </x:c>
      <x:c r="E2462" s="50" t="str">
        <x:v>SCHW SWING SETUP</x:v>
      </x:c>
      <x:c r="F2462" s="50" t="str">
        <x:v>WATCH</x:v>
      </x:c>
      <x:c r="G2462" s="50"/>
      <x:c r="H2462" s="50" t="str">
        <x:v>LONG</x:v>
      </x:c>
      <x:c r="I2462" s="71" t="n">
        <x:v>107.6</x:v>
      </x:c>
      <x:c r="J2462" s="76" t="str">
        <x:v>SIP</x:v>
      </x:c>
    </x:row>
    <x:row r="2463">
      <x:c r="A2463" s="50" t="str">
        <x:v>019fde38-0fd0-783b-9419-c497d2b2c577</x:v>
      </x:c>
      <x:c r="B2463" s="50" t="str">
        <x:v>KO</x:v>
      </x:c>
      <x:c r="C2463" s="70" t="n">
        <x:v>46241.91254462963</x:v>
      </x:c>
      <x:c r="D2463" s="50" t="str">
        <x:v>SWING_SETUP</x:v>
      </x:c>
      <x:c r="E2463" s="50" t="str">
        <x:v>KO SWING SETUP</x:v>
      </x:c>
      <x:c r="F2463" s="50" t="str">
        <x:v>WATCH</x:v>
      </x:c>
      <x:c r="G2463" s="50"/>
      <x:c r="H2463" s="50" t="str">
        <x:v>LONG</x:v>
      </x:c>
      <x:c r="I2463" s="71" t="n">
        <x:v>86.9514</x:v>
      </x:c>
      <x:c r="J2463" s="76" t="str">
        <x:v>SIP</x:v>
      </x:c>
    </x:row>
    <x:row r="2464">
      <x:c r="A2464" s="50" t="str">
        <x:v>019fde38-1047-798e-906d-b0ddd8449b38</x:v>
      </x:c>
      <x:c r="B2464" s="50" t="str">
        <x:v>PSX</x:v>
      </x:c>
      <x:c r="C2464" s="70" t="n">
        <x:v>46241.91254600694</x:v>
      </x:c>
      <x:c r="D2464" s="50" t="str">
        <x:v>SWING_SETUP</x:v>
      </x:c>
      <x:c r="E2464" s="50" t="str">
        <x:v>PSX SWING SETUP</x:v>
      </x:c>
      <x:c r="F2464" s="50" t="str">
        <x:v>WATCH</x:v>
      </x:c>
      <x:c r="G2464" s="50"/>
      <x:c r="H2464" s="50" t="str">
        <x:v>LONG</x:v>
      </x:c>
      <x:c r="I2464" s="71" t="n">
        <x:v>203.89</x:v>
      </x:c>
      <x:c r="J2464" s="76" t="str">
        <x:v>SIP</x:v>
      </x:c>
    </x:row>
    <x:row r="2465">
      <x:c r="A2465" s="50" t="str">
        <x:v>019fde38-f78d-725a-86f7-1933bc4abec1</x:v>
      </x:c>
      <x:c r="B2465" s="50" t="str">
        <x:v>ABT</x:v>
      </x:c>
      <x:c r="C2465" s="70" t="n">
        <x:v>46241.91323126158</x:v>
      </x:c>
      <x:c r="D2465" s="50" t="str">
        <x:v>SWING_SETUP</x:v>
      </x:c>
      <x:c r="E2465" s="50" t="str">
        <x:v>ABT SWING SETUP</x:v>
      </x:c>
      <x:c r="F2465" s="50" t="str">
        <x:v>WATCH</x:v>
      </x:c>
      <x:c r="G2465" s="50"/>
      <x:c r="H2465" s="50" t="str">
        <x:v>LONG</x:v>
      </x:c>
      <x:c r="I2465" s="71" t="n">
        <x:v>107.81</x:v>
      </x:c>
      <x:c r="J2465" s="76" t="str">
        <x:v>SIP</x:v>
      </x:c>
    </x:row>
    <x:row r="2466">
      <x:c r="A2466" s="50" t="str">
        <x:v>019fde39-e347-7070-918e-3449c888f57b</x:v>
      </x:c>
      <x:c r="B2466" s="50" t="str">
        <x:v>ABNB</x:v>
      </x:c>
      <x:c r="C2466" s="70" t="n">
        <x:v>46241.913929699076</x:v>
      </x:c>
      <x:c r="D2466" s="50" t="str">
        <x:v>SWING_SETUP</x:v>
      </x:c>
      <x:c r="E2466" s="50" t="str">
        <x:v>ABNB SWING SETUP</x:v>
      </x:c>
      <x:c r="F2466" s="50" t="str">
        <x:v>WATCH</x:v>
      </x:c>
      <x:c r="G2466" s="50"/>
      <x:c r="H2466" s="50" t="str">
        <x:v>LONG</x:v>
      </x:c>
      <x:c r="I2466" s="71" t="n">
        <x:v>177.3336</x:v>
      </x:c>
      <x:c r="J2466" s="76" t="str">
        <x:v>SIP</x:v>
      </x:c>
    </x:row>
    <x:row r="2467">
      <x:c r="A2467" s="50" t="str">
        <x:v>019fde39-e422-794a-bec0-8f936ab787f6</x:v>
      </x:c>
      <x:c r="B2467" s="50" t="str">
        <x:v>MMM</x:v>
      </x:c>
      <x:c r="C2467" s="70" t="n">
        <x:v>46241.91393224537</x:v>
      </x:c>
      <x:c r="D2467" s="50" t="str">
        <x:v>SWING_SETUP</x:v>
      </x:c>
      <x:c r="E2467" s="50" t="str">
        <x:v>MMM SWING SETUP</x:v>
      </x:c>
      <x:c r="F2467" s="50" t="str">
        <x:v>WATCH</x:v>
      </x:c>
      <x:c r="G2467" s="50"/>
      <x:c r="H2467" s="50" t="str">
        <x:v>LONG</x:v>
      </x:c>
      <x:c r="I2467" s="71" t="n">
        <x:v>182.89</x:v>
      </x:c>
      <x:c r="J2467" s="76" t="str">
        <x:v>SIP</x:v>
      </x:c>
    </x:row>
    <x:row r="2468">
      <x:c r="A2468" s="50" t="str">
        <x:v>019fde3a-cbf8-7ad4-9946-ebeb1a51fbd7</x:v>
      </x:c>
      <x:c r="B2468" s="50" t="str">
        <x:v>VZ</x:v>
      </x:c>
      <x:c r="C2468" s="70" t="n">
        <x:v>46241.91461915509</x:v>
      </x:c>
      <x:c r="D2468" s="50" t="str">
        <x:v>LONG_BUY_ZONE</x:v>
      </x:c>
      <x:c r="E2468" s="50" t="str">
        <x:v>VZ LONG BUY ZONE</x:v>
      </x:c>
      <x:c r="F2468" s="50" t="str">
        <x:v>WATCH</x:v>
      </x:c>
      <x:c r="G2468" s="50"/>
      <x:c r="H2468" s="50" t="str">
        <x:v>LONG</x:v>
      </x:c>
      <x:c r="I2468" s="71" t="n">
        <x:v>47.0247</x:v>
      </x:c>
      <x:c r="J2468" s="76" t="str">
        <x:v>SIP</x:v>
      </x:c>
    </x:row>
    <x:row r="2469">
      <x:c r="A2469" s="50" t="str">
        <x:v>019fde3a-ccc4-73f8-80a8-8f096419c4f8</x:v>
      </x:c>
      <x:c r="B2469" s="50" t="str">
        <x:v>BKNG</x:v>
      </x:c>
      <x:c r="C2469" s="70" t="n">
        <x:v>46241.91462152778</x:v>
      </x:c>
      <x:c r="D2469" s="50" t="str">
        <x:v>SWING_SETUP</x:v>
      </x:c>
      <x:c r="E2469" s="50" t="str">
        <x:v>BKNG SWING SETUP</x:v>
      </x:c>
      <x:c r="F2469" s="50" t="str">
        <x:v>WATCH</x:v>
      </x:c>
      <x:c r="G2469" s="50"/>
      <x:c r="H2469" s="50" t="str">
        <x:v>LONG</x:v>
      </x:c>
      <x:c r="I2469" s="71" t="n">
        <x:v>213</x:v>
      </x:c>
      <x:c r="J2469" s="76" t="str">
        <x:v>SIP</x:v>
      </x:c>
    </x:row>
    <x:row r="2470">
      <x:c r="A2470" s="50" t="str">
        <x:v>019fde3a-cd5a-7e0e-8419-d9408db435be</x:v>
      </x:c>
      <x:c r="B2470" s="50" t="str">
        <x:v>SE</x:v>
      </x:c>
      <x:c r="C2470" s="70" t="n">
        <x:v>46241.91462325231</x:v>
      </x:c>
      <x:c r="D2470" s="50" t="str">
        <x:v>SWING_SETUP</x:v>
      </x:c>
      <x:c r="E2470" s="50" t="str">
        <x:v>SE SWING SETUP</x:v>
      </x:c>
      <x:c r="F2470" s="50" t="str">
        <x:v>WATCH</x:v>
      </x:c>
      <x:c r="G2470" s="50"/>
      <x:c r="H2470" s="50" t="str">
        <x:v>LONG</x:v>
      </x:c>
      <x:c r="I2470" s="71" t="n">
        <x:v>113.43</x:v>
      </x:c>
      <x:c r="J2470" s="76" t="str">
        <x:v>SIP</x:v>
      </x:c>
    </x:row>
    <x:row r="2471">
      <x:c r="A2471" s="50" t="str">
        <x:v>019fde3a-cd7e-7153-afe8-28cb6b6c1c93</x:v>
      </x:c>
      <x:c r="B2471" s="50" t="str">
        <x:v>DLR</x:v>
      </x:c>
      <x:c r="C2471" s="70" t="n">
        <x:v>46241.91462368055</x:v>
      </x:c>
      <x:c r="D2471" s="50" t="str">
        <x:v>SWING_SETUP</x:v>
      </x:c>
      <x:c r="E2471" s="50" t="str">
        <x:v>DLR SWING SETUP</x:v>
      </x:c>
      <x:c r="F2471" s="50" t="str">
        <x:v>WATCH</x:v>
      </x:c>
      <x:c r="G2471" s="50"/>
      <x:c r="H2471" s="50" t="str">
        <x:v>LONG</x:v>
      </x:c>
      <x:c r="I2471" s="71" t="n">
        <x:v>193.8</x:v>
      </x:c>
      <x:c r="J2471" s="76" t="str">
        <x:v>SIP</x:v>
      </x:c>
    </x:row>
    <x:row r="2472">
      <x:c r="A2472" s="50" t="str">
        <x:v>019fde3a-cdb2-7ee8-82e0-df52d6152edb</x:v>
      </x:c>
      <x:c r="B2472" s="50" t="str">
        <x:v>NUE</x:v>
      </x:c>
      <x:c r="C2472" s="70" t="n">
        <x:v>46241.914624282406</x:v>
      </x:c>
      <x:c r="D2472" s="50" t="str">
        <x:v>SWING_SETUP</x:v>
      </x:c>
      <x:c r="E2472" s="50" t="str">
        <x:v>NUE SWING SETUP</x:v>
      </x:c>
      <x:c r="F2472" s="50" t="str">
        <x:v>WATCH</x:v>
      </x:c>
      <x:c r="G2472" s="50"/>
      <x:c r="H2472" s="50" t="str">
        <x:v>LONG</x:v>
      </x:c>
      <x:c r="I2472" s="71" t="n">
        <x:v>272.57</x:v>
      </x:c>
      <x:c r="J2472" s="76" t="str">
        <x:v>SIP</x:v>
      </x:c>
    </x:row>
    <x:row r="2473">
      <x:c r="A2473" s="50" t="str">
        <x:v>019fde3a-cde6-702d-a312-b4c31efc28b5</x:v>
      </x:c>
      <x:c r="B2473" s="50" t="str">
        <x:v>NEM</x:v>
      </x:c>
      <x:c r="C2473" s="70" t="n">
        <x:v>46241.91462488426</x:v>
      </x:c>
      <x:c r="D2473" s="50" t="str">
        <x:v>SWING_SETUP</x:v>
      </x:c>
      <x:c r="E2473" s="50" t="str">
        <x:v>NEM SWING SETUP</x:v>
      </x:c>
      <x:c r="F2473" s="50" t="str">
        <x:v>WATCH</x:v>
      </x:c>
      <x:c r="G2473" s="50"/>
      <x:c r="H2473" s="50" t="str">
        <x:v>LONG</x:v>
      </x:c>
      <x:c r="I2473" s="71" t="n">
        <x:v>112.85</x:v>
      </x:c>
      <x:c r="J2473" s="76" t="str">
        <x:v>SIP</x:v>
      </x:c>
    </x:row>
    <x:row r="2474">
      <x:c r="A2474" s="50" t="str">
        <x:v>019fde3a-ce3c-7242-9cd2-5b22183a4c9d</x:v>
      </x:c>
      <x:c r="B2474" s="50" t="str">
        <x:v>DE</x:v>
      </x:c>
      <x:c r="C2474" s="70" t="n">
        <x:v>46241.91462587963</x:v>
      </x:c>
      <x:c r="D2474" s="50" t="str">
        <x:v>SWING_SETUP</x:v>
      </x:c>
      <x:c r="E2474" s="50" t="str">
        <x:v>DE SWING SETUP</x:v>
      </x:c>
      <x:c r="F2474" s="50" t="str">
        <x:v>WATCH</x:v>
      </x:c>
      <x:c r="G2474" s="50"/>
      <x:c r="H2474" s="50" t="str">
        <x:v>LONG</x:v>
      </x:c>
      <x:c r="I2474" s="71" t="n">
        <x:v>620.83</x:v>
      </x:c>
      <x:c r="J2474" s="76" t="str">
        <x:v>SIP</x:v>
      </x:c>
    </x:row>
    <x:row r="2475">
      <x:c r="A2475" s="50" t="str">
        <x:v>019fde3a-ced5-7d73-bcb4-bdfdb5ef8a43</x:v>
      </x:c>
      <x:c r="B2475" s="50" t="str">
        <x:v>BLK</x:v>
      </x:c>
      <x:c r="C2475" s="70" t="n">
        <x:v>46241.91462765046</x:v>
      </x:c>
      <x:c r="D2475" s="50" t="str">
        <x:v>SWING_SETUP</x:v>
      </x:c>
      <x:c r="E2475" s="50" t="str">
        <x:v>BLK SWING SETUP</x:v>
      </x:c>
      <x:c r="F2475" s="50" t="str">
        <x:v>WATCH</x:v>
      </x:c>
      <x:c r="G2475" s="50"/>
      <x:c r="H2475" s="50" t="str">
        <x:v>LONG</x:v>
      </x:c>
      <x:c r="I2475" s="71" t="n">
        <x:v>1136.4</x:v>
      </x:c>
      <x:c r="J2475" s="76" t="str">
        <x:v>SIP</x:v>
      </x:c>
    </x:row>
    <x:row r="2476">
      <x:c r="A2476" s="50" t="str">
        <x:v>019fde3a-cf04-7b8c-b971-c44e129e56ea</x:v>
      </x:c>
      <x:c r="B2476" s="50" t="str">
        <x:v>RTX</x:v>
      </x:c>
      <x:c r="C2476" s="70" t="n">
        <x:v>46241.91462819444</x:v>
      </x:c>
      <x:c r="D2476" s="50" t="str">
        <x:v>SWING_SETUP</x:v>
      </x:c>
      <x:c r="E2476" s="50" t="str">
        <x:v>RTX SWING SETUP</x:v>
      </x:c>
      <x:c r="F2476" s="50" t="str">
        <x:v>WATCH</x:v>
      </x:c>
      <x:c r="G2476" s="50"/>
      <x:c r="H2476" s="50" t="str">
        <x:v>LONG</x:v>
      </x:c>
      <x:c r="I2476" s="71" t="n">
        <x:v>223.65</x:v>
      </x:c>
      <x:c r="J2476" s="76" t="str">
        <x:v>SIP</x:v>
      </x:c>
    </x:row>
    <x:row r="2477">
      <x:c r="A2477" s="50" t="str">
        <x:v>019fde3a-cf4c-760c-ada8-b48f499fbc2f</x:v>
      </x:c>
      <x:c r="B2477" s="50" t="str">
        <x:v>WFC</x:v>
      </x:c>
      <x:c r="C2477" s="70" t="n">
        <x:v>46241.9146290162</x:v>
      </x:c>
      <x:c r="D2477" s="50" t="str">
        <x:v>SWING_SETUP</x:v>
      </x:c>
      <x:c r="E2477" s="50" t="str">
        <x:v>WFC SWING SETUP</x:v>
      </x:c>
      <x:c r="F2477" s="50" t="str">
        <x:v>WATCH</x:v>
      </x:c>
      <x:c r="G2477" s="50"/>
      <x:c r="H2477" s="50" t="str">
        <x:v>LONG</x:v>
      </x:c>
      <x:c r="I2477" s="71" t="n">
        <x:v>87.235</x:v>
      </x:c>
      <x:c r="J2477" s="76" t="str">
        <x:v>SIP</x:v>
      </x:c>
    </x:row>
    <x:row r="2478">
      <x:c r="A2478" s="50" t="str">
        <x:v>019fde3a-cfbc-7404-bc5b-566801c8c21c</x:v>
      </x:c>
      <x:c r="B2478" s="50" t="str">
        <x:v>UEC</x:v>
      </x:c>
      <x:c r="C2478" s="70" t="n">
        <x:v>46241.9146303125</x:v>
      </x:c>
      <x:c r="D2478" s="50" t="str">
        <x:v>SWING_SETUP</x:v>
      </x:c>
      <x:c r="E2478" s="50" t="str">
        <x:v>UEC SWING SETUP</x:v>
      </x:c>
      <x:c r="F2478" s="50" t="str">
        <x:v>WATCH</x:v>
      </x:c>
      <x:c r="G2478" s="50"/>
      <x:c r="H2478" s="50" t="str">
        <x:v>LONG</x:v>
      </x:c>
      <x:c r="I2478" s="71" t="n">
        <x:v>11.2707</x:v>
      </x:c>
      <x:c r="J2478" s="76" t="str">
        <x:v>SIP</x:v>
      </x:c>
    </x:row>
    <x:row r="2479">
      <x:c r="A2479" s="50" t="str">
        <x:v>019fde3a-d053-7508-8e45-abe73481a44d</x:v>
      </x:c>
      <x:c r="B2479" s="50" t="str">
        <x:v>SNOW</x:v>
      </x:c>
      <x:c r="C2479" s="70" t="n">
        <x:v>46241.91463206019</x:v>
      </x:c>
      <x:c r="D2479" s="50" t="str">
        <x:v>SWING_SETUP</x:v>
      </x:c>
      <x:c r="E2479" s="50" t="str">
        <x:v>SNOW SWING SETUP</x:v>
      </x:c>
      <x:c r="F2479" s="50" t="str">
        <x:v>WATCH</x:v>
      </x:c>
      <x:c r="G2479" s="50"/>
      <x:c r="H2479" s="50" t="str">
        <x:v>LONG</x:v>
      </x:c>
      <x:c r="I2479" s="71" t="n">
        <x:v>330.1</x:v>
      </x:c>
      <x:c r="J2479" s="76" t="str">
        <x:v>SIP</x:v>
      </x:c>
    </x:row>
    <x:row r="2480">
      <x:c r="A2480" s="50" t="str">
        <x:v>019fde3b-b6da-7a74-8c05-22159eef6075</x:v>
      </x:c>
      <x:c r="B2480" s="50" t="str">
        <x:v>BLFS</x:v>
      </x:c>
      <x:c r="C2480" s="70" t="n">
        <x:v>46241.915315115744</x:v>
      </x:c>
      <x:c r="D2480" s="50" t="str">
        <x:v>SWING_SETUP</x:v>
      </x:c>
      <x:c r="E2480" s="50" t="str">
        <x:v>BLFS SWING SETUP</x:v>
      </x:c>
      <x:c r="F2480" s="50" t="str">
        <x:v>WATCH</x:v>
      </x:c>
      <x:c r="G2480" s="50"/>
      <x:c r="H2480" s="50" t="str">
        <x:v>LONG</x:v>
      </x:c>
      <x:c r="I2480" s="71" t="n">
        <x:v>34.645</x:v>
      </x:c>
      <x:c r="J2480" s="76" t="str">
        <x:v>SIP</x:v>
      </x:c>
    </x:row>
    <x:row r="2481">
      <x:c r="A2481" s="50" t="str">
        <x:v>019fde3b-b6ff-7078-a4a1-bdc0e29a30fe</x:v>
      </x:c>
      <x:c r="B2481" s="50" t="str">
        <x:v>BABA</x:v>
      </x:c>
      <x:c r="C2481" s="70" t="n">
        <x:v>46241.91531554398</x:v>
      </x:c>
      <x:c r="D2481" s="50" t="str">
        <x:v>SWING_SETUP</x:v>
      </x:c>
      <x:c r="E2481" s="50" t="str">
        <x:v>BABA SWING SETUP</x:v>
      </x:c>
      <x:c r="F2481" s="50" t="str">
        <x:v>WATCH</x:v>
      </x:c>
      <x:c r="G2481" s="50"/>
      <x:c r="H2481" s="50" t="str">
        <x:v>LONG</x:v>
      </x:c>
      <x:c r="I2481" s="71" t="n">
        <x:v>128.3</x:v>
      </x:c>
      <x:c r="J2481" s="76" t="str">
        <x:v>SIP</x:v>
      </x:c>
    </x:row>
    <x:row r="2482">
      <x:c r="A2482" s="50" t="str">
        <x:v>019fde3b-b776-753e-88ca-f791bc42d707</x:v>
      </x:c>
      <x:c r="B2482" s="50" t="str">
        <x:v>TGT</x:v>
      </x:c>
      <x:c r="C2482" s="70" t="n">
        <x:v>46241.915316921295</x:v>
      </x:c>
      <x:c r="D2482" s="50" t="str">
        <x:v>SWING_SETUP</x:v>
      </x:c>
      <x:c r="E2482" s="50" t="str">
        <x:v>TGT SWING SETUP</x:v>
      </x:c>
      <x:c r="F2482" s="50" t="str">
        <x:v>WATCH</x:v>
      </x:c>
      <x:c r="G2482" s="50"/>
      <x:c r="H2482" s="50" t="str">
        <x:v>LONG</x:v>
      </x:c>
      <x:c r="I2482" s="71" t="n">
        <x:v>149.6</x:v>
      </x:c>
      <x:c r="J2482" s="76" t="str">
        <x:v>SIP</x:v>
      </x:c>
    </x:row>
    <x:row r="2483">
      <x:c r="A2483" s="50" t="str">
        <x:v>019fde3b-b7ee-7ee2-b75c-0d96aa9b693f</x:v>
      </x:c>
      <x:c r="B2483" s="50" t="str">
        <x:v>RDW</x:v>
      </x:c>
      <x:c r="C2483" s="70" t="n">
        <x:v>46241.91531831019</x:v>
      </x:c>
      <x:c r="D2483" s="50" t="str">
        <x:v>SWING_SETUP</x:v>
      </x:c>
      <x:c r="E2483" s="50" t="str">
        <x:v>RDW SWING SETUP</x:v>
      </x:c>
      <x:c r="F2483" s="50" t="str">
        <x:v>WATCH</x:v>
      </x:c>
      <x:c r="G2483" s="50"/>
      <x:c r="H2483" s="50" t="str">
        <x:v>LONG</x:v>
      </x:c>
      <x:c r="I2483" s="71" t="n">
        <x:v>13.5</x:v>
      </x:c>
      <x:c r="J2483" s="76" t="str">
        <x:v>SIP</x:v>
      </x:c>
    </x:row>
    <x:row r="2484">
      <x:c r="A2484" s="50" t="str">
        <x:v>019fde3b-b861-74fc-897c-3577c598f718</x:v>
      </x:c>
      <x:c r="B2484" s="50" t="str">
        <x:v>SHW</x:v>
      </x:c>
      <x:c r="C2484" s="70" t="n">
        <x:v>46241.9153196412</x:v>
      </x:c>
      <x:c r="D2484" s="50" t="str">
        <x:v>SWING_SETUP</x:v>
      </x:c>
      <x:c r="E2484" s="50" t="str">
        <x:v>SHW SWING SETUP</x:v>
      </x:c>
      <x:c r="F2484" s="50" t="str">
        <x:v>WATCH</x:v>
      </x:c>
      <x:c r="G2484" s="50"/>
      <x:c r="H2484" s="50" t="str">
        <x:v>LONG</x:v>
      </x:c>
      <x:c r="I2484" s="71" t="n">
        <x:v>369.73</x:v>
      </x:c>
      <x:c r="J2484" s="76" t="str">
        <x:v>SIP</x:v>
      </x:c>
    </x:row>
    <x:row r="2485">
      <x:c r="A2485" s="50" t="str">
        <x:v>019fde3b-b882-70d2-91cd-51890275f961</x:v>
      </x:c>
      <x:c r="B2485" s="50" t="str">
        <x:v>AMZN</x:v>
      </x:c>
      <x:c r="C2485" s="70" t="n">
        <x:v>46241.915320023145</x:v>
      </x:c>
      <x:c r="D2485" s="50" t="str">
        <x:v>SWING_SETUP</x:v>
      </x:c>
      <x:c r="E2485" s="50" t="str">
        <x:v>AMZN SWING SETUP</x:v>
      </x:c>
      <x:c r="F2485" s="50" t="str">
        <x:v>WATCH</x:v>
      </x:c>
      <x:c r="G2485" s="50"/>
      <x:c r="H2485" s="50" t="str">
        <x:v>LONG</x:v>
      </x:c>
      <x:c r="I2485" s="71" t="n">
        <x:v>274.25</x:v>
      </x:c>
      <x:c r="J2485" s="76" t="str">
        <x:v>SIP</x:v>
      </x:c>
    </x:row>
    <x:row r="2486">
      <x:c r="A2486" s="50" t="str">
        <x:v>019fde3b-b8ce-7591-ad81-8f9307472a33</x:v>
      </x:c>
      <x:c r="B2486" s="50" t="str">
        <x:v>MRK</x:v>
      </x:c>
      <x:c r="C2486" s="70" t="n">
        <x:v>46241.91532090278</x:v>
      </x:c>
      <x:c r="D2486" s="50" t="str">
        <x:v>SWING_SETUP</x:v>
      </x:c>
      <x:c r="E2486" s="50" t="str">
        <x:v>MRK SWING SETUP</x:v>
      </x:c>
      <x:c r="F2486" s="50" t="str">
        <x:v>WATCH</x:v>
      </x:c>
      <x:c r="G2486" s="50"/>
      <x:c r="H2486" s="50" t="str">
        <x:v>LONG</x:v>
      </x:c>
      <x:c r="I2486" s="71" t="n">
        <x:v>128.57</x:v>
      </x:c>
      <x:c r="J2486" s="76" t="str">
        <x:v>SIP</x:v>
      </x:c>
    </x:row>
    <x:row r="2487">
      <x:c r="A2487" s="50" t="str">
        <x:v>019fde3b-b929-79cb-8dee-2a7be7c7252b</x:v>
      </x:c>
      <x:c r="B2487" s="50" t="str">
        <x:v>PM</x:v>
      </x:c>
      <x:c r="C2487" s="70" t="n">
        <x:v>46241.91532195602</x:v>
      </x:c>
      <x:c r="D2487" s="50" t="str">
        <x:v>SWING_SETUP</x:v>
      </x:c>
      <x:c r="E2487" s="50" t="str">
        <x:v>PM SWING SETUP</x:v>
      </x:c>
      <x:c r="F2487" s="50" t="str">
        <x:v>WATCH</x:v>
      </x:c>
      <x:c r="G2487" s="50"/>
      <x:c r="H2487" s="50" t="str">
        <x:v>LONG</x:v>
      </x:c>
      <x:c r="I2487" s="71" t="n">
        <x:v>189.57</x:v>
      </x:c>
      <x:c r="J2487" s="76" t="str">
        <x:v>SIP</x:v>
      </x:c>
    </x:row>
    <x:row r="2488">
      <x:c r="A2488" s="50" t="str">
        <x:v>019fde3d-8b0f-7065-85d3-379a98397b81</x:v>
      </x:c>
      <x:c r="B2488" s="50" t="str">
        <x:v>TMO</x:v>
      </x:c>
      <x:c r="C2488" s="70" t="n">
        <x:v>46241.916702395836</x:v>
      </x:c>
      <x:c r="D2488" s="50" t="str">
        <x:v>SWING_SETUP</x:v>
      </x:c>
      <x:c r="E2488" s="50" t="str">
        <x:v>TMO SWING SETUP</x:v>
      </x:c>
      <x:c r="F2488" s="50" t="str">
        <x:v>WATCH</x:v>
      </x:c>
      <x:c r="G2488" s="50"/>
      <x:c r="H2488" s="50" t="str">
        <x:v>LONG</x:v>
      </x:c>
      <x:c r="I2488" s="71" t="n">
        <x:v>594</x:v>
      </x:c>
      <x:c r="J2488" s="76" t="str">
        <x:v>SIP</x:v>
      </x:c>
    </x:row>
    <x:row r="2489">
      <x:c r="A2489" s="50" t="str">
        <x:v>019fde3d-8c4f-7329-8806-f2d82d91c40a</x:v>
      </x:c>
      <x:c r="B2489" s="50" t="str">
        <x:v>CROX</x:v>
      </x:c>
      <x:c r="C2489" s="70" t="n">
        <x:v>46241.91670609954</x:v>
      </x:c>
      <x:c r="D2489" s="50" t="str">
        <x:v>SWING_SETUP</x:v>
      </x:c>
      <x:c r="E2489" s="50" t="str">
        <x:v>CROX SWING SETUP</x:v>
      </x:c>
      <x:c r="F2489" s="50" t="str">
        <x:v>WATCH</x:v>
      </x:c>
      <x:c r="G2489" s="50"/>
      <x:c r="H2489" s="50" t="str">
        <x:v>LONG</x:v>
      </x:c>
      <x:c r="I2489" s="71" t="n">
        <x:v>136.56</x:v>
      </x:c>
      <x:c r="J2489" s="76" t="str">
        <x:v>SIP</x:v>
      </x:c>
    </x:row>
    <x:row r="2490">
      <x:c r="A2490" s="50" t="str">
        <x:v>019fde3d-8e1e-7408-ad16-bbac7bbf796f</x:v>
      </x:c>
      <x:c r="B2490" s="50" t="str">
        <x:v>NXE</x:v>
      </x:c>
      <x:c r="C2490" s="70" t="n">
        <x:v>46241.91671145833</x:v>
      </x:c>
      <x:c r="D2490" s="50" t="str">
        <x:v>SWING_SETUP</x:v>
      </x:c>
      <x:c r="E2490" s="50" t="str">
        <x:v>NXE SWING SETUP</x:v>
      </x:c>
      <x:c r="F2490" s="50" t="str">
        <x:v>WATCH</x:v>
      </x:c>
      <x:c r="G2490" s="50"/>
      <x:c r="H2490" s="50" t="str">
        <x:v>LONG</x:v>
      </x:c>
      <x:c r="I2490" s="71" t="n">
        <x:v>10.43</x:v>
      </x:c>
      <x:c r="J2490" s="76" t="str">
        <x:v>SIP</x:v>
      </x:c>
    </x:row>
    <x:row r="2491">
      <x:c r="A2491" s="50" t="str">
        <x:v>019fde3d-8eab-75bd-b995-3714cebfac8f</x:v>
      </x:c>
      <x:c r="B2491" s="50" t="str">
        <x:v>AMGN</x:v>
      </x:c>
      <x:c r="C2491" s="70" t="n">
        <x:v>46241.91671309028</x:v>
      </x:c>
      <x:c r="D2491" s="50" t="str">
        <x:v>SWING_SETUP</x:v>
      </x:c>
      <x:c r="E2491" s="50" t="str">
        <x:v>AMGN SWING SETUP</x:v>
      </x:c>
      <x:c r="F2491" s="50" t="str">
        <x:v>WATCH</x:v>
      </x:c>
      <x:c r="G2491" s="50"/>
      <x:c r="H2491" s="50" t="str">
        <x:v>LONG</x:v>
      </x:c>
      <x:c r="I2491" s="71" t="n">
        <x:v>410.35</x:v>
      </x:c>
      <x:c r="J2491" s="76" t="str">
        <x:v>SIP</x:v>
      </x:c>
    </x:row>
    <x:row r="2492">
      <x:c r="A2492" s="50" t="str">
        <x:v>019fde3e-74ac-7418-b0a3-ab1747359d37</x:v>
      </x:c>
      <x:c r="B2492" s="50" t="str">
        <x:v>PLTR</x:v>
      </x:c>
      <x:c r="C2492" s="70" t="n">
        <x:v>46241.91739458333</x:v>
      </x:c>
      <x:c r="D2492" s="50" t="str">
        <x:v>SWING_SETUP</x:v>
      </x:c>
      <x:c r="E2492" s="50" t="str">
        <x:v>PLTR SWING SETUP</x:v>
      </x:c>
      <x:c r="F2492" s="50" t="str">
        <x:v>WATCH</x:v>
      </x:c>
      <x:c r="G2492" s="50"/>
      <x:c r="H2492" s="50" t="str">
        <x:v>LONG</x:v>
      </x:c>
      <x:c r="I2492" s="71" t="n">
        <x:v>171.3685</x:v>
      </x:c>
      <x:c r="J2492" s="76" t="str">
        <x:v>SIP</x:v>
      </x:c>
    </x:row>
    <x:row r="2493">
      <x:c r="A2493" s="50" t="str">
        <x:v>019fde3e-74e0-7402-96e8-0263f8a6d02e</x:v>
      </x:c>
      <x:c r="B2493" s="50" t="str">
        <x:v>ETHA</x:v>
      </x:c>
      <x:c r="C2493" s="70" t="n">
        <x:v>46241.917395185184</x:v>
      </x:c>
      <x:c r="D2493" s="50" t="str">
        <x:v>ENTRY_CONFIRMED</x:v>
      </x:c>
      <x:c r="E2493" s="50" t="str">
        <x:v>ETHA ENTRY CONFIRMED</x:v>
      </x:c>
      <x:c r="F2493" s="50" t="str">
        <x:v>ACTION</x:v>
      </x:c>
      <x:c r="G2493" s="50" t="str">
        <x:v>L2_SWING_CONFIRMED</x:v>
      </x:c>
      <x:c r="H2493" s="50" t="str">
        <x:v>LONG</x:v>
      </x:c>
      <x:c r="I2493" s="71" t="n">
        <x:v>14.5</x:v>
      </x:c>
      <x:c r="J2493" s="76" t="str">
        <x:v>SIP</x:v>
      </x:c>
    </x:row>
    <x:row r="2494">
      <x:c r="A2494" s="50" t="str">
        <x:v>019fde41-35f1-7472-8326-217f91e9b00e</x:v>
      </x:c>
      <x:c r="B2494" s="50" t="str">
        <x:v>VZ</x:v>
      </x:c>
      <x:c r="C2494" s="70" t="n">
        <x:v>46241.91948427083</x:v>
      </x:c>
      <x:c r="D2494" s="50" t="str">
        <x:v>SWING_SETUP</x:v>
      </x:c>
      <x:c r="E2494" s="50" t="str">
        <x:v>VZ SWING SETUP</x:v>
      </x:c>
      <x:c r="F2494" s="50" t="str">
        <x:v>WATCH</x:v>
      </x:c>
      <x:c r="G2494" s="50"/>
      <x:c r="H2494" s="50" t="str">
        <x:v>LONG</x:v>
      </x:c>
      <x:c r="I2494" s="71" t="n">
        <x:v>47.01</x:v>
      </x:c>
      <x:c r="J2494" s="76" t="str">
        <x:v>SIP</x:v>
      </x:c>
    </x:row>
    <x:row r="2495">
      <x:c r="A2495" s="50" t="str">
        <x:v>019fde41-3627-76f8-932f-2a6151bd493a</x:v>
      </x:c>
      <x:c r="B2495" s="50" t="str">
        <x:v>SBUX</x:v>
      </x:c>
      <x:c r="C2495" s="70" t="n">
        <x:v>46241.919484895836</x:v>
      </x:c>
      <x:c r="D2495" s="50" t="str">
        <x:v>SWING_SETUP</x:v>
      </x:c>
      <x:c r="E2495" s="50" t="str">
        <x:v>SBUX SWING SETUP</x:v>
      </x:c>
      <x:c r="F2495" s="50" t="str">
        <x:v>WATCH</x:v>
      </x:c>
      <x:c r="G2495" s="50"/>
      <x:c r="H2495" s="50" t="str">
        <x:v>LONG</x:v>
      </x:c>
      <x:c r="I2495" s="71" t="n">
        <x:v>105.58</x:v>
      </x:c>
      <x:c r="J2495" s="76" t="str">
        <x:v>SIP</x:v>
      </x:c>
    </x:row>
    <x:row r="2496">
      <x:c r="A2496" s="50" t="str">
        <x:v>019fde42-1f8c-7ede-9211-4b4865f4a90a</x:v>
      </x:c>
      <x:c r="B2496" s="50" t="str">
        <x:v>NOC</x:v>
      </x:c>
      <x:c r="C2496" s="70" t="n">
        <x:v>46241.92017643518</x:v>
      </x:c>
      <x:c r="D2496" s="50" t="str">
        <x:v>SWING_SETUP</x:v>
      </x:c>
      <x:c r="E2496" s="50" t="str">
        <x:v>NOC SWING SETUP</x:v>
      </x:c>
      <x:c r="F2496" s="50" t="str">
        <x:v>WATCH</x:v>
      </x:c>
      <x:c r="G2496" s="50"/>
      <x:c r="H2496" s="50" t="str">
        <x:v>LONG</x:v>
      </x:c>
      <x:c r="I2496" s="71" t="n">
        <x:v>571.58</x:v>
      </x:c>
      <x:c r="J2496" s="76" t="str">
        <x:v>SIP</x:v>
      </x:c>
    </x:row>
    <x:row r="2497">
      <x:c r="A2497" s="50" t="str">
        <x:v>019fde42-200b-7012-952d-755953dc7916</x:v>
      </x:c>
      <x:c r="B2497" s="50" t="str">
        <x:v>APA</x:v>
      </x:c>
      <x:c r="C2497" s="70" t="n">
        <x:v>46241.92017790509</x:v>
      </x:c>
      <x:c r="D2497" s="50" t="str">
        <x:v>SWING_SETUP</x:v>
      </x:c>
      <x:c r="E2497" s="50" t="str">
        <x:v>APA SWING SETUP</x:v>
      </x:c>
      <x:c r="F2497" s="50" t="str">
        <x:v>WATCH</x:v>
      </x:c>
      <x:c r="G2497" s="50"/>
      <x:c r="H2497" s="50" t="str">
        <x:v>LONG</x:v>
      </x:c>
      <x:c r="I2497" s="71" t="n">
        <x:v>37.648</x:v>
      </x:c>
      <x:c r="J2497" s="76" t="str">
        <x:v>SIP</x:v>
      </x:c>
    </x:row>
    <x:row r="2498">
      <x:c r="A2498" s="50" t="str">
        <x:v>019fde43-08f3-7f83-a3b3-dcf559e5c5f3</x:v>
      </x:c>
      <x:c r="B2498" s="50" t="str">
        <x:v>ANET</x:v>
      </x:c>
      <x:c r="C2498" s="70" t="n">
        <x:v>46241.92086799769</x:v>
      </x:c>
      <x:c r="D2498" s="50" t="str">
        <x:v>SWING_SETUP</x:v>
      </x:c>
      <x:c r="E2498" s="50" t="str">
        <x:v>ANET SWING SETUP</x:v>
      </x:c>
      <x:c r="F2498" s="50" t="str">
        <x:v>WATCH</x:v>
      </x:c>
      <x:c r="G2498" s="50"/>
      <x:c r="H2498" s="50" t="str">
        <x:v>LONG</x:v>
      </x:c>
      <x:c r="I2498" s="71" t="n">
        <x:v>189.1</x:v>
      </x:c>
      <x:c r="J2498" s="76" t="str">
        <x:v>SIP</x:v>
      </x:c>
    </x:row>
    <x:row r="2499">
      <x:c r="A2499" s="50" t="str">
        <x:v>019fde43-0a7e-7244-a81f-843c96599389</x:v>
      </x:c>
      <x:c r="B2499" s="50" t="str">
        <x:v>PFE</x:v>
      </x:c>
      <x:c r="C2499" s="70" t="n">
        <x:v>46241.92087256945</x:v>
      </x:c>
      <x:c r="D2499" s="50" t="str">
        <x:v>SWING_SETUP</x:v>
      </x:c>
      <x:c r="E2499" s="50" t="str">
        <x:v>PFE SWING SETUP</x:v>
      </x:c>
      <x:c r="F2499" s="50" t="str">
        <x:v>WATCH</x:v>
      </x:c>
      <x:c r="G2499" s="50"/>
      <x:c r="H2499" s="50" t="str">
        <x:v>LONG</x:v>
      </x:c>
      <x:c r="I2499" s="71" t="n">
        <x:v>26.61</x:v>
      </x:c>
      <x:c r="J2499" s="76" t="str">
        <x:v>SIP</x:v>
      </x:c>
    </x:row>
    <x:row r="2500">
      <x:c r="A2500" s="50" t="str">
        <x:v>019fde43-0bd0-7bf2-b855-490afdf82bb3</x:v>
      </x:c>
      <x:c r="B2500" s="50" t="str">
        <x:v>INTU</x:v>
      </x:c>
      <x:c r="C2500" s="70" t="n">
        <x:v>46241.92087648148</x:v>
      </x:c>
      <x:c r="D2500" s="50" t="str">
        <x:v>SWING_SETUP</x:v>
      </x:c>
      <x:c r="E2500" s="50" t="str">
        <x:v>INTU SWING SETUP</x:v>
      </x:c>
      <x:c r="F2500" s="50" t="str">
        <x:v>WATCH</x:v>
      </x:c>
      <x:c r="G2500" s="50"/>
      <x:c r="H2500" s="50" t="str">
        <x:v>LONG</x:v>
      </x:c>
      <x:c r="I2500" s="71" t="n">
        <x:v>325.25</x:v>
      </x:c>
      <x:c r="J2500" s="76" t="str">
        <x:v>SIP</x:v>
      </x:c>
    </x:row>
    <x:row r="2501">
      <x:c r="A2501" s="50" t="str">
        <x:v>019fde43-f454-7e25-92fe-5ef697ab8e18</x:v>
      </x:c>
      <x:c r="B2501" s="50" t="str">
        <x:v>BMY</x:v>
      </x:c>
      <x:c r="C2501" s="70" t="n">
        <x:v>46241.92156541667</x:v>
      </x:c>
      <x:c r="D2501" s="50" t="str">
        <x:v>SWING_SETUP</x:v>
      </x:c>
      <x:c r="E2501" s="50" t="str">
        <x:v>BMY SWING SETUP</x:v>
      </x:c>
      <x:c r="F2501" s="50" t="str">
        <x:v>WATCH</x:v>
      </x:c>
      <x:c r="G2501" s="50"/>
      <x:c r="H2501" s="50" t="str">
        <x:v>LONG</x:v>
      </x:c>
      <x:c r="I2501" s="71" t="n">
        <x:v>64.69</x:v>
      </x:c>
      <x:c r="J2501" s="76" t="str">
        <x:v>SIP</x:v>
      </x:c>
    </x:row>
    <x:row r="2502">
      <x:c r="A2502" s="50" t="str">
        <x:v>019fde43-f4ef-7740-ad00-6ca3ef49d327</x:v>
      </x:c>
      <x:c r="B2502" s="50" t="str">
        <x:v>ETHA</x:v>
      </x:c>
      <x:c r="C2502" s="70" t="n">
        <x:v>46241.92156721065</x:v>
      </x:c>
      <x:c r="D2502" s="50" t="str">
        <x:v>SWING_SETUP</x:v>
      </x:c>
      <x:c r="E2502" s="50" t="str">
        <x:v>ETHA SWING SETUP</x:v>
      </x:c>
      <x:c r="F2502" s="50" t="str">
        <x:v>WATCH</x:v>
      </x:c>
      <x:c r="G2502" s="50"/>
      <x:c r="H2502" s="50" t="str">
        <x:v>LONG</x:v>
      </x:c>
      <x:c r="I2502" s="71" t="n">
        <x:v>14.44</x:v>
      </x:c>
      <x:c r="J2502" s="76" t="str">
        <x:v>SIP</x:v>
      </x:c>
    </x:row>
    <x:row r="2503">
      <x:c r="A2503" s="50" t="str">
        <x:v>019fde43-f621-710e-9065-0b07976c3911</x:v>
      </x:c>
      <x:c r="B2503" s="50" t="str">
        <x:v>ETN</x:v>
      </x:c>
      <x:c r="C2503" s="70" t="n">
        <x:v>46241.92157075232</x:v>
      </x:c>
      <x:c r="D2503" s="50" t="str">
        <x:v>SWING_SETUP</x:v>
      </x:c>
      <x:c r="E2503" s="50" t="str">
        <x:v>ETN SWING SETUP</x:v>
      </x:c>
      <x:c r="F2503" s="50" t="str">
        <x:v>WATCH</x:v>
      </x:c>
      <x:c r="G2503" s="50"/>
      <x:c r="H2503" s="50" t="str">
        <x:v>LONG</x:v>
      </x:c>
      <x:c r="I2503" s="71" t="n">
        <x:v>448.67</x:v>
      </x:c>
      <x:c r="J2503" s="76" t="str">
        <x:v>SIP</x:v>
      </x:c>
    </x:row>
    <x:row r="2504">
      <x:c r="A2504" s="50" t="str">
        <x:v>019fde43-f64c-7136-9e33-93ae9d7cb6eb</x:v>
      </x:c>
      <x:c r="B2504" s="50" t="str">
        <x:v>WELL</x:v>
      </x:c>
      <x:c r="C2504" s="70" t="n">
        <x:v>46241.92157125</x:v>
      </x:c>
      <x:c r="D2504" s="50" t="str">
        <x:v>SWING_SETUP</x:v>
      </x:c>
      <x:c r="E2504" s="50" t="str">
        <x:v>WELL SWING SETUP</x:v>
      </x:c>
      <x:c r="F2504" s="50" t="str">
        <x:v>WATCH</x:v>
      </x:c>
      <x:c r="G2504" s="50"/>
      <x:c r="H2504" s="50" t="str">
        <x:v>LONG</x:v>
      </x:c>
      <x:c r="I2504" s="71" t="n">
        <x:v>236.92</x:v>
      </x:c>
      <x:c r="J2504" s="76" t="str">
        <x:v>SIP</x:v>
      </x:c>
    </x:row>
    <x:row r="2505">
      <x:c r="A2505" s="50" t="str">
        <x:v>019fde43-f703-71e2-b908-207baea4a884</x:v>
      </x:c>
      <x:c r="B2505" s="50" t="str">
        <x:v>APH</x:v>
      </x:c>
      <x:c r="C2505" s="70" t="n">
        <x:v>46241.921573368054</x:v>
      </x:c>
      <x:c r="D2505" s="50" t="str">
        <x:v>SWING_SETUP</x:v>
      </x:c>
      <x:c r="E2505" s="50" t="str">
        <x:v>APH SWING SETUP</x:v>
      </x:c>
      <x:c r="F2505" s="50" t="str">
        <x:v>WATCH</x:v>
      </x:c>
      <x:c r="G2505" s="50"/>
      <x:c r="H2505" s="50" t="str">
        <x:v>LONG</x:v>
      </x:c>
      <x:c r="I2505" s="71" t="n">
        <x:v>169.17</x:v>
      </x:c>
      <x:c r="J2505" s="76" t="str">
        <x:v>SIP</x:v>
      </x:c>
    </x:row>
    <x:row r="2506">
      <x:c r="A2506" s="50" t="str">
        <x:v>019fde43-f75a-7002-b7b0-b6978e9fae93</x:v>
      </x:c>
      <x:c r="B2506" s="50" t="str">
        <x:v>UNP</x:v>
      </x:c>
      <x:c r="C2506" s="70" t="n">
        <x:v>46241.921574375</x:v>
      </x:c>
      <x:c r="D2506" s="50" t="str">
        <x:v>SWING_SETUP</x:v>
      </x:c>
      <x:c r="E2506" s="50" t="str">
        <x:v>UNP SWING SETUP</x:v>
      </x:c>
      <x:c r="F2506" s="50" t="str">
        <x:v>WATCH</x:v>
      </x:c>
      <x:c r="G2506" s="50"/>
      <x:c r="H2506" s="50" t="str">
        <x:v>LONG</x:v>
      </x:c>
      <x:c r="I2506" s="71" t="n">
        <x:v>293.13</x:v>
      </x:c>
      <x:c r="J2506" s="76" t="str">
        <x:v>SIP</x:v>
      </x:c>
    </x:row>
    <x:row r="2507">
      <x:c r="A2507" s="50" t="str">
        <x:v>019fde43-f762-72bb-8353-5cbfdae95d60</x:v>
      </x:c>
      <x:c r="B2507" s="50" t="str">
        <x:v>OXY</x:v>
      </x:c>
      <x:c r="C2507" s="70" t="n">
        <x:v>46241.92157446759</x:v>
      </x:c>
      <x:c r="D2507" s="50" t="str">
        <x:v>SWING_SETUP</x:v>
      </x:c>
      <x:c r="E2507" s="50" t="str">
        <x:v>OXY SWING SETUP</x:v>
      </x:c>
      <x:c r="F2507" s="50" t="str">
        <x:v>WATCH</x:v>
      </x:c>
      <x:c r="G2507" s="50"/>
      <x:c r="H2507" s="50" t="str">
        <x:v>LONG</x:v>
      </x:c>
      <x:c r="I2507" s="71" t="n">
        <x:v>56.03</x:v>
      </x:c>
      <x:c r="J2507" s="76" t="str">
        <x:v>SIP</x:v>
      </x:c>
    </x:row>
    <x:row r="2508">
      <x:c r="A2508" s="50" t="str">
        <x:v>019fde43-f777-75aa-b499-3a10bb5e6fda</x:v>
      </x:c>
      <x:c r="B2508" s="50" t="str">
        <x:v>COP</x:v>
      </x:c>
      <x:c r="C2508" s="70" t="n">
        <x:v>46241.92157471065</x:v>
      </x:c>
      <x:c r="D2508" s="50" t="str">
        <x:v>SWING_SETUP</x:v>
      </x:c>
      <x:c r="E2508" s="50" t="str">
        <x:v>COP SWING SETUP</x:v>
      </x:c>
      <x:c r="F2508" s="50" t="str">
        <x:v>WATCH</x:v>
      </x:c>
      <x:c r="G2508" s="50"/>
      <x:c r="H2508" s="50" t="str">
        <x:v>LONG</x:v>
      </x:c>
      <x:c r="I2508" s="71" t="n">
        <x:v>117.6</x:v>
      </x:c>
      <x:c r="J2508" s="76" t="str">
        <x:v>SIP</x:v>
      </x:c>
    </x:row>
    <x:row r="2509">
      <x:c r="A2509" s="50" t="str">
        <x:v>019fde44-dd9d-78b5-bb5d-f6475c745c8b</x:v>
      </x:c>
      <x:c r="B2509" s="50" t="str">
        <x:v>CEG</x:v>
      </x:c>
      <x:c r="C2509" s="70" t="n">
        <x:v>46241.922256631944</x:v>
      </x:c>
      <x:c r="D2509" s="50" t="str">
        <x:v>SWING_SETUP</x:v>
      </x:c>
      <x:c r="E2509" s="50" t="str">
        <x:v>CEG SWING SETUP</x:v>
      </x:c>
      <x:c r="F2509" s="50" t="str">
        <x:v>WATCH</x:v>
      </x:c>
      <x:c r="G2509" s="50"/>
      <x:c r="H2509" s="50" t="str">
        <x:v>LONG</x:v>
      </x:c>
      <x:c r="I2509" s="71" t="n">
        <x:v>269.9</x:v>
      </x:c>
      <x:c r="J2509" s="76" t="str">
        <x:v>SIP</x:v>
      </x:c>
    </x:row>
    <x:row r="2510">
      <x:c r="A2510" s="50" t="str">
        <x:v>019fde44-de73-7463-aafd-47566a947dc0</x:v>
      </x:c>
      <x:c r="B2510" s="50" t="str">
        <x:v>MNST</x:v>
      </x:c>
      <x:c r="C2510" s="70" t="n">
        <x:v>46241.92225909722</x:v>
      </x:c>
      <x:c r="D2510" s="50" t="str">
        <x:v>ENTRY_WATCH</x:v>
      </x:c>
      <x:c r="E2510" s="50" t="str">
        <x:v>MNST ENTRY BREAKAWAY WATCH</x:v>
      </x:c>
      <x:c r="F2510" s="50" t="str">
        <x:v>WATCH</x:v>
      </x:c>
      <x:c r="G2510" s="50"/>
      <x:c r="H2510" s="50" t="str">
        <x:v>LONG</x:v>
      </x:c>
      <x:c r="I2510" s="71" t="n">
        <x:v>90.5</x:v>
      </x:c>
      <x:c r="J2510" s="76" t="str">
        <x:v>SIP</x:v>
      </x:c>
    </x:row>
    <x:row r="2511">
      <x:c r="A2511" s="50" t="str">
        <x:v>019fde44-dff7-7790-865d-d68564bd2ee8</x:v>
      </x:c>
      <x:c r="B2511" s="50" t="str">
        <x:v>PYPL</x:v>
      </x:c>
      <x:c r="C2511" s="70" t="n">
        <x:v>46241.92226359954</x:v>
      </x:c>
      <x:c r="D2511" s="50" t="str">
        <x:v>SWING_SETUP</x:v>
      </x:c>
      <x:c r="E2511" s="50" t="str">
        <x:v>PYPL SWING SETUP</x:v>
      </x:c>
      <x:c r="F2511" s="50" t="str">
        <x:v>WATCH</x:v>
      </x:c>
      <x:c r="G2511" s="50"/>
      <x:c r="H2511" s="50" t="str">
        <x:v>LONG</x:v>
      </x:c>
      <x:c r="I2511" s="71" t="n">
        <x:v>59.095</x:v>
      </x:c>
      <x:c r="J2511" s="76" t="str">
        <x:v>SIP</x:v>
      </x:c>
    </x:row>
    <x:row r="2512">
      <x:c r="A2512" s="50" t="str">
        <x:v>019fde44-e0ff-7fea-9d93-08f537c35c5c</x:v>
      </x:c>
      <x:c r="B2512" s="50" t="str">
        <x:v>TMDX</x:v>
      </x:c>
      <x:c r="C2512" s="70" t="n">
        <x:v>46241.92226665509</x:v>
      </x:c>
      <x:c r="D2512" s="50" t="str">
        <x:v>SWING_SETUP</x:v>
      </x:c>
      <x:c r="E2512" s="50" t="str">
        <x:v>TMDX SWING SETUP</x:v>
      </x:c>
      <x:c r="F2512" s="50" t="str">
        <x:v>WATCH</x:v>
      </x:c>
      <x:c r="G2512" s="50"/>
      <x:c r="H2512" s="50" t="str">
        <x:v>LONG</x:v>
      </x:c>
      <x:c r="I2512" s="71" t="n">
        <x:v>83.5</x:v>
      </x:c>
      <x:c r="J2512" s="76" t="str">
        <x:v>SIP</x:v>
      </x:c>
    </x:row>
    <x:row r="2513">
      <x:c r="A2513" s="50" t="str">
        <x:v>019fde45-c8a9-7f17-aca1-2c39fdce4fd2</x:v>
      </x:c>
      <x:c r="B2513" s="50" t="str">
        <x:v>ABBV</x:v>
      </x:c>
      <x:c r="C2513" s="70" t="n">
        <x:v>46241.92295306713</x:v>
      </x:c>
      <x:c r="D2513" s="50" t="str">
        <x:v>LONG_BUY_ZONE</x:v>
      </x:c>
      <x:c r="E2513" s="50" t="str">
        <x:v>ABBV LONG BUY ZONE</x:v>
      </x:c>
      <x:c r="F2513" s="50" t="str">
        <x:v>WATCH</x:v>
      </x:c>
      <x:c r="G2513" s="50"/>
      <x:c r="H2513" s="50" t="str">
        <x:v>LONG</x:v>
      </x:c>
      <x:c r="I2513" s="71" t="n">
        <x:v>245.7</x:v>
      </x:c>
      <x:c r="J2513" s="76" t="str">
        <x:v>SIP</x:v>
      </x:c>
    </x:row>
    <x:row r="2514">
      <x:c r="A2514" s="50" t="str">
        <x:v>019fde45-c9f5-763a-8782-de87f1db5554</x:v>
      </x:c>
      <x:c r="B2514" s="50" t="str">
        <x:v>JPM</x:v>
      </x:c>
      <x:c r="C2514" s="70" t="n">
        <x:v>46241.92295690972</x:v>
      </x:c>
      <x:c r="D2514" s="50" t="str">
        <x:v>SWING_SETUP</x:v>
      </x:c>
      <x:c r="E2514" s="50" t="str">
        <x:v>JPM SWING SETUP</x:v>
      </x:c>
      <x:c r="F2514" s="50" t="str">
        <x:v>WATCH</x:v>
      </x:c>
      <x:c r="G2514" s="50"/>
      <x:c r="H2514" s="50" t="str">
        <x:v>LONG</x:v>
      </x:c>
      <x:c r="I2514" s="71" t="n">
        <x:v>357.4511</x:v>
      </x:c>
      <x:c r="J2514" s="76" t="str">
        <x:v>SIP</x:v>
      </x:c>
    </x:row>
    <x:row r="2515">
      <x:c r="A2515" s="50" t="str">
        <x:v>019fde45-ca30-74ca-ac42-c04c9904c5d6</x:v>
      </x:c>
      <x:c r="B2515" s="50" t="str">
        <x:v>JD</x:v>
      </x:c>
      <x:c r="C2515" s="70" t="n">
        <x:v>46241.92295758102</x:v>
      </x:c>
      <x:c r="D2515" s="50" t="str">
        <x:v>SWING_SETUP</x:v>
      </x:c>
      <x:c r="E2515" s="50" t="str">
        <x:v>JD SWING SETUP</x:v>
      </x:c>
      <x:c r="F2515" s="50" t="str">
        <x:v>WATCH</x:v>
      </x:c>
      <x:c r="G2515" s="50"/>
      <x:c r="H2515" s="50" t="str">
        <x:v>LONG</x:v>
      </x:c>
      <x:c r="I2515" s="71" t="n">
        <x:v>33</x:v>
      </x:c>
      <x:c r="J2515" s="76" t="str">
        <x:v>SIP</x:v>
      </x:c>
    </x:row>
    <x:row r="2516">
      <x:c r="A2516" s="50" t="str">
        <x:v>019fde45-cb23-7fe7-a71c-16260a0cc556</x:v>
      </x:c>
      <x:c r="B2516" s="50" t="str">
        <x:v>LMT</x:v>
      </x:c>
      <x:c r="C2516" s="70" t="n">
        <x:v>46241.92296040509</x:v>
      </x:c>
      <x:c r="D2516" s="50" t="str">
        <x:v>SWING_SETUP</x:v>
      </x:c>
      <x:c r="E2516" s="50" t="str">
        <x:v>LMT SWING SETUP</x:v>
      </x:c>
      <x:c r="F2516" s="50" t="str">
        <x:v>WATCH</x:v>
      </x:c>
      <x:c r="G2516" s="50"/>
      <x:c r="H2516" s="50" t="str">
        <x:v>LONG</x:v>
      </x:c>
      <x:c r="I2516" s="71" t="n">
        <x:v>587.92</x:v>
      </x:c>
      <x:c r="J2516" s="76" t="str">
        <x:v>SIP</x:v>
      </x:c>
    </x:row>
    <x:row r="2517">
      <x:c r="A2517" s="50" t="str">
        <x:v>019fde46-b2c5-77f5-a906-33dcab5cf256</x:v>
      </x:c>
      <x:c r="B2517" s="50" t="str">
        <x:v>KO</x:v>
      </x:c>
      <x:c r="C2517" s="70" t="n">
        <x:v>46241.923646724536</x:v>
      </x:c>
      <x:c r="D2517" s="50" t="str">
        <x:v>SWING_SETUP</x:v>
      </x:c>
      <x:c r="E2517" s="50" t="str">
        <x:v>KO SWING SETUP</x:v>
      </x:c>
      <x:c r="F2517" s="50" t="str">
        <x:v>WATCH</x:v>
      </x:c>
      <x:c r="G2517" s="50"/>
      <x:c r="H2517" s="50" t="str">
        <x:v>LONG</x:v>
      </x:c>
      <x:c r="I2517" s="71" t="n">
        <x:v>86.9514</x:v>
      </x:c>
      <x:c r="J2517" s="76" t="str">
        <x:v>SIP</x:v>
      </x:c>
    </x:row>
    <x:row r="2518">
      <x:c r="A2518" s="50" t="str">
        <x:v>019fde46-b37b-7f9b-85c0-b0d4f5a30b1e</x:v>
      </x:c>
      <x:c r="B2518" s="50" t="str">
        <x:v>PSX</x:v>
      </x:c>
      <x:c r="C2518" s="70" t="n">
        <x:v>46241.92364883102</x:v>
      </x:c>
      <x:c r="D2518" s="50" t="str">
        <x:v>SWING_SETUP</x:v>
      </x:c>
      <x:c r="E2518" s="50" t="str">
        <x:v>PSX SWING SETUP</x:v>
      </x:c>
      <x:c r="F2518" s="50" t="str">
        <x:v>WATCH</x:v>
      </x:c>
      <x:c r="G2518" s="50"/>
      <x:c r="H2518" s="50" t="str">
        <x:v>LONG</x:v>
      </x:c>
      <x:c r="I2518" s="71" t="n">
        <x:v>203.89</x:v>
      </x:c>
      <x:c r="J2518" s="76" t="str">
        <x:v>SIP</x:v>
      </x:c>
    </x:row>
    <x:row r="2519">
      <x:c r="A2519" s="50" t="str">
        <x:v>019fde46-b44f-7c6f-b451-1f24fd050156</x:v>
      </x:c>
      <x:c r="B2519" s="50" t="str">
        <x:v>ACHV</x:v>
      </x:c>
      <x:c r="C2519" s="70" t="n">
        <x:v>46241.92365128472</x:v>
      </x:c>
      <x:c r="D2519" s="50" t="str">
        <x:v>SWING_SETUP</x:v>
      </x:c>
      <x:c r="E2519" s="50" t="str">
        <x:v>ACHV SWING SETUP</x:v>
      </x:c>
      <x:c r="F2519" s="50" t="str">
        <x:v>WATCH</x:v>
      </x:c>
      <x:c r="G2519" s="50"/>
      <x:c r="H2519" s="50" t="str">
        <x:v>LONG</x:v>
      </x:c>
      <x:c r="I2519" s="71" t="n">
        <x:v>6.65</x:v>
      </x:c>
      <x:c r="J2519" s="76" t="str">
        <x:v>SIP</x:v>
      </x:c>
    </x:row>
    <x:row r="2520">
      <x:c r="A2520" s="50" t="str">
        <x:v>019fde46-b47e-7b17-90c7-4fd91b94ab03</x:v>
      </x:c>
      <x:c r="B2520" s="50" t="str">
        <x:v>ABT</x:v>
      </x:c>
      <x:c r="C2520" s="70" t="n">
        <x:v>46241.92365182871</x:v>
      </x:c>
      <x:c r="D2520" s="50" t="str">
        <x:v>SWING_SETUP</x:v>
      </x:c>
      <x:c r="E2520" s="50" t="str">
        <x:v>ABT SWING SETUP</x:v>
      </x:c>
      <x:c r="F2520" s="50" t="str">
        <x:v>WATCH</x:v>
      </x:c>
      <x:c r="G2520" s="50"/>
      <x:c r="H2520" s="50" t="str">
        <x:v>LONG</x:v>
      </x:c>
      <x:c r="I2520" s="71" t="n">
        <x:v>107.81</x:v>
      </x:c>
      <x:c r="J2520" s="76" t="str">
        <x:v>SIP</x:v>
      </x:c>
    </x:row>
    <x:row r="2521">
      <x:c r="A2521" s="50" t="str">
        <x:v>019fde46-b50d-7559-b38a-d36967da554d</x:v>
      </x:c>
      <x:c r="B2521" s="50" t="str">
        <x:v>MDLZ</x:v>
      </x:c>
      <x:c r="C2521" s="70" t="n">
        <x:v>46241.9236534838</x:v>
      </x:c>
      <x:c r="D2521" s="50" t="str">
        <x:v>SWING_SETUP</x:v>
      </x:c>
      <x:c r="E2521" s="50" t="str">
        <x:v>MDLZ SWING SETUP</x:v>
      </x:c>
      <x:c r="F2521" s="50" t="str">
        <x:v>WATCH</x:v>
      </x:c>
      <x:c r="G2521" s="50"/>
      <x:c r="H2521" s="50" t="str">
        <x:v>LONG</x:v>
      </x:c>
      <x:c r="I2521" s="71" t="n">
        <x:v>62.61</x:v>
      </x:c>
      <x:c r="J2521" s="76" t="str">
        <x:v>SIP</x:v>
      </x:c>
    </x:row>
    <x:row r="2522">
      <x:c r="A2522" s="50" t="str">
        <x:v>019fde47-9cd3-7c06-a2d7-d9f4849ce907</x:v>
      </x:c>
      <x:c r="B2522" s="50" t="str">
        <x:v>SCHW</x:v>
      </x:c>
      <x:c r="C2522" s="70" t="n">
        <x:v>46241.924340219906</x:v>
      </x:c>
      <x:c r="D2522" s="50" t="str">
        <x:v>SWING_SETUP</x:v>
      </x:c>
      <x:c r="E2522" s="50" t="str">
        <x:v>SCHW SWING SETUP</x:v>
      </x:c>
      <x:c r="F2522" s="50" t="str">
        <x:v>WATCH</x:v>
      </x:c>
      <x:c r="G2522" s="50"/>
      <x:c r="H2522" s="50" t="str">
        <x:v>LONG</x:v>
      </x:c>
      <x:c r="I2522" s="71" t="n">
        <x:v>107.6</x:v>
      </x:c>
      <x:c r="J2522" s="76" t="str">
        <x:v>SIP</x:v>
      </x:c>
    </x:row>
    <x:row r="2523">
      <x:c r="A2523" s="50" t="str">
        <x:v>019fde47-9d83-729f-8558-df5d3c7f1fdc</x:v>
      </x:c>
      <x:c r="B2523" s="50" t="str">
        <x:v>OXY</x:v>
      </x:c>
      <x:c r="C2523" s="70" t="n">
        <x:v>46241.92434225694</x:v>
      </x:c>
      <x:c r="D2523" s="50" t="str">
        <x:v>LONG_BUY_ZONE</x:v>
      </x:c>
      <x:c r="E2523" s="50" t="str">
        <x:v>OXY LONG BUY ZONE</x:v>
      </x:c>
      <x:c r="F2523" s="50" t="str">
        <x:v>WATCH</x:v>
      </x:c>
      <x:c r="G2523" s="50"/>
      <x:c r="H2523" s="50" t="str">
        <x:v>LONG</x:v>
      </x:c>
      <x:c r="I2523" s="71" t="n">
        <x:v>55.99</x:v>
      </x:c>
      <x:c r="J2523" s="76" t="str">
        <x:v>SIP</x:v>
      </x:c>
    </x:row>
    <x:row r="2524">
      <x:c r="A2524" s="50" t="str">
        <x:v>019fde47-9ecf-714d-8007-fe7835798e7d</x:v>
      </x:c>
      <x:c r="B2524" s="50" t="str">
        <x:v>MRK</x:v>
      </x:c>
      <x:c r="C2524" s="70" t="n">
        <x:v>46241.924346099535</x:v>
      </x:c>
      <x:c r="D2524" s="50" t="str">
        <x:v>LONG_BUY_ZONE</x:v>
      </x:c>
      <x:c r="E2524" s="50" t="str">
        <x:v>MRK LONG BUY ZONE</x:v>
      </x:c>
      <x:c r="F2524" s="50" t="str">
        <x:v>WATCH</x:v>
      </x:c>
      <x:c r="G2524" s="50"/>
      <x:c r="H2524" s="50" t="str">
        <x:v>LONG</x:v>
      </x:c>
      <x:c r="I2524" s="71" t="n">
        <x:v>128.34</x:v>
      </x:c>
      <x:c r="J2524" s="76" t="str">
        <x:v>SIP</x:v>
      </x:c>
    </x:row>
    <x:row r="2525">
      <x:c r="A2525" s="50" t="str">
        <x:v>019fde47-9fd4-7d15-ad7f-cffc3dcbe61e</x:v>
      </x:c>
      <x:c r="B2525" s="50" t="str">
        <x:v>RCL</x:v>
      </x:c>
      <x:c r="C2525" s="70" t="n">
        <x:v>46241.92434912037</x:v>
      </x:c>
      <x:c r="D2525" s="50" t="str">
        <x:v>SWING_SETUP</x:v>
      </x:c>
      <x:c r="E2525" s="50" t="str">
        <x:v>RCL SWING SETUP</x:v>
      </x:c>
      <x:c r="F2525" s="50" t="str">
        <x:v>WATCH</x:v>
      </x:c>
      <x:c r="G2525" s="50"/>
      <x:c r="H2525" s="50" t="str">
        <x:v>LONG</x:v>
      </x:c>
      <x:c r="I2525" s="71" t="n">
        <x:v>320</x:v>
      </x:c>
      <x:c r="J2525" s="76" t="str">
        <x:v>SIP</x:v>
      </x:c>
    </x:row>
    <x:row r="2526">
      <x:c r="A2526" s="50" t="str">
        <x:v>019fde47-a0dd-7aa7-af96-e9b9ee0159f0</x:v>
      </x:c>
      <x:c r="B2526" s="50" t="str">
        <x:v>BAC</x:v>
      </x:c>
      <x:c r="C2526" s="70" t="n">
        <x:v>46241.9243521875</x:v>
      </x:c>
      <x:c r="D2526" s="50" t="str">
        <x:v>SWING_SETUP</x:v>
      </x:c>
      <x:c r="E2526" s="50" t="str">
        <x:v>BAC SWING SETUP</x:v>
      </x:c>
      <x:c r="F2526" s="50" t="str">
        <x:v>WATCH</x:v>
      </x:c>
      <x:c r="G2526" s="50"/>
      <x:c r="H2526" s="50" t="str">
        <x:v>LONG</x:v>
      </x:c>
      <x:c r="I2526" s="71" t="n">
        <x:v>63.17</x:v>
      </x:c>
      <x:c r="J2526" s="76" t="str">
        <x:v>SIP</x:v>
      </x:c>
    </x:row>
    <x:row r="2527">
      <x:c r="A2527" s="50" t="str">
        <x:v>019fde47-a0f3-7dd3-ad13-f19f07342a0a</x:v>
      </x:c>
      <x:c r="B2527" s="50" t="str">
        <x:v>ECL</x:v>
      </x:c>
      <x:c r="C2527" s="70" t="n">
        <x:v>46241.92435244213</x:v>
      </x:c>
      <x:c r="D2527" s="50" t="str">
        <x:v>SWING_SETUP</x:v>
      </x:c>
      <x:c r="E2527" s="50" t="str">
        <x:v>ECL SWING SETUP</x:v>
      </x:c>
      <x:c r="F2527" s="50" t="str">
        <x:v>WATCH</x:v>
      </x:c>
      <x:c r="G2527" s="50"/>
      <x:c r="H2527" s="50" t="str">
        <x:v>LONG</x:v>
      </x:c>
      <x:c r="I2527" s="71" t="n">
        <x:v>285.17</x:v>
      </x:c>
      <x:c r="J2527" s="76" t="str">
        <x:v>SIP</x:v>
      </x:c>
    </x:row>
    <x:row r="2528">
      <x:c r="A2528" s="50" t="str">
        <x:v>019fde48-8877-7e7e-b175-6272cd2c00a0</x:v>
      </x:c>
      <x:c r="B2528" s="50" t="str">
        <x:v>BKNG</x:v>
      </x:c>
      <x:c r="C2528" s="70" t="n">
        <x:v>46241.92503841435</x:v>
      </x:c>
      <x:c r="D2528" s="50" t="str">
        <x:v>SWING_SETUP</x:v>
      </x:c>
      <x:c r="E2528" s="50" t="str">
        <x:v>BKNG SWING SETUP</x:v>
      </x:c>
      <x:c r="F2528" s="50" t="str">
        <x:v>WATCH</x:v>
      </x:c>
      <x:c r="G2528" s="50"/>
      <x:c r="H2528" s="50" t="str">
        <x:v>LONG</x:v>
      </x:c>
      <x:c r="I2528" s="71" t="n">
        <x:v>213</x:v>
      </x:c>
      <x:c r="J2528" s="76" t="str">
        <x:v>SIP</x:v>
      </x:c>
    </x:row>
    <x:row r="2529">
      <x:c r="A2529" s="50" t="str">
        <x:v>019fde48-891c-7f5e-a0c7-817e25cb4b06</x:v>
      </x:c>
      <x:c r="B2529" s="50" t="str">
        <x:v>SE</x:v>
      </x:c>
      <x:c r="C2529" s="70" t="n">
        <x:v>46241.92504032407</x:v>
      </x:c>
      <x:c r="D2529" s="50" t="str">
        <x:v>SWING_SETUP</x:v>
      </x:c>
      <x:c r="E2529" s="50" t="str">
        <x:v>SE SWING SETUP</x:v>
      </x:c>
      <x:c r="F2529" s="50" t="str">
        <x:v>WATCH</x:v>
      </x:c>
      <x:c r="G2529" s="50"/>
      <x:c r="H2529" s="50" t="str">
        <x:v>LONG</x:v>
      </x:c>
      <x:c r="I2529" s="71" t="n">
        <x:v>113.43</x:v>
      </x:c>
      <x:c r="J2529" s="76" t="str">
        <x:v>SIP</x:v>
      </x:c>
    </x:row>
    <x:row r="2530">
      <x:c r="A2530" s="50" t="str">
        <x:v>019fde48-8996-7c2c-8823-e831720a07ae</x:v>
      </x:c>
      <x:c r="B2530" s="50" t="str">
        <x:v>ABNB</x:v>
      </x:c>
      <x:c r="C2530" s="70" t="n">
        <x:v>46241.92504173611</x:v>
      </x:c>
      <x:c r="D2530" s="50" t="str">
        <x:v>SWING_SETUP</x:v>
      </x:c>
      <x:c r="E2530" s="50" t="str">
        <x:v>ABNB SWING SETUP</x:v>
      </x:c>
      <x:c r="F2530" s="50" t="str">
        <x:v>WATCH</x:v>
      </x:c>
      <x:c r="G2530" s="50"/>
      <x:c r="H2530" s="50" t="str">
        <x:v>LONG</x:v>
      </x:c>
      <x:c r="I2530" s="71" t="n">
        <x:v>177.7</x:v>
      </x:c>
      <x:c r="J2530" s="76" t="str">
        <x:v>SIP</x:v>
      </x:c>
    </x:row>
    <x:row r="2531">
      <x:c r="A2531" s="50" t="str">
        <x:v>019fde48-899e-776a-b3c5-3104bc2e508f</x:v>
      </x:c>
      <x:c r="B2531" s="50" t="str">
        <x:v>DLR</x:v>
      </x:c>
      <x:c r="C2531" s="70" t="n">
        <x:v>46241.925041828705</x:v>
      </x:c>
      <x:c r="D2531" s="50" t="str">
        <x:v>SWING_SETUP</x:v>
      </x:c>
      <x:c r="E2531" s="50" t="str">
        <x:v>DLR SWING SETUP</x:v>
      </x:c>
      <x:c r="F2531" s="50" t="str">
        <x:v>WATCH</x:v>
      </x:c>
      <x:c r="G2531" s="50"/>
      <x:c r="H2531" s="50" t="str">
        <x:v>LONG</x:v>
      </x:c>
      <x:c r="I2531" s="71" t="n">
        <x:v>193.8</x:v>
      </x:c>
      <x:c r="J2531" s="76" t="str">
        <x:v>SIP</x:v>
      </x:c>
    </x:row>
    <x:row r="2532">
      <x:c r="A2532" s="50" t="str">
        <x:v>019fde48-89df-7c04-b13f-a0ddfbe7fc1b</x:v>
      </x:c>
      <x:c r="B2532" s="50" t="str">
        <x:v>DE</x:v>
      </x:c>
      <x:c r="C2532" s="70" t="n">
        <x:v>46241.92504258102</x:v>
      </x:c>
      <x:c r="D2532" s="50" t="str">
        <x:v>SWING_SETUP</x:v>
      </x:c>
      <x:c r="E2532" s="50" t="str">
        <x:v>DE SWING SETUP</x:v>
      </x:c>
      <x:c r="F2532" s="50" t="str">
        <x:v>WATCH</x:v>
      </x:c>
      <x:c r="G2532" s="50"/>
      <x:c r="H2532" s="50" t="str">
        <x:v>LONG</x:v>
      </x:c>
      <x:c r="I2532" s="71" t="n">
        <x:v>620.83</x:v>
      </x:c>
      <x:c r="J2532" s="76" t="str">
        <x:v>SIP</x:v>
      </x:c>
    </x:row>
    <x:row r="2533">
      <x:c r="A2533" s="50" t="str">
        <x:v>019fde48-89e6-77df-95b1-6456ebc0a58a</x:v>
      </x:c>
      <x:c r="B2533" s="50" t="str">
        <x:v>NEM</x:v>
      </x:c>
      <x:c r="C2533" s="70" t="n">
        <x:v>46241.925042662035</x:v>
      </x:c>
      <x:c r="D2533" s="50" t="str">
        <x:v>SWING_SETUP</x:v>
      </x:c>
      <x:c r="E2533" s="50" t="str">
        <x:v>NEM SWING SETUP</x:v>
      </x:c>
      <x:c r="F2533" s="50" t="str">
        <x:v>WATCH</x:v>
      </x:c>
      <x:c r="G2533" s="50"/>
      <x:c r="H2533" s="50" t="str">
        <x:v>LONG</x:v>
      </x:c>
      <x:c r="I2533" s="71" t="n">
        <x:v>112.85</x:v>
      </x:c>
      <x:c r="J2533" s="76" t="str">
        <x:v>SIP</x:v>
      </x:c>
    </x:row>
    <x:row r="2534">
      <x:c r="A2534" s="50" t="str">
        <x:v>019fde48-8a7d-7ec6-aee6-ad72e767addd</x:v>
      </x:c>
      <x:c r="B2534" s="50" t="str">
        <x:v>MMM</x:v>
      </x:c>
      <x:c r="C2534" s="70" t="n">
        <x:v>46241.92504440972</x:v>
      </x:c>
      <x:c r="D2534" s="50" t="str">
        <x:v>SWING_SETUP</x:v>
      </x:c>
      <x:c r="E2534" s="50" t="str">
        <x:v>MMM SWING SETUP</x:v>
      </x:c>
      <x:c r="F2534" s="50" t="str">
        <x:v>WATCH</x:v>
      </x:c>
      <x:c r="G2534" s="50"/>
      <x:c r="H2534" s="50" t="str">
        <x:v>LONG</x:v>
      </x:c>
      <x:c r="I2534" s="71" t="n">
        <x:v>182.89</x:v>
      </x:c>
      <x:c r="J2534" s="76" t="str">
        <x:v>SIP</x:v>
      </x:c>
    </x:row>
    <x:row r="2535">
      <x:c r="A2535" s="50" t="str">
        <x:v>019fde49-720c-7902-bb5c-70c463d69fb9</x:v>
      </x:c>
      <x:c r="B2535" s="50" t="str">
        <x:v>RTX</x:v>
      </x:c>
      <x:c r="C2535" s="70" t="n">
        <x:v>46241.925730497685</x:v>
      </x:c>
      <x:c r="D2535" s="50" t="str">
        <x:v>SWING_SETUP</x:v>
      </x:c>
      <x:c r="E2535" s="50" t="str">
        <x:v>RTX SWING SETUP</x:v>
      </x:c>
      <x:c r="F2535" s="50" t="str">
        <x:v>WATCH</x:v>
      </x:c>
      <x:c r="G2535" s="50"/>
      <x:c r="H2535" s="50" t="str">
        <x:v>LONG</x:v>
      </x:c>
      <x:c r="I2535" s="71" t="n">
        <x:v>223.65</x:v>
      </x:c>
      <x:c r="J2535" s="76" t="str">
        <x:v>SIP</x:v>
      </x:c>
    </x:row>
    <x:row r="2536">
      <x:c r="A2536" s="50" t="str">
        <x:v>019fde49-732c-706e-9a5a-73f001945bde</x:v>
      </x:c>
      <x:c r="B2536" s="50" t="str">
        <x:v>TGT</x:v>
      </x:c>
      <x:c r="C2536" s="70" t="n">
        <x:v>46241.925733842596</x:v>
      </x:c>
      <x:c r="D2536" s="50" t="str">
        <x:v>SWING_SETUP</x:v>
      </x:c>
      <x:c r="E2536" s="50" t="str">
        <x:v>TGT SWING SETUP</x:v>
      </x:c>
      <x:c r="F2536" s="50" t="str">
        <x:v>WATCH</x:v>
      </x:c>
      <x:c r="G2536" s="50"/>
      <x:c r="H2536" s="50" t="str">
        <x:v>LONG</x:v>
      </x:c>
      <x:c r="I2536" s="71" t="n">
        <x:v>149.6</x:v>
      </x:c>
      <x:c r="J2536" s="76" t="str">
        <x:v>SIP</x:v>
      </x:c>
    </x:row>
    <x:row r="2537">
      <x:c r="A2537" s="50" t="str">
        <x:v>019fde49-7393-76b3-8ae5-9eb44ca48ddd</x:v>
      </x:c>
      <x:c r="B2537" s="50" t="str">
        <x:v>RDW</x:v>
      </x:c>
      <x:c r="C2537" s="70" t="n">
        <x:v>46241.925735034725</x:v>
      </x:c>
      <x:c r="D2537" s="50" t="str">
        <x:v>SWING_SETUP</x:v>
      </x:c>
      <x:c r="E2537" s="50" t="str">
        <x:v>RDW SWING SETUP</x:v>
      </x:c>
      <x:c r="F2537" s="50" t="str">
        <x:v>WATCH</x:v>
      </x:c>
      <x:c r="G2537" s="50"/>
      <x:c r="H2537" s="50" t="str">
        <x:v>LONG</x:v>
      </x:c>
      <x:c r="I2537" s="71" t="n">
        <x:v>13.51</x:v>
      </x:c>
      <x:c r="J2537" s="76" t="str">
        <x:v>SIP</x:v>
      </x:c>
    </x:row>
    <x:row r="2538">
      <x:c r="A2538" s="50" t="str">
        <x:v>019fde49-7403-7f0a-9a89-b014d0525f87</x:v>
      </x:c>
      <x:c r="B2538" s="50" t="str">
        <x:v>NUE</x:v>
      </x:c>
      <x:c r="C2538" s="70" t="n">
        <x:v>46241.92573633102</x:v>
      </x:c>
      <x:c r="D2538" s="50" t="str">
        <x:v>SWING_SETUP</x:v>
      </x:c>
      <x:c r="E2538" s="50" t="str">
        <x:v>NUE SWING SETUP</x:v>
      </x:c>
      <x:c r="F2538" s="50" t="str">
        <x:v>WATCH</x:v>
      </x:c>
      <x:c r="G2538" s="50"/>
      <x:c r="H2538" s="50" t="str">
        <x:v>LONG</x:v>
      </x:c>
      <x:c r="I2538" s="71" t="n">
        <x:v>272.57</x:v>
      </x:c>
      <x:c r="J2538" s="76" t="str">
        <x:v>SIP</x:v>
      </x:c>
    </x:row>
    <x:row r="2539">
      <x:c r="A2539" s="50" t="str">
        <x:v>019fde4a-5c28-7383-bd58-74b0244b95ca</x:v>
      </x:c>
      <x:c r="B2539" s="50" t="str">
        <x:v>WFC</x:v>
      </x:c>
      <x:c r="C2539" s="70" t="n">
        <x:v>46241.92642416667</x:v>
      </x:c>
      <x:c r="D2539" s="50" t="str">
        <x:v>SWING_SETUP</x:v>
      </x:c>
      <x:c r="E2539" s="50" t="str">
        <x:v>WFC SWING SETUP</x:v>
      </x:c>
      <x:c r="F2539" s="50" t="str">
        <x:v>WATCH</x:v>
      </x:c>
      <x:c r="G2539" s="50"/>
      <x:c r="H2539" s="50" t="str">
        <x:v>LONG</x:v>
      </x:c>
      <x:c r="I2539" s="71" t="n">
        <x:v>87.235</x:v>
      </x:c>
      <x:c r="J2539" s="76" t="str">
        <x:v>SIP</x:v>
      </x:c>
    </x:row>
    <x:row r="2540">
      <x:c r="A2540" s="50" t="str">
        <x:v>019fde4a-5ce5-720b-aea0-da49fcc03f8a</x:v>
      </x:c>
      <x:c r="B2540" s="50" t="str">
        <x:v>UEC</x:v>
      </x:c>
      <x:c r="C2540" s="70" t="n">
        <x:v>46241.92642635417</x:v>
      </x:c>
      <x:c r="D2540" s="50" t="str">
        <x:v>SWING_SETUP</x:v>
      </x:c>
      <x:c r="E2540" s="50" t="str">
        <x:v>UEC SWING SETUP</x:v>
      </x:c>
      <x:c r="F2540" s="50" t="str">
        <x:v>WATCH</x:v>
      </x:c>
      <x:c r="G2540" s="50"/>
      <x:c r="H2540" s="50" t="str">
        <x:v>LONG</x:v>
      </x:c>
      <x:c r="I2540" s="71" t="n">
        <x:v>11.2707</x:v>
      </x:c>
      <x:c r="J2540" s="76" t="str">
        <x:v>SIP</x:v>
      </x:c>
    </x:row>
    <x:row r="2541">
      <x:c r="A2541" s="50" t="str">
        <x:v>019fde4a-5cfb-76e4-9b38-35f6118e3646</x:v>
      </x:c>
      <x:c r="B2541" s="50" t="str">
        <x:v>BLFS</x:v>
      </x:c>
      <x:c r="C2541" s="70" t="n">
        <x:v>46241.9264266088</x:v>
      </x:c>
      <x:c r="D2541" s="50" t="str">
        <x:v>SWING_SETUP</x:v>
      </x:c>
      <x:c r="E2541" s="50" t="str">
        <x:v>BLFS SWING SETUP</x:v>
      </x:c>
      <x:c r="F2541" s="50" t="str">
        <x:v>WATCH</x:v>
      </x:c>
      <x:c r="G2541" s="50"/>
      <x:c r="H2541" s="50" t="str">
        <x:v>LONG</x:v>
      </x:c>
      <x:c r="I2541" s="71" t="n">
        <x:v>34.645</x:v>
      </x:c>
      <x:c r="J2541" s="76" t="str">
        <x:v>SIP</x:v>
      </x:c>
    </x:row>
    <x:row r="2542">
      <x:c r="A2542" s="50" t="str">
        <x:v>019fde4a-5d1c-7e57-bbf4-5d0c4804c7a3</x:v>
      </x:c>
      <x:c r="B2542" s="50" t="str">
        <x:v>SNOW</x:v>
      </x:c>
      <x:c r="C2542" s="70" t="n">
        <x:v>46241.92642699074</x:v>
      </x:c>
      <x:c r="D2542" s="50" t="str">
        <x:v>SWING_SETUP</x:v>
      </x:c>
      <x:c r="E2542" s="50" t="str">
        <x:v>SNOW SWING SETUP</x:v>
      </x:c>
      <x:c r="F2542" s="50" t="str">
        <x:v>WATCH</x:v>
      </x:c>
      <x:c r="G2542" s="50"/>
      <x:c r="H2542" s="50" t="str">
        <x:v>LONG</x:v>
      </x:c>
      <x:c r="I2542" s="71" t="n">
        <x:v>330.1</x:v>
      </x:c>
      <x:c r="J2542" s="76" t="str">
        <x:v>SIP</x:v>
      </x:c>
    </x:row>
    <x:row r="2543">
      <x:c r="A2543" s="50" t="str">
        <x:v>019fde4a-5e89-75da-b81d-40fca480ed0d</x:v>
      </x:c>
      <x:c r="B2543" s="50" t="str">
        <x:v>SHW</x:v>
      </x:c>
      <x:c r="C2543" s="70" t="n">
        <x:v>46241.92643121528</x:v>
      </x:c>
      <x:c r="D2543" s="50" t="str">
        <x:v>SWING_SETUP</x:v>
      </x:c>
      <x:c r="E2543" s="50" t="str">
        <x:v>SHW SWING SETUP</x:v>
      </x:c>
      <x:c r="F2543" s="50" t="str">
        <x:v>WATCH</x:v>
      </x:c>
      <x:c r="G2543" s="50"/>
      <x:c r="H2543" s="50" t="str">
        <x:v>LONG</x:v>
      </x:c>
      <x:c r="I2543" s="71" t="n">
        <x:v>369.73</x:v>
      </x:c>
      <x:c r="J2543" s="76" t="str">
        <x:v>SIP</x:v>
      </x:c>
    </x:row>
    <x:row r="2544">
      <x:c r="A2544" s="50" t="str">
        <x:v>019fde4a-5eaa-7a33-92ff-e8316ecd1ef0</x:v>
      </x:c>
      <x:c r="B2544" s="50" t="str">
        <x:v>AMZN</x:v>
      </x:c>
      <x:c r="C2544" s="70" t="n">
        <x:v>46241.926431597225</x:v>
      </x:c>
      <x:c r="D2544" s="50" t="str">
        <x:v>SWING_SETUP</x:v>
      </x:c>
      <x:c r="E2544" s="50" t="str">
        <x:v>AMZN SWING SETUP</x:v>
      </x:c>
      <x:c r="F2544" s="50" t="str">
        <x:v>WATCH</x:v>
      </x:c>
      <x:c r="G2544" s="50"/>
      <x:c r="H2544" s="50" t="str">
        <x:v>LONG</x:v>
      </x:c>
      <x:c r="I2544" s="71" t="n">
        <x:v>274.4</x:v>
      </x:c>
      <x:c r="J2544" s="76" t="str">
        <x:v>SIP</x:v>
      </x:c>
    </x:row>
    <x:row r="2545">
      <x:c r="A2545" s="50" t="str">
        <x:v>019fde4a-5fdc-7c05-a95e-f2b3b39a9274</x:v>
      </x:c>
      <x:c r="B2545" s="50" t="str">
        <x:v>BLK</x:v>
      </x:c>
      <x:c r="C2545" s="70" t="n">
        <x:v>46241.92643513889</x:v>
      </x:c>
      <x:c r="D2545" s="50" t="str">
        <x:v>SWING_SETUP</x:v>
      </x:c>
      <x:c r="E2545" s="50" t="str">
        <x:v>BLK SWING SETUP</x:v>
      </x:c>
      <x:c r="F2545" s="50" t="str">
        <x:v>WATCH</x:v>
      </x:c>
      <x:c r="G2545" s="50"/>
      <x:c r="H2545" s="50" t="str">
        <x:v>LONG</x:v>
      </x:c>
      <x:c r="I2545" s="71" t="n">
        <x:v>1136.4</x:v>
      </x:c>
      <x:c r="J2545" s="76" t="str">
        <x:v>SIP</x:v>
      </x:c>
    </x:row>
    <x:row r="2546">
      <x:c r="A2546" s="50" t="str">
        <x:v>019fde4b-48a0-7da1-bf13-bd37216acebc</x:v>
      </x:c>
      <x:c r="B2546" s="50" t="str">
        <x:v>PM</x:v>
      </x:c>
      <x:c r="C2546" s="70" t="n">
        <x:v>46241.927124814814</x:v>
      </x:c>
      <x:c r="D2546" s="50" t="str">
        <x:v>SWING_SETUP</x:v>
      </x:c>
      <x:c r="E2546" s="50" t="str">
        <x:v>PM SWING SETUP</x:v>
      </x:c>
      <x:c r="F2546" s="50" t="str">
        <x:v>WATCH</x:v>
      </x:c>
      <x:c r="G2546" s="50"/>
      <x:c r="H2546" s="50" t="str">
        <x:v>LONG</x:v>
      </x:c>
      <x:c r="I2546" s="71" t="n">
        <x:v>189.57</x:v>
      </x:c>
      <x:c r="J2546" s="76" t="str">
        <x:v>SIP</x:v>
      </x:c>
    </x:row>
    <x:row r="2547">
      <x:c r="A2547" s="50" t="str">
        <x:v>019fde4b-49f5-7258-a525-0ff3c0bea0e6</x:v>
      </x:c>
      <x:c r="B2547" s="50" t="str">
        <x:v>BABA</x:v>
      </x:c>
      <x:c r="C2547" s="70" t="n">
        <x:v>46241.92712876158</x:v>
      </x:c>
      <x:c r="D2547" s="50" t="str">
        <x:v>SWING_SETUP</x:v>
      </x:c>
      <x:c r="E2547" s="50" t="str">
        <x:v>BABA SWING SETUP</x:v>
      </x:c>
      <x:c r="F2547" s="50" t="str">
        <x:v>WATCH</x:v>
      </x:c>
      <x:c r="G2547" s="50"/>
      <x:c r="H2547" s="50" t="str">
        <x:v>LONG</x:v>
      </x:c>
      <x:c r="I2547" s="71" t="n">
        <x:v>128.3</x:v>
      </x:c>
      <x:c r="J2547" s="76" t="str">
        <x:v>SIP</x:v>
      </x:c>
    </x:row>
    <x:row r="2548">
      <x:c r="A2548" s="50" t="str">
        <x:v>019fde4b-4a42-7ab1-8b20-b2af0158772a</x:v>
      </x:c>
      <x:c r="B2548" s="50" t="str">
        <x:v>TMO</x:v>
      </x:c>
      <x:c r="C2548" s="70" t="n">
        <x:v>46241.92712965278</x:v>
      </x:c>
      <x:c r="D2548" s="50" t="str">
        <x:v>SWING_SETUP</x:v>
      </x:c>
      <x:c r="E2548" s="50" t="str">
        <x:v>TMO SWING SETUP</x:v>
      </x:c>
      <x:c r="F2548" s="50" t="str">
        <x:v>WATCH</x:v>
      </x:c>
      <x:c r="G2548" s="50"/>
      <x:c r="H2548" s="50" t="str">
        <x:v>LONG</x:v>
      </x:c>
      <x:c r="I2548" s="71" t="n">
        <x:v>594</x:v>
      </x:c>
      <x:c r="J2548" s="76" t="str">
        <x:v>SIP</x:v>
      </x:c>
    </x:row>
    <x:row r="2549">
      <x:c r="A2549" s="50" t="str">
        <x:v>019fde4c-30eb-75ee-8ca1-29a7f7d51e8b</x:v>
      </x:c>
      <x:c r="B2549" s="50" t="str">
        <x:v>PLTR</x:v>
      </x:c>
      <x:c r="C2549" s="70" t="n">
        <x:v>46241.927813090275</x:v>
      </x:c>
      <x:c r="D2549" s="50" t="str">
        <x:v>SWING_SETUP</x:v>
      </x:c>
      <x:c r="E2549" s="50" t="str">
        <x:v>PLTR SWING SETUP</x:v>
      </x:c>
      <x:c r="F2549" s="50" t="str">
        <x:v>WATCH</x:v>
      </x:c>
      <x:c r="G2549" s="50"/>
      <x:c r="H2549" s="50" t="str">
        <x:v>LONG</x:v>
      </x:c>
      <x:c r="I2549" s="71" t="n">
        <x:v>171.36</x:v>
      </x:c>
      <x:c r="J2549" s="76" t="str">
        <x:v>SIP</x:v>
      </x:c>
    </x:row>
    <x:row r="2550">
      <x:c r="A2550" s="50" t="str">
        <x:v>019fde4c-33c7-73f3-8ed8-76d2b752ea06</x:v>
      </x:c>
      <x:c r="B2550" s="50" t="str">
        <x:v>MRK</x:v>
      </x:c>
      <x:c r="C2550" s="70" t="n">
        <x:v>46241.9278215625</x:v>
      </x:c>
      <x:c r="D2550" s="50" t="str">
        <x:v>SWING_SETUP</x:v>
      </x:c>
      <x:c r="E2550" s="50" t="str">
        <x:v>MRK SWING SETUP</x:v>
      </x:c>
      <x:c r="F2550" s="50" t="str">
        <x:v>WATCH</x:v>
      </x:c>
      <x:c r="G2550" s="50"/>
      <x:c r="H2550" s="50" t="str">
        <x:v>LONG</x:v>
      </x:c>
      <x:c r="I2550" s="71" t="n">
        <x:v>128.57</x:v>
      </x:c>
      <x:c r="J2550" s="76" t="str">
        <x:v>SIP</x:v>
      </x:c>
    </x:row>
    <x:row r="2551">
      <x:c r="A2551" s="50" t="str">
        <x:v>019fde4d-1d76-7dca-be50-f53d56627945</x:v>
      </x:c>
      <x:c r="B2551" s="50" t="str">
        <x:v>NXE</x:v>
      </x:c>
      <x:c r="C2551" s="70" t="n">
        <x:v>46241.92851395833</x:v>
      </x:c>
      <x:c r="D2551" s="50" t="str">
        <x:v>SWING_SETUP</x:v>
      </x:c>
      <x:c r="E2551" s="50" t="str">
        <x:v>NXE SWING SETUP</x:v>
      </x:c>
      <x:c r="F2551" s="50" t="str">
        <x:v>WATCH</x:v>
      </x:c>
      <x:c r="G2551" s="50"/>
      <x:c r="H2551" s="50" t="str">
        <x:v>LONG</x:v>
      </x:c>
      <x:c r="I2551" s="71" t="n">
        <x:v>10.43</x:v>
      </x:c>
      <x:c r="J2551" s="76" t="str">
        <x:v>SIP</x:v>
      </x:c>
    </x:row>
    <x:row r="2552">
      <x:c r="A2552" s="50" t="str">
        <x:v>019fde4d-1e00-7813-a7ad-5edc7aef37fe</x:v>
      </x:c>
      <x:c r="B2552" s="50" t="str">
        <x:v>AMGN</x:v>
      </x:c>
      <x:c r="C2552" s="70" t="n">
        <x:v>46241.928515555555</x:v>
      </x:c>
      <x:c r="D2552" s="50" t="str">
        <x:v>SWING_SETUP</x:v>
      </x:c>
      <x:c r="E2552" s="50" t="str">
        <x:v>AMGN SWING SETUP</x:v>
      </x:c>
      <x:c r="F2552" s="50" t="str">
        <x:v>WATCH</x:v>
      </x:c>
      <x:c r="G2552" s="50"/>
      <x:c r="H2552" s="50" t="str">
        <x:v>LONG</x:v>
      </x:c>
      <x:c r="I2552" s="71" t="n">
        <x:v>410.35</x:v>
      </x:c>
      <x:c r="J2552" s="76" t="str">
        <x:v>SIP</x:v>
      </x:c>
    </x:row>
    <x:row r="2553">
      <x:c r="A2553" s="50" t="str">
        <x:v>019fde4d-1ffd-73f4-a71a-d99b8a9a7369</x:v>
      </x:c>
      <x:c r="B2553" s="50" t="str">
        <x:v>CROX</x:v>
      </x:c>
      <x:c r="C2553" s="70" t="n">
        <x:v>46241.92852144676</x:v>
      </x:c>
      <x:c r="D2553" s="50" t="str">
        <x:v>SWING_SETUP</x:v>
      </x:c>
      <x:c r="E2553" s="50" t="str">
        <x:v>CROX SWING SETUP</x:v>
      </x:c>
      <x:c r="F2553" s="50" t="str">
        <x:v>WATCH</x:v>
      </x:c>
      <x:c r="G2553" s="50"/>
      <x:c r="H2553" s="50" t="str">
        <x:v>LONG</x:v>
      </x:c>
      <x:c r="I2553" s="71" t="n">
        <x:v>136.56</x:v>
      </x:c>
      <x:c r="J2553" s="76" t="str">
        <x:v>SIP</x:v>
      </x:c>
    </x:row>
    <x:row r="2554">
      <x:c r="A2554" s="50" t="str">
        <x:v>019fde4f-dd05-7d33-a6fe-8556c9e0b04c</x:v>
      </x:c>
      <x:c r="B2554" s="50" t="str">
        <x:v>VZ</x:v>
      </x:c>
      <x:c r="C2554" s="70" t="n">
        <x:v>46241.930598576386</x:v>
      </x:c>
      <x:c r="D2554" s="50" t="str">
        <x:v>SWING_SETUP</x:v>
      </x:c>
      <x:c r="E2554" s="50" t="str">
        <x:v>VZ SWING SETUP</x:v>
      </x:c>
      <x:c r="F2554" s="50" t="str">
        <x:v>WATCH</x:v>
      </x:c>
      <x:c r="G2554" s="50"/>
      <x:c r="H2554" s="50" t="str">
        <x:v>LONG</x:v>
      </x:c>
      <x:c r="I2554" s="71" t="n">
        <x:v>47.01</x:v>
      </x:c>
      <x:c r="J2554" s="76" t="str">
        <x:v>SIP</x:v>
      </x:c>
    </x:row>
    <x:row r="2555">
      <x:c r="A2555" s="50" t="str">
        <x:v>019fde50-c581-7173-be52-fb36f3610980</x:v>
      </x:c>
      <x:c r="B2555" s="50" t="str">
        <x:v>SBUX</x:v>
      </x:c>
      <x:c r="C2555" s="70" t="n">
        <x:v>46241.93128741898</x:v>
      </x:c>
      <x:c r="D2555" s="50" t="str">
        <x:v>SWING_SETUP</x:v>
      </x:c>
      <x:c r="E2555" s="50" t="str">
        <x:v>SBUX SWING SETUP</x:v>
      </x:c>
      <x:c r="F2555" s="50" t="str">
        <x:v>WATCH</x:v>
      </x:c>
      <x:c r="G2555" s="50"/>
      <x:c r="H2555" s="50" t="str">
        <x:v>LONG</x:v>
      </x:c>
      <x:c r="I2555" s="71" t="n">
        <x:v>105.58</x:v>
      </x:c>
      <x:c r="J2555" s="76" t="str">
        <x:v>SIP</x:v>
      </x:c>
    </x:row>
    <x:row r="2556">
      <x:c r="A2556" s="50" t="str">
        <x:v>019fde50-c645-703d-9e4b-572a0f13f281</x:v>
      </x:c>
      <x:c r="B2556" s="50" t="str">
        <x:v>PFE</x:v>
      </x:c>
      <x:c r="C2556" s="70" t="n">
        <x:v>46241.9312896875</x:v>
      </x:c>
      <x:c r="D2556" s="50" t="str">
        <x:v>SWING_SETUP</x:v>
      </x:c>
      <x:c r="E2556" s="50" t="str">
        <x:v>PFE SWING SETUP</x:v>
      </x:c>
      <x:c r="F2556" s="50" t="str">
        <x:v>WATCH</x:v>
      </x:c>
      <x:c r="G2556" s="50"/>
      <x:c r="H2556" s="50" t="str">
        <x:v>LONG</x:v>
      </x:c>
      <x:c r="I2556" s="71" t="n">
        <x:v>26.61</x:v>
      </x:c>
      <x:c r="J2556" s="76" t="str">
        <x:v>SIP</x:v>
      </x:c>
    </x:row>
    <x:row r="2557">
      <x:c r="A2557" s="50" t="str">
        <x:v>019fde50-c76a-7d65-bb37-ebb52284e263</x:v>
      </x:c>
      <x:c r="B2557" s="50" t="str">
        <x:v>APA</x:v>
      </x:c>
      <x:c r="C2557" s="70" t="n">
        <x:v>46241.931293078705</x:v>
      </x:c>
      <x:c r="D2557" s="50" t="str">
        <x:v>SWING_SETUP</x:v>
      </x:c>
      <x:c r="E2557" s="50" t="str">
        <x:v>APA SWING SETUP</x:v>
      </x:c>
      <x:c r="F2557" s="50" t="str">
        <x:v>WATCH</x:v>
      </x:c>
      <x:c r="G2557" s="50"/>
      <x:c r="H2557" s="50" t="str">
        <x:v>LONG</x:v>
      </x:c>
      <x:c r="I2557" s="71" t="n">
        <x:v>37.648</x:v>
      </x:c>
      <x:c r="J2557" s="76" t="str">
        <x:v>SIP</x:v>
      </x:c>
    </x:row>
    <x:row r="2558">
      <x:c r="A2558" s="50" t="str">
        <x:v>019fde51-b06e-7cc0-99b9-3dc8da1f9065</x:v>
      </x:c>
      <x:c r="B2558" s="50" t="str">
        <x:v>BMY</x:v>
      </x:c>
      <x:c r="C2558" s="70" t="n">
        <x:v>46241.93198349537</x:v>
      </x:c>
      <x:c r="D2558" s="50" t="str">
        <x:v>SWING_SETUP</x:v>
      </x:c>
      <x:c r="E2558" s="50" t="str">
        <x:v>BMY SWING SETUP</x:v>
      </x:c>
      <x:c r="F2558" s="50" t="str">
        <x:v>WATCH</x:v>
      </x:c>
      <x:c r="G2558" s="50"/>
      <x:c r="H2558" s="50" t="str">
        <x:v>LONG</x:v>
      </x:c>
      <x:c r="I2558" s="71" t="n">
        <x:v>64.69</x:v>
      </x:c>
      <x:c r="J2558" s="76" t="str">
        <x:v>SIP</x:v>
      </x:c>
    </x:row>
    <x:row r="2559">
      <x:c r="A2559" s="50" t="str">
        <x:v>019fde51-b0b9-7c92-9b49-689eee821f7f</x:v>
      </x:c>
      <x:c r="B2559" s="50" t="str">
        <x:v>VZ</x:v>
      </x:c>
      <x:c r="C2559" s="70" t="n">
        <x:v>46241.93198436343</x:v>
      </x:c>
      <x:c r="D2559" s="50" t="str">
        <x:v>LONG_BUY_ZONE</x:v>
      </x:c>
      <x:c r="E2559" s="50" t="str">
        <x:v>VZ LONG BUY ZONE</x:v>
      </x:c>
      <x:c r="F2559" s="50" t="str">
        <x:v>WATCH</x:v>
      </x:c>
      <x:c r="G2559" s="50"/>
      <x:c r="H2559" s="50" t="str">
        <x:v>LONG</x:v>
      </x:c>
      <x:c r="I2559" s="71" t="n">
        <x:v>47.0181</x:v>
      </x:c>
      <x:c r="J2559" s="76" t="str">
        <x:v>SIP</x:v>
      </x:c>
    </x:row>
    <x:row r="2560">
      <x:c r="A2560" s="50" t="str">
        <x:v>019fde51-b13b-715a-9a50-0d064a83e45c</x:v>
      </x:c>
      <x:c r="B2560" s="50" t="str">
        <x:v>ETHA</x:v>
      </x:c>
      <x:c r="C2560" s="70" t="n">
        <x:v>46241.931985868054</x:v>
      </x:c>
      <x:c r="D2560" s="50" t="str">
        <x:v>SWING_SETUP</x:v>
      </x:c>
      <x:c r="E2560" s="50" t="str">
        <x:v>ETHA SWING SETUP</x:v>
      </x:c>
      <x:c r="F2560" s="50" t="str">
        <x:v>WATCH</x:v>
      </x:c>
      <x:c r="G2560" s="50"/>
      <x:c r="H2560" s="50" t="str">
        <x:v>LONG</x:v>
      </x:c>
      <x:c r="I2560" s="71" t="n">
        <x:v>14.48</x:v>
      </x:c>
      <x:c r="J2560" s="76" t="str">
        <x:v>SIP</x:v>
      </x:c>
    </x:row>
    <x:row r="2561">
      <x:c r="A2561" s="50" t="str">
        <x:v>019fde51-b1d4-7204-864f-4f01bc262e0c</x:v>
      </x:c>
      <x:c r="B2561" s="50" t="str">
        <x:v>NOC</x:v>
      </x:c>
      <x:c r="C2561" s="70" t="n">
        <x:v>46241.93198763889</x:v>
      </x:c>
      <x:c r="D2561" s="50" t="str">
        <x:v>SWING_SETUP</x:v>
      </x:c>
      <x:c r="E2561" s="50" t="str">
        <x:v>NOC SWING SETUP</x:v>
      </x:c>
      <x:c r="F2561" s="50" t="str">
        <x:v>WATCH</x:v>
      </x:c>
      <x:c r="G2561" s="50"/>
      <x:c r="H2561" s="50" t="str">
        <x:v>LONG</x:v>
      </x:c>
      <x:c r="I2561" s="71" t="n">
        <x:v>571.58</x:v>
      </x:c>
      <x:c r="J2561" s="76" t="str">
        <x:v>SIP</x:v>
      </x:c>
    </x:row>
    <x:row r="2562">
      <x:c r="A2562" s="50" t="str">
        <x:v>019fde51-b207-72bb-8cf2-b04c073e60cf</x:v>
      </x:c>
      <x:c r="B2562" s="50" t="str">
        <x:v>WELL</x:v>
      </x:c>
      <x:c r="C2562" s="70" t="n">
        <x:v>46241.93198821759</x:v>
      </x:c>
      <x:c r="D2562" s="50" t="str">
        <x:v>SWING_SETUP</x:v>
      </x:c>
      <x:c r="E2562" s="50" t="str">
        <x:v>WELL SWING SETUP</x:v>
      </x:c>
      <x:c r="F2562" s="50" t="str">
        <x:v>WATCH</x:v>
      </x:c>
      <x:c r="G2562" s="50"/>
      <x:c r="H2562" s="50" t="str">
        <x:v>LONG</x:v>
      </x:c>
      <x:c r="I2562" s="71" t="n">
        <x:v>236.92</x:v>
      </x:c>
      <x:c r="J2562" s="76" t="str">
        <x:v>SIP</x:v>
      </x:c>
    </x:row>
    <x:row r="2563">
      <x:c r="A2563" s="50" t="str">
        <x:v>019fde51-b286-7dfd-a2e0-cd3ce2dbf6d9</x:v>
      </x:c>
      <x:c r="B2563" s="50" t="str">
        <x:v>ANET</x:v>
      </x:c>
      <x:c r="C2563" s="70" t="n">
        <x:v>46241.93198969907</x:v>
      </x:c>
      <x:c r="D2563" s="50" t="str">
        <x:v>SWING_SETUP</x:v>
      </x:c>
      <x:c r="E2563" s="50" t="str">
        <x:v>ANET SWING SETUP</x:v>
      </x:c>
      <x:c r="F2563" s="50" t="str">
        <x:v>WATCH</x:v>
      </x:c>
      <x:c r="G2563" s="50"/>
      <x:c r="H2563" s="50" t="str">
        <x:v>LONG</x:v>
      </x:c>
      <x:c r="I2563" s="71" t="n">
        <x:v>189.1</x:v>
      </x:c>
      <x:c r="J2563" s="76" t="str">
        <x:v>SIP</x:v>
      </x:c>
    </x:row>
    <x:row r="2564">
      <x:c r="A2564" s="50" t="str">
        <x:v>019fde52-9a54-7fc0-89b7-fb24630592ad</x:v>
      </x:c>
      <x:c r="B2564" s="50" t="str">
        <x:v>INTU</x:v>
      </x:c>
      <x:c r="C2564" s="70" t="n">
        <x:v>46241.93267652778</x:v>
      </x:c>
      <x:c r="D2564" s="50" t="str">
        <x:v>SWING_SETUP</x:v>
      </x:c>
      <x:c r="E2564" s="50" t="str">
        <x:v>INTU SWING SETUP</x:v>
      </x:c>
      <x:c r="F2564" s="50" t="str">
        <x:v>WATCH</x:v>
      </x:c>
      <x:c r="G2564" s="50"/>
      <x:c r="H2564" s="50" t="str">
        <x:v>LONG</x:v>
      </x:c>
      <x:c r="I2564" s="71" t="n">
        <x:v>325.25</x:v>
      </x:c>
      <x:c r="J2564" s="76" t="str">
        <x:v>SIP</x:v>
      </x:c>
    </x:row>
    <x:row r="2565">
      <x:c r="A2565" s="50" t="str">
        <x:v>019fde52-9b06-7a92-bd10-6f7f82f8ba15</x:v>
      </x:c>
      <x:c r="B2565" s="50" t="str">
        <x:v>UNP</x:v>
      </x:c>
      <x:c r="C2565" s="70" t="n">
        <x:v>46241.93267858796</x:v>
      </x:c>
      <x:c r="D2565" s="50" t="str">
        <x:v>SWING_SETUP</x:v>
      </x:c>
      <x:c r="E2565" s="50" t="str">
        <x:v>UNP SWING SETUP</x:v>
      </x:c>
      <x:c r="F2565" s="50" t="str">
        <x:v>WATCH</x:v>
      </x:c>
      <x:c r="G2565" s="50"/>
      <x:c r="H2565" s="50" t="str">
        <x:v>LONG</x:v>
      </x:c>
      <x:c r="I2565" s="71" t="n">
        <x:v>293.13</x:v>
      </x:c>
      <x:c r="J2565" s="76" t="str">
        <x:v>SIP</x:v>
      </x:c>
    </x:row>
    <x:row r="2566">
      <x:c r="A2566" s="50" t="str">
        <x:v>019fde52-9b0f-7f92-899e-1a68c467adcb</x:v>
      </x:c>
      <x:c r="B2566" s="50" t="str">
        <x:v>OXY</x:v>
      </x:c>
      <x:c r="C2566" s="70" t="n">
        <x:v>46241.93267869213</x:v>
      </x:c>
      <x:c r="D2566" s="50" t="str">
        <x:v>SWING_SETUP</x:v>
      </x:c>
      <x:c r="E2566" s="50" t="str">
        <x:v>OXY SWING SETUP</x:v>
      </x:c>
      <x:c r="F2566" s="50" t="str">
        <x:v>WATCH</x:v>
      </x:c>
      <x:c r="G2566" s="50"/>
      <x:c r="H2566" s="50" t="str">
        <x:v>LONG</x:v>
      </x:c>
      <x:c r="I2566" s="71" t="n">
        <x:v>56.03</x:v>
      </x:c>
      <x:c r="J2566" s="76" t="str">
        <x:v>SIP</x:v>
      </x:c>
    </x:row>
    <x:row r="2567">
      <x:c r="A2567" s="50" t="str">
        <x:v>019fde52-9b27-7871-991d-13d3fb25ba29</x:v>
      </x:c>
      <x:c r="B2567" s="50" t="str">
        <x:v>COP</x:v>
      </x:c>
      <x:c r="C2567" s="70" t="n">
        <x:v>46241.932678969904</x:v>
      </x:c>
      <x:c r="D2567" s="50" t="str">
        <x:v>SWING_SETUP</x:v>
      </x:c>
      <x:c r="E2567" s="50" t="str">
        <x:v>COP SWING SETUP</x:v>
      </x:c>
      <x:c r="F2567" s="50" t="str">
        <x:v>WATCH</x:v>
      </x:c>
      <x:c r="G2567" s="50"/>
      <x:c r="H2567" s="50" t="str">
        <x:v>LONG</x:v>
      </x:c>
      <x:c r="I2567" s="71" t="n">
        <x:v>117.6</x:v>
      </x:c>
      <x:c r="J2567" s="76" t="str">
        <x:v>SIP</x:v>
      </x:c>
    </x:row>
    <x:row r="2568">
      <x:c r="A2568" s="50" t="str">
        <x:v>019fde52-9c0c-719e-97d6-a656cd4f4622</x:v>
      </x:c>
      <x:c r="B2568" s="50" t="str">
        <x:v>PYPL</x:v>
      </x:c>
      <x:c r="C2568" s="70" t="n">
        <x:v>46241.93268162037</x:v>
      </x:c>
      <x:c r="D2568" s="50" t="str">
        <x:v>SWING_SETUP</x:v>
      </x:c>
      <x:c r="E2568" s="50" t="str">
        <x:v>PYPL SWING SETUP</x:v>
      </x:c>
      <x:c r="F2568" s="50" t="str">
        <x:v>WATCH</x:v>
      </x:c>
      <x:c r="G2568" s="50"/>
      <x:c r="H2568" s="50" t="str">
        <x:v>LONG</x:v>
      </x:c>
      <x:c r="I2568" s="71" t="n">
        <x:v>59.095</x:v>
      </x:c>
      <x:c r="J2568" s="76" t="str">
        <x:v>SIP</x:v>
      </x:c>
    </x:row>
    <x:row r="2569">
      <x:c r="A2569" s="50" t="str">
        <x:v>019fde52-9cd6-7306-b2c3-7b79c0edef05</x:v>
      </x:c>
      <x:c r="B2569" s="50" t="str">
        <x:v>TMDX</x:v>
      </x:c>
      <x:c r="C2569" s="70" t="n">
        <x:v>46241.93268394676</x:v>
      </x:c>
      <x:c r="D2569" s="50" t="str">
        <x:v>SWING_SETUP</x:v>
      </x:c>
      <x:c r="E2569" s="50" t="str">
        <x:v>TMDX SWING SETUP</x:v>
      </x:c>
      <x:c r="F2569" s="50" t="str">
        <x:v>WATCH</x:v>
      </x:c>
      <x:c r="G2569" s="50"/>
      <x:c r="H2569" s="50" t="str">
        <x:v>LONG</x:v>
      </x:c>
      <x:c r="I2569" s="71" t="n">
        <x:v>83.5</x:v>
      </x:c>
      <x:c r="J2569" s="76" t="str">
        <x:v>SIP</x:v>
      </x:c>
    </x:row>
    <x:row r="2570">
      <x:c r="A2570" s="50" t="str">
        <x:v>019fde53-8521-7575-9982-45348aeb4c3f</x:v>
      </x:c>
      <x:c r="B2570" s="50" t="str">
        <x:v>ETN</x:v>
      </x:c>
      <x:c r="C2570" s="70" t="n">
        <x:v>46241.9333722338</x:v>
      </x:c>
      <x:c r="D2570" s="50" t="str">
        <x:v>SWING_SETUP</x:v>
      </x:c>
      <x:c r="E2570" s="50" t="str">
        <x:v>ETN SWING SETUP</x:v>
      </x:c>
      <x:c r="F2570" s="50" t="str">
        <x:v>WATCH</x:v>
      </x:c>
      <x:c r="G2570" s="50"/>
      <x:c r="H2570" s="50" t="str">
        <x:v>LONG</x:v>
      </x:c>
      <x:c r="I2570" s="71" t="n">
        <x:v>448.67</x:v>
      </x:c>
      <x:c r="J2570" s="76" t="str">
        <x:v>SIP</x:v>
      </x:c>
    </x:row>
    <x:row r="2571">
      <x:c r="A2571" s="50" t="str">
        <x:v>019fde53-8707-7b8c-830c-273d93469eff</x:v>
      </x:c>
      <x:c r="B2571" s="50" t="str">
        <x:v>JPM</x:v>
      </x:c>
      <x:c r="C2571" s="70" t="n">
        <x:v>46241.9333778588</x:v>
      </x:c>
      <x:c r="D2571" s="50" t="str">
        <x:v>SWING_SETUP</x:v>
      </x:c>
      <x:c r="E2571" s="50" t="str">
        <x:v>JPM SWING SETUP</x:v>
      </x:c>
      <x:c r="F2571" s="50" t="str">
        <x:v>WATCH</x:v>
      </x:c>
      <x:c r="G2571" s="50"/>
      <x:c r="H2571" s="50" t="str">
        <x:v>LONG</x:v>
      </x:c>
      <x:c r="I2571" s="71" t="n">
        <x:v>357.4511</x:v>
      </x:c>
      <x:c r="J2571" s="76" t="str">
        <x:v>SIP</x:v>
      </x:c>
    </x:row>
    <x:row r="2572">
      <x:c r="A2572" s="50" t="str">
        <x:v>019fde54-6ea6-7536-8ada-71c1837930ca</x:v>
      </x:c>
      <x:c r="B2572" s="50" t="str">
        <x:v>CEG</x:v>
      </x:c>
      <x:c r="C2572" s="70" t="n">
        <x:v>46241.93406414352</x:v>
      </x:c>
      <x:c r="D2572" s="50" t="str">
        <x:v>SWING_SETUP</x:v>
      </x:c>
      <x:c r="E2572" s="50" t="str">
        <x:v>CEG SWING SETUP</x:v>
      </x:c>
      <x:c r="F2572" s="50" t="str">
        <x:v>WATCH</x:v>
      </x:c>
      <x:c r="G2572" s="50"/>
      <x:c r="H2572" s="50" t="str">
        <x:v>LONG</x:v>
      </x:c>
      <x:c r="I2572" s="71" t="n">
        <x:v>269.9</x:v>
      </x:c>
      <x:c r="J2572" s="76" t="str">
        <x:v>SIP</x:v>
      </x:c>
    </x:row>
    <x:row r="2573">
      <x:c r="A2573" s="50" t="str">
        <x:v>019fde54-6ec4-7946-b55f-6cd9056d7657</x:v>
      </x:c>
      <x:c r="B2573" s="50" t="str">
        <x:v>LMT</x:v>
      </x:c>
      <x:c r="C2573" s="70" t="n">
        <x:v>46241.93406449074</x:v>
      </x:c>
      <x:c r="D2573" s="50" t="str">
        <x:v>SWING_SETUP</x:v>
      </x:c>
      <x:c r="E2573" s="50" t="str">
        <x:v>LMT SWING SETUP</x:v>
      </x:c>
      <x:c r="F2573" s="50" t="str">
        <x:v>WATCH</x:v>
      </x:c>
      <x:c r="G2573" s="50"/>
      <x:c r="H2573" s="50" t="str">
        <x:v>LONG</x:v>
      </x:c>
      <x:c r="I2573" s="71" t="n">
        <x:v>587.92</x:v>
      </x:c>
      <x:c r="J2573" s="76" t="str">
        <x:v>SIP</x:v>
      </x:c>
    </x:row>
    <x:row r="2574">
      <x:c r="A2574" s="50" t="str">
        <x:v>019fde54-7003-709b-9933-653cbea23367</x:v>
      </x:c>
      <x:c r="B2574" s="50" t="str">
        <x:v>APH</x:v>
      </x:c>
      <x:c r="C2574" s="70" t="n">
        <x:v>46241.93406818287</x:v>
      </x:c>
      <x:c r="D2574" s="50" t="str">
        <x:v>SWING_SETUP</x:v>
      </x:c>
      <x:c r="E2574" s="50" t="str">
        <x:v>APH SWING SETUP</x:v>
      </x:c>
      <x:c r="F2574" s="50" t="str">
        <x:v>WATCH</x:v>
      </x:c>
      <x:c r="G2574" s="50"/>
      <x:c r="H2574" s="50" t="str">
        <x:v>LONG</x:v>
      </x:c>
      <x:c r="I2574" s="71" t="n">
        <x:v>169.17</x:v>
      </x:c>
      <x:c r="J2574" s="76" t="str">
        <x:v>SIP</x:v>
      </x:c>
    </x:row>
    <x:row r="2575">
      <x:c r="A2575" s="50" t="str">
        <x:v>019fde54-701f-7166-852c-211cc7fa3100</x:v>
      </x:c>
      <x:c r="B2575" s="50" t="str">
        <x:v>ACHV</x:v>
      </x:c>
      <x:c r="C2575" s="70" t="n">
        <x:v>46241.93406850695</x:v>
      </x:c>
      <x:c r="D2575" s="50" t="str">
        <x:v>SWING_SETUP</x:v>
      </x:c>
      <x:c r="E2575" s="50" t="str">
        <x:v>ACHV SWING SETUP</x:v>
      </x:c>
      <x:c r="F2575" s="50" t="str">
        <x:v>WATCH</x:v>
      </x:c>
      <x:c r="G2575" s="50"/>
      <x:c r="H2575" s="50" t="str">
        <x:v>LONG</x:v>
      </x:c>
      <x:c r="I2575" s="71" t="n">
        <x:v>6.65</x:v>
      </x:c>
      <x:c r="J2575" s="76" t="str">
        <x:v>SIP</x:v>
      </x:c>
    </x:row>
    <x:row r="2576">
      <x:c r="A2576" s="50" t="str">
        <x:v>019fde54-71a3-76a2-bdee-376bcc9abeb6</x:v>
      </x:c>
      <x:c r="B2576" s="50" t="str">
        <x:v>JD</x:v>
      </x:c>
      <x:c r="C2576" s="70" t="n">
        <x:v>46241.93407299768</x:v>
      </x:c>
      <x:c r="D2576" s="50" t="str">
        <x:v>SWING_SETUP</x:v>
      </x:c>
      <x:c r="E2576" s="50" t="str">
        <x:v>JD SWING SETUP</x:v>
      </x:c>
      <x:c r="F2576" s="50" t="str">
        <x:v>WATCH</x:v>
      </x:c>
      <x:c r="G2576" s="50"/>
      <x:c r="H2576" s="50" t="str">
        <x:v>LONG</x:v>
      </x:c>
      <x:c r="I2576" s="71" t="n">
        <x:v>33</x:v>
      </x:c>
      <x:c r="J2576" s="76" t="str">
        <x:v>SIP</x:v>
      </x:c>
    </x:row>
    <x:row r="2577">
      <x:c r="A2577" s="50" t="str">
        <x:v>019fde55-5935-7128-8107-b19204d67f53</x:v>
      </x:c>
      <x:c r="B2577" s="50" t="str">
        <x:v>KO</x:v>
      </x:c>
      <x:c r="C2577" s="70" t="n">
        <x:v>46241.93475912037</x:v>
      </x:c>
      <x:c r="D2577" s="50" t="str">
        <x:v>SWING_SETUP</x:v>
      </x:c>
      <x:c r="E2577" s="50" t="str">
        <x:v>KO SWING SETUP</x:v>
      </x:c>
      <x:c r="F2577" s="50" t="str">
        <x:v>WATCH</x:v>
      </x:c>
      <x:c r="G2577" s="50"/>
      <x:c r="H2577" s="50" t="str">
        <x:v>LONG</x:v>
      </x:c>
      <x:c r="I2577" s="71" t="n">
        <x:v>86.9514</x:v>
      </x:c>
      <x:c r="J2577" s="76" t="str">
        <x:v>SIP</x:v>
      </x:c>
    </x:row>
    <x:row r="2578">
      <x:c r="A2578" s="50" t="str">
        <x:v>019fde56-43cb-780d-b5af-92afd144d038</x:v>
      </x:c>
      <x:c r="B2578" s="50" t="str">
        <x:v>PSX</x:v>
      </x:c>
      <x:c r="C2578" s="70" t="n">
        <x:v>46241.93545420139</x:v>
      </x:c>
      <x:c r="D2578" s="50" t="str">
        <x:v>SWING_SETUP</x:v>
      </x:c>
      <x:c r="E2578" s="50" t="str">
        <x:v>PSX SWING SETUP</x:v>
      </x:c>
      <x:c r="F2578" s="50" t="str">
        <x:v>WATCH</x:v>
      </x:c>
      <x:c r="G2578" s="50"/>
      <x:c r="H2578" s="50" t="str">
        <x:v>LONG</x:v>
      </x:c>
      <x:c r="I2578" s="71" t="n">
        <x:v>203.91</x:v>
      </x:c>
      <x:c r="J2578" s="76" t="str">
        <x:v>SIP</x:v>
      </x:c>
    </x:row>
    <x:row r="2579">
      <x:c r="A2579" s="50" t="str">
        <x:v>019fde56-452a-7ea4-a485-d5ef24e96c5a</x:v>
      </x:c>
      <x:c r="B2579" s="50" t="str">
        <x:v>ABT</x:v>
      </x:c>
      <x:c r="C2579" s="70" t="n">
        <x:v>46241.93545826389</x:v>
      </x:c>
      <x:c r="D2579" s="50" t="str">
        <x:v>SWING_SETUP</x:v>
      </x:c>
      <x:c r="E2579" s="50" t="str">
        <x:v>ABT SWING SETUP</x:v>
      </x:c>
      <x:c r="F2579" s="50" t="str">
        <x:v>WATCH</x:v>
      </x:c>
      <x:c r="G2579" s="50"/>
      <x:c r="H2579" s="50" t="str">
        <x:v>LONG</x:v>
      </x:c>
      <x:c r="I2579" s="71" t="n">
        <x:v>107.81</x:v>
      </x:c>
      <x:c r="J2579" s="76" t="str">
        <x:v>SIP</x:v>
      </x:c>
    </x:row>
    <x:row r="2580">
      <x:c r="A2580" s="50" t="str">
        <x:v>019fde56-454e-7552-8e9f-85c29fa7cf01</x:v>
      </x:c>
      <x:c r="B2580" s="50" t="str">
        <x:v>MDLZ</x:v>
      </x:c>
      <x:c r="C2580" s="70" t="n">
        <x:v>46241.93545868056</x:v>
      </x:c>
      <x:c r="D2580" s="50" t="str">
        <x:v>SWING_SETUP</x:v>
      </x:c>
      <x:c r="E2580" s="50" t="str">
        <x:v>MDLZ SWING SETUP</x:v>
      </x:c>
      <x:c r="F2580" s="50" t="str">
        <x:v>WATCH</x:v>
      </x:c>
      <x:c r="G2580" s="50"/>
      <x:c r="H2580" s="50" t="str">
        <x:v>LONG</x:v>
      </x:c>
      <x:c r="I2580" s="71" t="n">
        <x:v>62.61</x:v>
      </x:c>
      <x:c r="J2580" s="76" t="str">
        <x:v>SIP</x:v>
      </x:c>
    </x:row>
    <x:row r="2581">
      <x:c r="A2581" s="50" t="str">
        <x:v>019fde56-4622-7416-a5e3-23d79806f8d7</x:v>
      </x:c>
      <x:c r="B2581" s="50" t="str">
        <x:v>RCL</x:v>
      </x:c>
      <x:c r="C2581" s="70" t="n">
        <x:v>46241.93546113426</x:v>
      </x:c>
      <x:c r="D2581" s="50" t="str">
        <x:v>SWING_SETUP</x:v>
      </x:c>
      <x:c r="E2581" s="50" t="str">
        <x:v>RCL SWING SETUP</x:v>
      </x:c>
      <x:c r="F2581" s="50" t="str">
        <x:v>WATCH</x:v>
      </x:c>
      <x:c r="G2581" s="50"/>
      <x:c r="H2581" s="50" t="str">
        <x:v>LONG</x:v>
      </x:c>
      <x:c r="I2581" s="71" t="n">
        <x:v>320</x:v>
      </x:c>
      <x:c r="J2581" s="76" t="str">
        <x:v>SIP</x:v>
      </x:c>
    </x:row>
    <x:row r="2582">
      <x:c r="A2582" s="50" t="str">
        <x:v>019fde56-46eb-7758-842d-d407883a67d7</x:v>
      </x:c>
      <x:c r="B2582" s="50" t="str">
        <x:v>ECL</x:v>
      </x:c>
      <x:c r="C2582" s="70" t="n">
        <x:v>46241.935463449074</x:v>
      </x:c>
      <x:c r="D2582" s="50" t="str">
        <x:v>SWING_SETUP</x:v>
      </x:c>
      <x:c r="E2582" s="50" t="str">
        <x:v>ECL SWING SETUP</x:v>
      </x:c>
      <x:c r="F2582" s="50" t="str">
        <x:v>WATCH</x:v>
      </x:c>
      <x:c r="G2582" s="50"/>
      <x:c r="H2582" s="50" t="str">
        <x:v>LONG</x:v>
      </x:c>
      <x:c r="I2582" s="71" t="n">
        <x:v>285.17</x:v>
      </x:c>
      <x:c r="J2582" s="76" t="str">
        <x:v>SIP</x:v>
      </x:c>
    </x:row>
    <x:row r="2583">
      <x:c r="A2583" s="50" t="str">
        <x:v>019fde56-472b-7c9c-8cc4-97b58d6bf244</x:v>
      </x:c>
      <x:c r="B2583" s="50" t="str">
        <x:v>BAC</x:v>
      </x:c>
      <x:c r="C2583" s="70" t="n">
        <x:v>46241.935464201386</x:v>
      </x:c>
      <x:c r="D2583" s="50" t="str">
        <x:v>SWING_SETUP</x:v>
      </x:c>
      <x:c r="E2583" s="50" t="str">
        <x:v>BAC SWING SETUP</x:v>
      </x:c>
      <x:c r="F2583" s="50" t="str">
        <x:v>WATCH</x:v>
      </x:c>
      <x:c r="G2583" s="50"/>
      <x:c r="H2583" s="50" t="str">
        <x:v>LONG</x:v>
      </x:c>
      <x:c r="I2583" s="71" t="n">
        <x:v>63.19</x:v>
      </x:c>
      <x:c r="J2583" s="76" t="str">
        <x:v>SIP</x:v>
      </x:c>
    </x:row>
    <x:row r="2584">
      <x:c r="A2584" s="50" t="str">
        <x:v>019fde56-474b-78ef-b1c6-157f713095d9</x:v>
      </x:c>
      <x:c r="B2584" s="50" t="str">
        <x:v>SCHW</x:v>
      </x:c>
      <x:c r="C2584" s="70" t="n">
        <x:v>46241.93546457176</x:v>
      </x:c>
      <x:c r="D2584" s="50" t="str">
        <x:v>SWING_SETUP</x:v>
      </x:c>
      <x:c r="E2584" s="50" t="str">
        <x:v>SCHW SWING SETUP</x:v>
      </x:c>
      <x:c r="F2584" s="50" t="str">
        <x:v>WATCH</x:v>
      </x:c>
      <x:c r="G2584" s="50"/>
      <x:c r="H2584" s="50" t="str">
        <x:v>LONG</x:v>
      </x:c>
      <x:c r="I2584" s="71" t="n">
        <x:v>107.6</x:v>
      </x:c>
      <x:c r="J2584" s="76" t="str">
        <x:v>SIP</x:v>
      </x:c>
    </x:row>
    <x:row r="2585">
      <x:c r="A2585" s="50" t="str">
        <x:v>019fde57-2ed9-73d9-8fe4-0e89b041d94a</x:v>
      </x:c>
      <x:c r="B2585" s="50" t="str">
        <x:v>BKNG</x:v>
      </x:c>
      <x:c r="C2585" s="70" t="n">
        <x:v>46241.93615064815</x:v>
      </x:c>
      <x:c r="D2585" s="50" t="str">
        <x:v>SWING_SETUP</x:v>
      </x:c>
      <x:c r="E2585" s="50" t="str">
        <x:v>BKNG SWING SETUP</x:v>
      </x:c>
      <x:c r="F2585" s="50" t="str">
        <x:v>WATCH</x:v>
      </x:c>
      <x:c r="G2585" s="50"/>
      <x:c r="H2585" s="50" t="str">
        <x:v>LONG</x:v>
      </x:c>
      <x:c r="I2585" s="71" t="n">
        <x:v>213</x:v>
      </x:c>
      <x:c r="J2585" s="76" t="str">
        <x:v>SIP</x:v>
      </x:c>
    </x:row>
    <x:row r="2586">
      <x:c r="A2586" s="50" t="str">
        <x:v>019fde57-2f75-7956-bdf2-045fc4a1b1db</x:v>
      </x:c>
      <x:c r="B2586" s="50" t="str">
        <x:v>ABNB</x:v>
      </x:c>
      <x:c r="C2586" s="70" t="n">
        <x:v>46241.93615246528</x:v>
      </x:c>
      <x:c r="D2586" s="50" t="str">
        <x:v>SWING_SETUP</x:v>
      </x:c>
      <x:c r="E2586" s="50" t="str">
        <x:v>ABNB SWING SETUP</x:v>
      </x:c>
      <x:c r="F2586" s="50" t="str">
        <x:v>WATCH</x:v>
      </x:c>
      <x:c r="G2586" s="50"/>
      <x:c r="H2586" s="50" t="str">
        <x:v>LONG</x:v>
      </x:c>
      <x:c r="I2586" s="71" t="n">
        <x:v>177.7</x:v>
      </x:c>
      <x:c r="J2586" s="76" t="str">
        <x:v>SIP</x:v>
      </x:c>
    </x:row>
    <x:row r="2587">
      <x:c r="A2587" s="50" t="str">
        <x:v>019fde57-2f92-7026-85c0-bea91e1de005</x:v>
      </x:c>
      <x:c r="B2587" s="50" t="str">
        <x:v>DE</x:v>
      </x:c>
      <x:c r="C2587" s="70" t="n">
        <x:v>46241.936152800925</x:v>
      </x:c>
      <x:c r="D2587" s="50" t="str">
        <x:v>SWING_SETUP</x:v>
      </x:c>
      <x:c r="E2587" s="50" t="str">
        <x:v>DE SWING SETUP</x:v>
      </x:c>
      <x:c r="F2587" s="50" t="str">
        <x:v>WATCH</x:v>
      </x:c>
      <x:c r="G2587" s="50"/>
      <x:c r="H2587" s="50" t="str">
        <x:v>LONG</x:v>
      </x:c>
      <x:c r="I2587" s="71" t="n">
        <x:v>620.83</x:v>
      </x:c>
      <x:c r="J2587" s="76" t="str">
        <x:v>SIP</x:v>
      </x:c>
    </x:row>
    <x:row r="2588">
      <x:c r="A2588" s="50" t="str">
        <x:v>019fde58-18c6-7a81-99a6-1d218be2bd64</x:v>
      </x:c>
      <x:c r="B2588" s="50" t="str">
        <x:v>UEC</x:v>
      </x:c>
      <x:c r="C2588" s="70" t="n">
        <x:v>46241.93684377315</x:v>
      </x:c>
      <x:c r="D2588" s="50" t="str">
        <x:v>SWING_SETUP</x:v>
      </x:c>
      <x:c r="E2588" s="50" t="str">
        <x:v>UEC SWING SETUP</x:v>
      </x:c>
      <x:c r="F2588" s="50" t="str">
        <x:v>WATCH</x:v>
      </x:c>
      <x:c r="G2588" s="50"/>
      <x:c r="H2588" s="50" t="str">
        <x:v>LONG</x:v>
      </x:c>
      <x:c r="I2588" s="71" t="n">
        <x:v>11.2707</x:v>
      </x:c>
      <x:c r="J2588" s="76" t="str">
        <x:v>SIP</x:v>
      </x:c>
    </x:row>
    <x:row r="2589">
      <x:c r="A2589" s="50" t="str">
        <x:v>019fde58-19a7-7c95-bb04-ccde9076a868</x:v>
      </x:c>
      <x:c r="B2589" s="50" t="str">
        <x:v>RDW</x:v>
      </x:c>
      <x:c r="C2589" s="70" t="n">
        <x:v>46241.93684637731</x:v>
      </x:c>
      <x:c r="D2589" s="50" t="str">
        <x:v>SWING_SETUP</x:v>
      </x:c>
      <x:c r="E2589" s="50" t="str">
        <x:v>RDW SWING SETUP</x:v>
      </x:c>
      <x:c r="F2589" s="50" t="str">
        <x:v>WATCH</x:v>
      </x:c>
      <x:c r="G2589" s="50"/>
      <x:c r="H2589" s="50" t="str">
        <x:v>LONG</x:v>
      </x:c>
      <x:c r="I2589" s="71" t="n">
        <x:v>13.51</x:v>
      </x:c>
      <x:c r="J2589" s="76" t="str">
        <x:v>SIP</x:v>
      </x:c>
    </x:row>
    <x:row r="2590">
      <x:c r="A2590" s="50" t="str">
        <x:v>019fde58-1a0d-78e5-85fd-8775cb351cc2</x:v>
      </x:c>
      <x:c r="B2590" s="50" t="str">
        <x:v>SE</x:v>
      </x:c>
      <x:c r="C2590" s="70" t="n">
        <x:v>46241.936847557874</x:v>
      </x:c>
      <x:c r="D2590" s="50" t="str">
        <x:v>SWING_SETUP</x:v>
      </x:c>
      <x:c r="E2590" s="50" t="str">
        <x:v>SE SWING SETUP</x:v>
      </x:c>
      <x:c r="F2590" s="50" t="str">
        <x:v>WATCH</x:v>
      </x:c>
      <x:c r="G2590" s="50"/>
      <x:c r="H2590" s="50" t="str">
        <x:v>LONG</x:v>
      </x:c>
      <x:c r="I2590" s="71" t="n">
        <x:v>113.43</x:v>
      </x:c>
      <x:c r="J2590" s="76" t="str">
        <x:v>SIP</x:v>
      </x:c>
    </x:row>
    <x:row r="2591">
      <x:c r="A2591" s="50" t="str">
        <x:v>019fde59-0222-7f4a-9bef-0a32747318d6</x:v>
      </x:c>
      <x:c r="B2591" s="50" t="str">
        <x:v>WFC</x:v>
      </x:c>
      <x:c r="C2591" s="70" t="n">
        <x:v>46241.93753520833</x:v>
      </x:c>
      <x:c r="D2591" s="50" t="str">
        <x:v>SWING_SETUP</x:v>
      </x:c>
      <x:c r="E2591" s="50" t="str">
        <x:v>WFC SWING SETUP</x:v>
      </x:c>
      <x:c r="F2591" s="50" t="str">
        <x:v>WATCH</x:v>
      </x:c>
      <x:c r="G2591" s="50"/>
      <x:c r="H2591" s="50" t="str">
        <x:v>LONG</x:v>
      </x:c>
      <x:c r="I2591" s="71" t="n">
        <x:v>87.235</x:v>
      </x:c>
      <x:c r="J2591" s="76" t="str">
        <x:v>SIP</x:v>
      </x:c>
    </x:row>
    <x:row r="2592">
      <x:c r="A2592" s="50" t="str">
        <x:v>019fde59-02c7-7e96-a75e-897f562000a7</x:v>
      </x:c>
      <x:c r="B2592" s="50" t="str">
        <x:v>BLFS</x:v>
      </x:c>
      <x:c r="C2592" s="70" t="n">
        <x:v>46241.93753710648</x:v>
      </x:c>
      <x:c r="D2592" s="50" t="str">
        <x:v>SWING_SETUP</x:v>
      </x:c>
      <x:c r="E2592" s="50" t="str">
        <x:v>BLFS SWING SETUP</x:v>
      </x:c>
      <x:c r="F2592" s="50" t="str">
        <x:v>WATCH</x:v>
      </x:c>
      <x:c r="G2592" s="50"/>
      <x:c r="H2592" s="50" t="str">
        <x:v>LONG</x:v>
      </x:c>
      <x:c r="I2592" s="71" t="n">
        <x:v>34.645</x:v>
      </x:c>
      <x:c r="J2592" s="76" t="str">
        <x:v>SIP</x:v>
      </x:c>
    </x:row>
    <x:row r="2593">
      <x:c r="A2593" s="50" t="str">
        <x:v>019fde59-0368-7ff9-8465-c1b6a57848ac</x:v>
      </x:c>
      <x:c r="B2593" s="50" t="str">
        <x:v>SNOW</x:v>
      </x:c>
      <x:c r="C2593" s="70" t="n">
        <x:v>46241.93753898148</x:v>
      </x:c>
      <x:c r="D2593" s="50" t="str">
        <x:v>SWING_SETUP</x:v>
      </x:c>
      <x:c r="E2593" s="50" t="str">
        <x:v>SNOW SWING SETUP</x:v>
      </x:c>
      <x:c r="F2593" s="50" t="str">
        <x:v>WATCH</x:v>
      </x:c>
      <x:c r="G2593" s="50"/>
      <x:c r="H2593" s="50" t="str">
        <x:v>LONG</x:v>
      </x:c>
      <x:c r="I2593" s="71" t="n">
        <x:v>330.1</x:v>
      </x:c>
      <x:c r="J2593" s="76" t="str">
        <x:v>SIP</x:v>
      </x:c>
    </x:row>
    <x:row r="2594">
      <x:c r="A2594" s="50" t="str">
        <x:v>019fde59-03aa-7729-9030-72665eee364a</x:v>
      </x:c>
      <x:c r="B2594" s="50" t="str">
        <x:v>TGT</x:v>
      </x:c>
      <x:c r="C2594" s="70" t="n">
        <x:v>46241.93753974537</x:v>
      </x:c>
      <x:c r="D2594" s="50" t="str">
        <x:v>SWING_SETUP</x:v>
      </x:c>
      <x:c r="E2594" s="50" t="str">
        <x:v>TGT SWING SETUP</x:v>
      </x:c>
      <x:c r="F2594" s="50" t="str">
        <x:v>WATCH</x:v>
      </x:c>
      <x:c r="G2594" s="50"/>
      <x:c r="H2594" s="50" t="str">
        <x:v>LONG</x:v>
      </x:c>
      <x:c r="I2594" s="71" t="n">
        <x:v>149.6</x:v>
      </x:c>
      <x:c r="J2594" s="76" t="str">
        <x:v>SIP</x:v>
      </x:c>
    </x:row>
    <x:row r="2595">
      <x:c r="A2595" s="50" t="str">
        <x:v>019fde59-046b-7167-a246-57a20c260ceb</x:v>
      </x:c>
      <x:c r="B2595" s="50" t="str">
        <x:v>AMZN</x:v>
      </x:c>
      <x:c r="C2595" s="70" t="n">
        <x:v>46241.93754197917</x:v>
      </x:c>
      <x:c r="D2595" s="50" t="str">
        <x:v>SWING_SETUP</x:v>
      </x:c>
      <x:c r="E2595" s="50" t="str">
        <x:v>AMZN SWING SETUP</x:v>
      </x:c>
      <x:c r="F2595" s="50" t="str">
        <x:v>WATCH</x:v>
      </x:c>
      <x:c r="G2595" s="50"/>
      <x:c r="H2595" s="50" t="str">
        <x:v>LONG</x:v>
      </x:c>
      <x:c r="I2595" s="71" t="n">
        <x:v>274.4</x:v>
      </x:c>
      <x:c r="J2595" s="76" t="str">
        <x:v>SIP</x:v>
      </x:c>
    </x:row>
    <x:row r="2596">
      <x:c r="A2596" s="50" t="str">
        <x:v>019fde59-0490-72b7-b3f3-1de9744199c5</x:v>
      </x:c>
      <x:c r="B2596" s="50" t="str">
        <x:v>NUE</x:v>
      </x:c>
      <x:c r="C2596" s="70" t="n">
        <x:v>46241.93754240741</x:v>
      </x:c>
      <x:c r="D2596" s="50" t="str">
        <x:v>SWING_SETUP</x:v>
      </x:c>
      <x:c r="E2596" s="50" t="str">
        <x:v>NUE SWING SETUP</x:v>
      </x:c>
      <x:c r="F2596" s="50" t="str">
        <x:v>WATCH</x:v>
      </x:c>
      <x:c r="G2596" s="50"/>
      <x:c r="H2596" s="50" t="str">
        <x:v>LONG</x:v>
      </x:c>
      <x:c r="I2596" s="71" t="n">
        <x:v>272.57</x:v>
      </x:c>
      <x:c r="J2596" s="76" t="str">
        <x:v>SIP</x:v>
      </x:c>
    </x:row>
    <x:row r="2597">
      <x:c r="A2597" s="50" t="str">
        <x:v>019fde59-04b9-7e7c-a877-b7ea2c1f8630</x:v>
      </x:c>
      <x:c r="B2597" s="50" t="str">
        <x:v>DLR</x:v>
      </x:c>
      <x:c r="C2597" s="70" t="n">
        <x:v>46241.93754288195</x:v>
      </x:c>
      <x:c r="D2597" s="50" t="str">
        <x:v>SWING_SETUP</x:v>
      </x:c>
      <x:c r="E2597" s="50" t="str">
        <x:v>DLR SWING SETUP</x:v>
      </x:c>
      <x:c r="F2597" s="50" t="str">
        <x:v>WATCH</x:v>
      </x:c>
      <x:c r="G2597" s="50"/>
      <x:c r="H2597" s="50" t="str">
        <x:v>LONG</x:v>
      </x:c>
      <x:c r="I2597" s="71" t="n">
        <x:v>193.8</x:v>
      </x:c>
      <x:c r="J2597" s="76" t="str">
        <x:v>SIP</x:v>
      </x:c>
    </x:row>
    <x:row r="2598">
      <x:c r="A2598" s="50" t="str">
        <x:v>019fde59-052f-7542-8922-8c2b108a164c</x:v>
      </x:c>
      <x:c r="B2598" s="50" t="str">
        <x:v>PM</x:v>
      </x:c>
      <x:c r="C2598" s="70" t="n">
        <x:v>46241.93754423611</x:v>
      </x:c>
      <x:c r="D2598" s="50" t="str">
        <x:v>SWING_SETUP</x:v>
      </x:c>
      <x:c r="E2598" s="50" t="str">
        <x:v>PM SWING SETUP</x:v>
      </x:c>
      <x:c r="F2598" s="50" t="str">
        <x:v>WATCH</x:v>
      </x:c>
      <x:c r="G2598" s="50"/>
      <x:c r="H2598" s="50" t="str">
        <x:v>LONG</x:v>
      </x:c>
      <x:c r="I2598" s="71" t="n">
        <x:v>189.57</x:v>
      </x:c>
      <x:c r="J2598" s="76" t="str">
        <x:v>SIP</x:v>
      </x:c>
    </x:row>
    <x:row r="2599">
      <x:c r="A2599" s="50" t="str">
        <x:v>019fde59-0576-72a7-aa75-3e6c2616cce2</x:v>
      </x:c>
      <x:c r="B2599" s="50" t="str">
        <x:v>MMM</x:v>
      </x:c>
      <x:c r="C2599" s="70" t="n">
        <x:v>46241.93754506944</x:v>
      </x:c>
      <x:c r="D2599" s="50" t="str">
        <x:v>SWING_SETUP</x:v>
      </x:c>
      <x:c r="E2599" s="50" t="str">
        <x:v>MMM SWING SETUP</x:v>
      </x:c>
      <x:c r="F2599" s="50" t="str">
        <x:v>WATCH</x:v>
      </x:c>
      <x:c r="G2599" s="50"/>
      <x:c r="H2599" s="50" t="str">
        <x:v>LONG</x:v>
      </x:c>
      <x:c r="I2599" s="71" t="n">
        <x:v>182.89</x:v>
      </x:c>
      <x:c r="J2599" s="76" t="str">
        <x:v>SIP</x:v>
      </x:c>
    </x:row>
    <x:row r="2600">
      <x:c r="A2600" s="50" t="str">
        <x:v>019fde59-05e3-74bd-9851-8b40d7d52ee3</x:v>
      </x:c>
      <x:c r="B2600" s="50" t="str">
        <x:v>RTX</x:v>
      </x:c>
      <x:c r="C2600" s="70" t="n">
        <x:v>46241.93754633102</x:v>
      </x:c>
      <x:c r="D2600" s="50" t="str">
        <x:v>SWING_SETUP</x:v>
      </x:c>
      <x:c r="E2600" s="50" t="str">
        <x:v>RTX SWING SETUP</x:v>
      </x:c>
      <x:c r="F2600" s="50" t="str">
        <x:v>WATCH</x:v>
      </x:c>
      <x:c r="G2600" s="50"/>
      <x:c r="H2600" s="50" t="str">
        <x:v>LONG</x:v>
      </x:c>
      <x:c r="I2600" s="71" t="n">
        <x:v>223.65</x:v>
      </x:c>
      <x:c r="J2600" s="76" t="str">
        <x:v>SIP</x:v>
      </x:c>
    </x:row>
    <x:row r="2601">
      <x:c r="A2601" s="50" t="str">
        <x:v>019fde59-05f3-7152-b582-df9b4b0737d8</x:v>
      </x:c>
      <x:c r="B2601" s="50" t="str">
        <x:v>BLK</x:v>
      </x:c>
      <x:c r="C2601" s="70" t="n">
        <x:v>46241.93754650463</x:v>
      </x:c>
      <x:c r="D2601" s="50" t="str">
        <x:v>SWING_SETUP</x:v>
      </x:c>
      <x:c r="E2601" s="50" t="str">
        <x:v>BLK SWING SETUP</x:v>
      </x:c>
      <x:c r="F2601" s="50" t="str">
        <x:v>WATCH</x:v>
      </x:c>
      <x:c r="G2601" s="50"/>
      <x:c r="H2601" s="50" t="str">
        <x:v>LONG</x:v>
      </x:c>
      <x:c r="I2601" s="71" t="n">
        <x:v>1136.4</x:v>
      </x:c>
      <x:c r="J2601" s="76" t="str">
        <x:v>SIP</x:v>
      </x:c>
    </x:row>
    <x:row r="2602">
      <x:c r="A2602" s="50" t="str">
        <x:v>019fde59-ecef-7ffd-a435-6139d6707180</x:v>
      </x:c>
      <x:c r="B2602" s="50" t="str">
        <x:v>PLTR</x:v>
      </x:c>
      <x:c r="C2602" s="70" t="n">
        <x:v>46241.938230914355</x:v>
      </x:c>
      <x:c r="D2602" s="50" t="str">
        <x:v>SWING_SETUP</x:v>
      </x:c>
      <x:c r="E2602" s="50" t="str">
        <x:v>PLTR SWING SETUP</x:v>
      </x:c>
      <x:c r="F2602" s="50" t="str">
        <x:v>WATCH</x:v>
      </x:c>
      <x:c r="G2602" s="50"/>
      <x:c r="H2602" s="50" t="str">
        <x:v>LONG</x:v>
      </x:c>
      <x:c r="I2602" s="71" t="n">
        <x:v>171.36</x:v>
      </x:c>
      <x:c r="J2602" s="76" t="str">
        <x:v>SIP</x:v>
      </x:c>
    </x:row>
    <x:row r="2603">
      <x:c r="A2603" s="50" t="str">
        <x:v>019fde59-edc0-7b28-8046-8828867d40ce</x:v>
      </x:c>
      <x:c r="B2603" s="50" t="str">
        <x:v>GS</x:v>
      </x:c>
      <x:c r="C2603" s="70" t="n">
        <x:v>46241.938233333334</x:v>
      </x:c>
      <x:c r="D2603" s="50" t="str">
        <x:v>LONG_BUY_ZONE</x:v>
      </x:c>
      <x:c r="E2603" s="50" t="str">
        <x:v>GS LONG BUY ZONE</x:v>
      </x:c>
      <x:c r="F2603" s="50" t="str">
        <x:v>WATCH</x:v>
      </x:c>
      <x:c r="G2603" s="50"/>
      <x:c r="H2603" s="50" t="str">
        <x:v>LONG</x:v>
      </x:c>
      <x:c r="I2603" s="71" t="n">
        <x:v>1039.61</x:v>
      </x:c>
      <x:c r="J2603" s="76" t="str">
        <x:v>SIP</x:v>
      </x:c>
    </x:row>
    <x:row r="2604">
      <x:c r="A2604" s="50" t="str">
        <x:v>019fde5a-d85d-7091-ae0f-f6a3d97fc76d</x:v>
      </x:c>
      <x:c r="B2604" s="50" t="str">
        <x:v>BABA</x:v>
      </x:c>
      <x:c r="C2604" s="70" t="n">
        <x:v>46241.938928483796</x:v>
      </x:c>
      <x:c r="D2604" s="50" t="str">
        <x:v>SWING_SETUP</x:v>
      </x:c>
      <x:c r="E2604" s="50" t="str">
        <x:v>BABA SWING SETUP</x:v>
      </x:c>
      <x:c r="F2604" s="50" t="str">
        <x:v>WATCH</x:v>
      </x:c>
      <x:c r="G2604" s="50"/>
      <x:c r="H2604" s="50" t="str">
        <x:v>LONG</x:v>
      </x:c>
      <x:c r="I2604" s="71" t="n">
        <x:v>128.3</x:v>
      </x:c>
      <x:c r="J2604" s="76" t="str">
        <x:v>SIP</x:v>
      </x:c>
    </x:row>
    <x:row r="2605">
      <x:c r="A2605" s="50" t="str">
        <x:v>019fde5a-d8ca-788f-aa0f-aa984af166d1</x:v>
      </x:c>
      <x:c r="B2605" s="50" t="str">
        <x:v>TMO</x:v>
      </x:c>
      <x:c r="C2605" s="70" t="n">
        <x:v>46241.93892974537</x:v>
      </x:c>
      <x:c r="D2605" s="50" t="str">
        <x:v>SWING_SETUP</x:v>
      </x:c>
      <x:c r="E2605" s="50" t="str">
        <x:v>TMO SWING SETUP</x:v>
      </x:c>
      <x:c r="F2605" s="50" t="str">
        <x:v>WATCH</x:v>
      </x:c>
      <x:c r="G2605" s="50"/>
      <x:c r="H2605" s="50" t="str">
        <x:v>LONG</x:v>
      </x:c>
      <x:c r="I2605" s="71" t="n">
        <x:v>594</x:v>
      </x:c>
      <x:c r="J2605" s="76" t="str">
        <x:v>SIP</x:v>
      </x:c>
    </x:row>
    <x:row r="2606">
      <x:c r="A2606" s="50" t="str">
        <x:v>019fde5a-da27-7998-a9b8-586199425aeb</x:v>
      </x:c>
      <x:c r="B2606" s="50" t="str">
        <x:v>SHW</x:v>
      </x:c>
      <x:c r="C2606" s="70" t="n">
        <x:v>46241.938933784724</x:v>
      </x:c>
      <x:c r="D2606" s="50" t="str">
        <x:v>SWING_SETUP</x:v>
      </x:c>
      <x:c r="E2606" s="50" t="str">
        <x:v>SHW SWING SETUP</x:v>
      </x:c>
      <x:c r="F2606" s="50" t="str">
        <x:v>WATCH</x:v>
      </x:c>
      <x:c r="G2606" s="50"/>
      <x:c r="H2606" s="50" t="str">
        <x:v>LONG</x:v>
      </x:c>
      <x:c r="I2606" s="71" t="n">
        <x:v>369.73</x:v>
      </x:c>
      <x:c r="J2606" s="76" t="str">
        <x:v>SIP</x:v>
      </x:c>
    </x:row>
    <x:row r="2607">
      <x:c r="A2607" s="50" t="str">
        <x:v>019fde5a-dae9-72d4-9623-3eb8301cbce6</x:v>
      </x:c>
      <x:c r="B2607" s="50" t="str">
        <x:v>MRK</x:v>
      </x:c>
      <x:c r="C2607" s="70" t="n">
        <x:v>46241.93893603009</x:v>
      </x:c>
      <x:c r="D2607" s="50" t="str">
        <x:v>SWING_SETUP</x:v>
      </x:c>
      <x:c r="E2607" s="50" t="str">
        <x:v>MRK SWING SETUP</x:v>
      </x:c>
      <x:c r="F2607" s="50" t="str">
        <x:v>WATCH</x:v>
      </x:c>
      <x:c r="G2607" s="50"/>
      <x:c r="H2607" s="50" t="str">
        <x:v>LONG</x:v>
      </x:c>
      <x:c r="I2607" s="71" t="n">
        <x:v>128.57</x:v>
      </x:c>
      <x:c r="J2607" s="76" t="str">
        <x:v>SIP</x:v>
      </x:c>
    </x:row>
    <x:row r="2608">
      <x:c r="A2608" s="50" t="str">
        <x:v>019fde5b-c40d-7881-b4af-28c7d7e0d0c5</x:v>
      </x:c>
      <x:c r="B2608" s="50" t="str">
        <x:v>CROX</x:v>
      </x:c>
      <x:c r="C2608" s="70" t="n">
        <x:v>46241.93962681713</x:v>
      </x:c>
      <x:c r="D2608" s="50" t="str">
        <x:v>SWING_SETUP</x:v>
      </x:c>
      <x:c r="E2608" s="50" t="str">
        <x:v>CROX SWING SETUP</x:v>
      </x:c>
      <x:c r="F2608" s="50" t="str">
        <x:v>WATCH</x:v>
      </x:c>
      <x:c r="G2608" s="50"/>
      <x:c r="H2608" s="50" t="str">
        <x:v>LONG</x:v>
      </x:c>
      <x:c r="I2608" s="71" t="n">
        <x:v>136.56</x:v>
      </x:c>
      <x:c r="J2608" s="76" t="str">
        <x:v>SIP</x:v>
      </x:c>
    </x:row>
    <x:row r="2609">
      <x:c r="A2609" s="50" t="str">
        <x:v>019fde5c-ad0d-7aca-82c8-57c7eb2d846a</x:v>
      </x:c>
      <x:c r="B2609" s="50" t="str">
        <x:v>NXE</x:v>
      </x:c>
      <x:c r="C2609" s="70" t="n">
        <x:v>46241.9403171875</x:v>
      </x:c>
      <x:c r="D2609" s="50" t="str">
        <x:v>SWING_SETUP</x:v>
      </x:c>
      <x:c r="E2609" s="50" t="str">
        <x:v>NXE SWING SETUP</x:v>
      </x:c>
      <x:c r="F2609" s="50" t="str">
        <x:v>WATCH</x:v>
      </x:c>
      <x:c r="G2609" s="50"/>
      <x:c r="H2609" s="50" t="str">
        <x:v>LONG</x:v>
      </x:c>
      <x:c r="I2609" s="71" t="n">
        <x:v>10.43</x:v>
      </x:c>
      <x:c r="J2609" s="76" t="str">
        <x:v>SIP</x:v>
      </x:c>
    </x:row>
    <x:row r="2610">
      <x:c r="A2610" s="50" t="str">
        <x:v>019fde5c-ad6e-7c17-846f-f80967d56c3b</x:v>
      </x:c>
      <x:c r="B2610" s="50" t="str">
        <x:v>AMGN</x:v>
      </x:c>
      <x:c r="C2610" s="70" t="n">
        <x:v>46241.94031831018</x:v>
      </x:c>
      <x:c r="D2610" s="50" t="str">
        <x:v>SWING_SETUP</x:v>
      </x:c>
      <x:c r="E2610" s="50" t="str">
        <x:v>AMGN SWING SETUP</x:v>
      </x:c>
      <x:c r="F2610" s="50" t="str">
        <x:v>WATCH</x:v>
      </x:c>
      <x:c r="G2610" s="50"/>
      <x:c r="H2610" s="50" t="str">
        <x:v>LONG</x:v>
      </x:c>
      <x:c r="I2610" s="71" t="n">
        <x:v>410.35</x:v>
      </x:c>
      <x:c r="J2610" s="76" t="str">
        <x:v>SIP</x:v>
      </x:c>
    </x:row>
    <x:row r="2611">
      <x:c r="A2611" s="50" t="str">
        <x:v>019fde5d-996d-7861-9fc5-adcf99e7ebbd</x:v>
      </x:c>
      <x:c r="B2611" s="50" t="str">
        <x:v>VZ</x:v>
      </x:c>
      <x:c r="C2611" s="70" t="n">
        <x:v>46241.9410175463</x:v>
      </x:c>
      <x:c r="D2611" s="50" t="str">
        <x:v>SWING_SETUP</x:v>
      </x:c>
      <x:c r="E2611" s="50" t="str">
        <x:v>VZ SWING SETUP</x:v>
      </x:c>
      <x:c r="F2611" s="50" t="str">
        <x:v>WATCH</x:v>
      </x:c>
      <x:c r="G2611" s="50"/>
      <x:c r="H2611" s="50" t="str">
        <x:v>LONG</x:v>
      </x:c>
      <x:c r="I2611" s="71" t="n">
        <x:v>47.01</x:v>
      </x:c>
      <x:c r="J2611" s="76" t="str">
        <x:v>SIP</x:v>
      </x:c>
    </x:row>
    <x:row r="2612">
      <x:c r="A2612" s="50" t="str">
        <x:v>019fde5f-6cb7-72eb-976f-56fae879696b</x:v>
      </x:c>
      <x:c r="B2612" s="50" t="str">
        <x:v>BMY</x:v>
      </x:c>
      <x:c r="C2612" s="70" t="n">
        <x:v>46241.94240211805</x:v>
      </x:c>
      <x:c r="D2612" s="50" t="str">
        <x:v>SWING_SETUP</x:v>
      </x:c>
      <x:c r="E2612" s="50" t="str">
        <x:v>BMY SWING SETUP</x:v>
      </x:c>
      <x:c r="F2612" s="50" t="str">
        <x:v>WATCH</x:v>
      </x:c>
      <x:c r="G2612" s="50"/>
      <x:c r="H2612" s="50" t="str">
        <x:v>LONG</x:v>
      </x:c>
      <x:c r="I2612" s="71" t="n">
        <x:v>64.69</x:v>
      </x:c>
      <x:c r="J2612" s="76" t="str">
        <x:v>SIP</x:v>
      </x:c>
    </x:row>
    <x:row r="2613">
      <x:c r="A2613" s="50" t="str">
        <x:v>019fde5f-6d80-7a93-9845-772f574d3d80</x:v>
      </x:c>
      <x:c r="B2613" s="50" t="str">
        <x:v>ETHA</x:v>
      </x:c>
      <x:c r="C2613" s="70" t="n">
        <x:v>46241.942404444446</x:v>
      </x:c>
      <x:c r="D2613" s="50" t="str">
        <x:v>SWING_SETUP</x:v>
      </x:c>
      <x:c r="E2613" s="50" t="str">
        <x:v>ETHA SWING SETUP</x:v>
      </x:c>
      <x:c r="F2613" s="50" t="str">
        <x:v>WATCH</x:v>
      </x:c>
      <x:c r="G2613" s="50"/>
      <x:c r="H2613" s="50" t="str">
        <x:v>LONG</x:v>
      </x:c>
      <x:c r="I2613" s="71" t="n">
        <x:v>14.48</x:v>
      </x:c>
      <x:c r="J2613" s="76" t="str">
        <x:v>SIP</x:v>
      </x:c>
    </x:row>
    <x:row r="2614">
      <x:c r="A2614" s="50" t="str">
        <x:v>019fde5f-6e82-7208-9c8d-d9705460831c</x:v>
      </x:c>
      <x:c r="B2614" s="50" t="str">
        <x:v>APA</x:v>
      </x:c>
      <x:c r="C2614" s="70" t="n">
        <x:v>46241.94240743056</x:v>
      </x:c>
      <x:c r="D2614" s="50" t="str">
        <x:v>SWING_SETUP</x:v>
      </x:c>
      <x:c r="E2614" s="50" t="str">
        <x:v>APA SWING SETUP</x:v>
      </x:c>
      <x:c r="F2614" s="50" t="str">
        <x:v>WATCH</x:v>
      </x:c>
      <x:c r="G2614" s="50"/>
      <x:c r="H2614" s="50" t="str">
        <x:v>LONG</x:v>
      </x:c>
      <x:c r="I2614" s="71" t="n">
        <x:v>37.648</x:v>
      </x:c>
      <x:c r="J2614" s="76" t="str">
        <x:v>SIP</x:v>
      </x:c>
    </x:row>
    <x:row r="2615">
      <x:c r="A2615" s="50" t="str">
        <x:v>019fde5f-6e89-7303-94d6-ca8e652e88f4</x:v>
      </x:c>
      <x:c r="B2615" s="50" t="str">
        <x:v>WELL</x:v>
      </x:c>
      <x:c r="C2615" s="70" t="n">
        <x:v>46241.942407511575</x:v>
      </x:c>
      <x:c r="D2615" s="50" t="str">
        <x:v>SWING_SETUP</x:v>
      </x:c>
      <x:c r="E2615" s="50" t="str">
        <x:v>WELL SWING SETUP</x:v>
      </x:c>
      <x:c r="F2615" s="50" t="str">
        <x:v>WATCH</x:v>
      </x:c>
      <x:c r="G2615" s="50"/>
      <x:c r="H2615" s="50" t="str">
        <x:v>LONG</x:v>
      </x:c>
      <x:c r="I2615" s="71" t="n">
        <x:v>236.92</x:v>
      </x:c>
      <x:c r="J2615" s="76" t="str">
        <x:v>SIP</x:v>
      </x:c>
    </x:row>
    <x:row r="2616">
      <x:c r="A2616" s="50" t="str">
        <x:v>019fde60-558d-7fa4-9eb5-aca82b72dfb2</x:v>
      </x:c>
      <x:c r="B2616" s="50" t="str">
        <x:v>PFE</x:v>
      </x:c>
      <x:c r="C2616" s="70" t="n">
        <x:v>46241.943092002315</x:v>
      </x:c>
      <x:c r="D2616" s="50" t="str">
        <x:v>SWING_SETUP</x:v>
      </x:c>
      <x:c r="E2616" s="50" t="str">
        <x:v>PFE SWING SETUP</x:v>
      </x:c>
      <x:c r="F2616" s="50" t="str">
        <x:v>WATCH</x:v>
      </x:c>
      <x:c r="G2616" s="50"/>
      <x:c r="H2616" s="50" t="str">
        <x:v>LONG</x:v>
      </x:c>
      <x:c r="I2616" s="71" t="n">
        <x:v>26.61</x:v>
      </x:c>
      <x:c r="J2616" s="76" t="str">
        <x:v>SIP</x:v>
      </x:c>
    </x:row>
    <x:row r="2617">
      <x:c r="A2617" s="50" t="str">
        <x:v>019fde60-5649-7daa-b736-46df9f43b979</x:v>
      </x:c>
      <x:c r="B2617" s="50" t="str">
        <x:v>NOC</x:v>
      </x:c>
      <x:c r="C2617" s="70" t="n">
        <x:v>46241.94309417824</x:v>
      </x:c>
      <x:c r="D2617" s="50" t="str">
        <x:v>SWING_SETUP</x:v>
      </x:c>
      <x:c r="E2617" s="50" t="str">
        <x:v>NOC SWING SETUP</x:v>
      </x:c>
      <x:c r="F2617" s="50" t="str">
        <x:v>WATCH</x:v>
      </x:c>
      <x:c r="G2617" s="50"/>
      <x:c r="H2617" s="50" t="str">
        <x:v>LONG</x:v>
      </x:c>
      <x:c r="I2617" s="71" t="n">
        <x:v>571.58</x:v>
      </x:c>
      <x:c r="J2617" s="76" t="str">
        <x:v>SIP</x:v>
      </x:c>
    </x:row>
    <x:row r="2618">
      <x:c r="A2618" s="50" t="str">
        <x:v>019fde60-5713-7e01-a135-92fa7d00b789</x:v>
      </x:c>
      <x:c r="B2618" s="50" t="str">
        <x:v>SBUX</x:v>
      </x:c>
      <x:c r="C2618" s="70" t="n">
        <x:v>46241.9430965162</x:v>
      </x:c>
      <x:c r="D2618" s="50" t="str">
        <x:v>SWING_SETUP</x:v>
      </x:c>
      <x:c r="E2618" s="50" t="str">
        <x:v>SBUX SWING SETUP</x:v>
      </x:c>
      <x:c r="F2618" s="50" t="str">
        <x:v>WATCH</x:v>
      </x:c>
      <x:c r="G2618" s="50"/>
      <x:c r="H2618" s="50" t="str">
        <x:v>LONG</x:v>
      </x:c>
      <x:c r="I2618" s="71" t="n">
        <x:v>105.58</x:v>
      </x:c>
      <x:c r="J2618" s="76" t="str">
        <x:v>SIP</x:v>
      </x:c>
    </x:row>
    <x:row r="2619">
      <x:c r="A2619" s="50" t="str">
        <x:v>019fde61-3f69-71c7-9eb3-f1d118a4c0da</x:v>
      </x:c>
      <x:c r="B2619" s="50" t="str">
        <x:v>OXY</x:v>
      </x:c>
      <x:c r="C2619" s="70" t="n">
        <x:v>46241.94378491898</x:v>
      </x:c>
      <x:c r="D2619" s="50" t="str">
        <x:v>LONG_BUY_ZONE</x:v>
      </x:c>
      <x:c r="E2619" s="50" t="str">
        <x:v>OXY LONG BUY ZONE</x:v>
      </x:c>
      <x:c r="F2619" s="50" t="str">
        <x:v>WATCH</x:v>
      </x:c>
      <x:c r="G2619" s="50"/>
      <x:c r="H2619" s="50" t="str">
        <x:v>LONG</x:v>
      </x:c>
      <x:c r="I2619" s="71" t="n">
        <x:v>56.03</x:v>
      </x:c>
      <x:c r="J2619" s="76" t="str">
        <x:v>SIP</x:v>
      </x:c>
    </x:row>
    <x:row r="2620">
      <x:c r="A2620" s="50" t="str">
        <x:v>019fde61-4034-7b74-83e6-da2b15f2ab00</x:v>
      </x:c>
      <x:c r="B2620" s="50" t="str">
        <x:v>ANET</x:v>
      </x:c>
      <x:c r="C2620" s="70" t="n">
        <x:v>46241.943787268516</x:v>
      </x:c>
      <x:c r="D2620" s="50" t="str">
        <x:v>SWING_SETUP</x:v>
      </x:c>
      <x:c r="E2620" s="50" t="str">
        <x:v>ANET SWING SETUP</x:v>
      </x:c>
      <x:c r="F2620" s="50" t="str">
        <x:v>WATCH</x:v>
      </x:c>
      <x:c r="G2620" s="50"/>
      <x:c r="H2620" s="50" t="str">
        <x:v>LONG</x:v>
      </x:c>
      <x:c r="I2620" s="71" t="n">
        <x:v>189.1</x:v>
      </x:c>
      <x:c r="J2620" s="76" t="str">
        <x:v>SIP</x:v>
      </x:c>
    </x:row>
    <x:row r="2621">
      <x:c r="A2621" s="50" t="str">
        <x:v>019fde61-406d-70ef-ad92-283e300b44b7</x:v>
      </x:c>
      <x:c r="B2621" s="50" t="str">
        <x:v>COP</x:v>
      </x:c>
      <x:c r="C2621" s="70" t="n">
        <x:v>46241.94378792824</x:v>
      </x:c>
      <x:c r="D2621" s="50" t="str">
        <x:v>SWING_SETUP</x:v>
      </x:c>
      <x:c r="E2621" s="50" t="str">
        <x:v>COP SWING SETUP</x:v>
      </x:c>
      <x:c r="F2621" s="50" t="str">
        <x:v>WATCH</x:v>
      </x:c>
      <x:c r="G2621" s="50"/>
      <x:c r="H2621" s="50" t="str">
        <x:v>LONG</x:v>
      </x:c>
      <x:c r="I2621" s="71" t="n">
        <x:v>117.6</x:v>
      </x:c>
      <x:c r="J2621" s="76" t="str">
        <x:v>SIP</x:v>
      </x:c>
    </x:row>
    <x:row r="2622">
      <x:c r="A2622" s="50" t="str">
        <x:v>019fde61-4096-7693-a13b-5dc57008007e</x:v>
      </x:c>
      <x:c r="B2622" s="50" t="str">
        <x:v>UNP</x:v>
      </x:c>
      <x:c r="C2622" s="70" t="n">
        <x:v>46241.9437883912</x:v>
      </x:c>
      <x:c r="D2622" s="50" t="str">
        <x:v>SWING_SETUP</x:v>
      </x:c>
      <x:c r="E2622" s="50" t="str">
        <x:v>UNP SWING SETUP</x:v>
      </x:c>
      <x:c r="F2622" s="50" t="str">
        <x:v>WATCH</x:v>
      </x:c>
      <x:c r="G2622" s="50"/>
      <x:c r="H2622" s="50" t="str">
        <x:v>LONG</x:v>
      </x:c>
      <x:c r="I2622" s="71" t="n">
        <x:v>293.13</x:v>
      </x:c>
      <x:c r="J2622" s="76" t="str">
        <x:v>SIP</x:v>
      </x:c>
    </x:row>
    <x:row r="2623">
      <x:c r="A2623" s="50" t="str">
        <x:v>019fde61-409f-7d77-8c0e-7de9e8f79bba</x:v>
      </x:c>
      <x:c r="B2623" s="50" t="str">
        <x:v>OXY</x:v>
      </x:c>
      <x:c r="C2623" s="70" t="n">
        <x:v>46241.94378850694</x:v>
      </x:c>
      <x:c r="D2623" s="50" t="str">
        <x:v>SWING_SETUP</x:v>
      </x:c>
      <x:c r="E2623" s="50" t="str">
        <x:v>OXY SWING SETUP</x:v>
      </x:c>
      <x:c r="F2623" s="50" t="str">
        <x:v>WATCH</x:v>
      </x:c>
      <x:c r="G2623" s="50"/>
      <x:c r="H2623" s="50" t="str">
        <x:v>LONG</x:v>
      </x:c>
      <x:c r="I2623" s="71" t="n">
        <x:v>56.03</x:v>
      </x:c>
      <x:c r="J2623" s="76" t="str">
        <x:v>SIP</x:v>
      </x:c>
    </x:row>
    <x:row r="2624">
      <x:c r="A2624" s="50" t="str">
        <x:v>019fde61-40b4-737d-92bd-02dc75702d41</x:v>
      </x:c>
      <x:c r="B2624" s="50" t="str">
        <x:v>PM</x:v>
      </x:c>
      <x:c r="C2624" s="70" t="n">
        <x:v>46241.94378875</x:v>
      </x:c>
      <x:c r="D2624" s="50" t="str">
        <x:v>LONG_BUY_ZONE</x:v>
      </x:c>
      <x:c r="E2624" s="50" t="str">
        <x:v>PM LONG BUY ZONE</x:v>
      </x:c>
      <x:c r="F2624" s="50" t="str">
        <x:v>WATCH</x:v>
      </x:c>
      <x:c r="G2624" s="50"/>
      <x:c r="H2624" s="50" t="str">
        <x:v>LONG</x:v>
      </x:c>
      <x:c r="I2624" s="71" t="n">
        <x:v>189.08</x:v>
      </x:c>
      <x:c r="J2624" s="76" t="str">
        <x:v>SIP</x:v>
      </x:c>
    </x:row>
    <x:row r="2625">
      <x:c r="A2625" s="50" t="str">
        <x:v>019fde61-411d-77b8-9b22-d35b58c550d9</x:v>
      </x:c>
      <x:c r="B2625" s="50" t="str">
        <x:v>PYPL</x:v>
      </x:c>
      <x:c r="C2625" s="70" t="n">
        <x:v>46241.94378996528</x:v>
      </x:c>
      <x:c r="D2625" s="50" t="str">
        <x:v>SWING_SETUP</x:v>
      </x:c>
      <x:c r="E2625" s="50" t="str">
        <x:v>PYPL SWING SETUP</x:v>
      </x:c>
      <x:c r="F2625" s="50" t="str">
        <x:v>WATCH</x:v>
      </x:c>
      <x:c r="G2625" s="50"/>
      <x:c r="H2625" s="50" t="str">
        <x:v>LONG</x:v>
      </x:c>
      <x:c r="I2625" s="71" t="n">
        <x:v>59.095</x:v>
      </x:c>
      <x:c r="J2625" s="76" t="str">
        <x:v>SIP</x:v>
      </x:c>
    </x:row>
    <x:row r="2626">
      <x:c r="A2626" s="50" t="str">
        <x:v>019fde61-414c-7a44-990d-4ff5a80e5437</x:v>
      </x:c>
      <x:c r="B2626" s="50" t="str">
        <x:v>RCL</x:v>
      </x:c>
      <x:c r="C2626" s="70" t="n">
        <x:v>46241.943790509256</x:v>
      </x:c>
      <x:c r="D2626" s="50" t="str">
        <x:v>LONG_BUY_ZONE</x:v>
      </x:c>
      <x:c r="E2626" s="50" t="str">
        <x:v>RCL LONG BUY ZONE</x:v>
      </x:c>
      <x:c r="F2626" s="50" t="str">
        <x:v>WATCH</x:v>
      </x:c>
      <x:c r="G2626" s="50"/>
      <x:c r="H2626" s="50" t="str">
        <x:v>LONG</x:v>
      </x:c>
      <x:c r="I2626" s="71" t="n">
        <x:v>320.25</x:v>
      </x:c>
      <x:c r="J2626" s="76" t="str">
        <x:v>SIP</x:v>
      </x:c>
    </x:row>
    <x:row r="2627">
      <x:c r="A2627" s="50" t="str">
        <x:v>019fde62-2ae5-7efd-8bf4-0ee48f4a0d00</x:v>
      </x:c>
      <x:c r="B2627" s="50" t="str">
        <x:v>ETN</x:v>
      </x:c>
      <x:c r="C2627" s="70" t="n">
        <x:v>46241.94448265046</x:v>
      </x:c>
      <x:c r="D2627" s="50" t="str">
        <x:v>SWING_SETUP</x:v>
      </x:c>
      <x:c r="E2627" s="50" t="str">
        <x:v>ETN SWING SETUP</x:v>
      </x:c>
      <x:c r="F2627" s="50" t="str">
        <x:v>WATCH</x:v>
      </x:c>
      <x:c r="G2627" s="50"/>
      <x:c r="H2627" s="50" t="str">
        <x:v>LONG</x:v>
      </x:c>
      <x:c r="I2627" s="71" t="n">
        <x:v>448.67</x:v>
      </x:c>
      <x:c r="J2627" s="76" t="str">
        <x:v>SIP</x:v>
      </x:c>
    </x:row>
    <x:row r="2628">
      <x:c r="A2628" s="50" t="str">
        <x:v>019fde62-2b12-7b47-8031-10f94e93cbd6</x:v>
      </x:c>
      <x:c r="B2628" s="50" t="str">
        <x:v>INTU</x:v>
      </x:c>
      <x:c r="C2628" s="70" t="n">
        <x:v>46241.9444831713</x:v>
      </x:c>
      <x:c r="D2628" s="50" t="str">
        <x:v>SWING_SETUP</x:v>
      </x:c>
      <x:c r="E2628" s="50" t="str">
        <x:v>INTU SWING SETUP</x:v>
      </x:c>
      <x:c r="F2628" s="50" t="str">
        <x:v>WATCH</x:v>
      </x:c>
      <x:c r="G2628" s="50"/>
      <x:c r="H2628" s="50" t="str">
        <x:v>LONG</x:v>
      </x:c>
      <x:c r="I2628" s="71" t="n">
        <x:v>325.25</x:v>
      </x:c>
      <x:c r="J2628" s="76" t="str">
        <x:v>SIP</x:v>
      </x:c>
    </x:row>
    <x:row r="2629">
      <x:c r="A2629" s="50" t="str">
        <x:v>019fde62-2d5c-7a52-8fc3-2d6d09183f6c</x:v>
      </x:c>
      <x:c r="B2629" s="50" t="str">
        <x:v>JPM</x:v>
      </x:c>
      <x:c r="C2629" s="70" t="n">
        <x:v>46241.944489953705</x:v>
      </x:c>
      <x:c r="D2629" s="50" t="str">
        <x:v>SWING_SETUP</x:v>
      </x:c>
      <x:c r="E2629" s="50" t="str">
        <x:v>JPM SWING SETUP</x:v>
      </x:c>
      <x:c r="F2629" s="50" t="str">
        <x:v>WATCH</x:v>
      </x:c>
      <x:c r="G2629" s="50"/>
      <x:c r="H2629" s="50" t="str">
        <x:v>LONG</x:v>
      </x:c>
      <x:c r="I2629" s="71" t="n">
        <x:v>357.4511</x:v>
      </x:c>
      <x:c r="J2629" s="76" t="str">
        <x:v>SIP</x:v>
      </x:c>
    </x:row>
    <x:row r="2630">
      <x:c r="A2630" s="50" t="str">
        <x:v>019fde62-2d8b-78ec-ba09-2c8ed0038f75</x:v>
      </x:c>
      <x:c r="B2630" s="50" t="str">
        <x:v>TMDX</x:v>
      </x:c>
      <x:c r="C2630" s="70" t="n">
        <x:v>46241.944490497684</x:v>
      </x:c>
      <x:c r="D2630" s="50" t="str">
        <x:v>SWING_SETUP</x:v>
      </x:c>
      <x:c r="E2630" s="50" t="str">
        <x:v>TMDX SWING SETUP</x:v>
      </x:c>
      <x:c r="F2630" s="50" t="str">
        <x:v>WATCH</x:v>
      </x:c>
      <x:c r="G2630" s="50"/>
      <x:c r="H2630" s="50" t="str">
        <x:v>LONG</x:v>
      </x:c>
      <x:c r="I2630" s="71" t="n">
        <x:v>83.5</x:v>
      </x:c>
      <x:c r="J2630" s="76" t="str">
        <x:v>SIP</x:v>
      </x:c>
    </x:row>
    <x:row r="2631">
      <x:c r="A2631" s="50" t="str">
        <x:v>019fde63-1599-7c70-b892-ada969b9b226</x:v>
      </x:c>
      <x:c r="B2631" s="50" t="str">
        <x:v>KO</x:v>
      </x:c>
      <x:c r="C2631" s="70" t="n">
        <x:v>46241.94517806713</x:v>
      </x:c>
      <x:c r="D2631" s="50" t="str">
        <x:v>SWING_SETUP</x:v>
      </x:c>
      <x:c r="E2631" s="50" t="str">
        <x:v>KO SWING SETUP</x:v>
      </x:c>
      <x:c r="F2631" s="50" t="str">
        <x:v>WATCH</x:v>
      </x:c>
      <x:c r="G2631" s="50"/>
      <x:c r="H2631" s="50" t="str">
        <x:v>LONG</x:v>
      </x:c>
      <x:c r="I2631" s="71" t="n">
        <x:v>86.9514</x:v>
      </x:c>
      <x:c r="J2631" s="76" t="str">
        <x:v>SIP</x:v>
      </x:c>
    </x:row>
    <x:row r="2632">
      <x:c r="A2632" s="50" t="str">
        <x:v>019fde63-15ae-78e9-aa15-32f97cdd7c13</x:v>
      </x:c>
      <x:c r="B2632" s="50" t="str">
        <x:v>CEG</x:v>
      </x:c>
      <x:c r="C2632" s="70" t="n">
        <x:v>46241.94517831018</x:v>
      </x:c>
      <x:c r="D2632" s="50" t="str">
        <x:v>SWING_SETUP</x:v>
      </x:c>
      <x:c r="E2632" s="50" t="str">
        <x:v>CEG SWING SETUP</x:v>
      </x:c>
      <x:c r="F2632" s="50" t="str">
        <x:v>WATCH</x:v>
      </x:c>
      <x:c r="G2632" s="50"/>
      <x:c r="H2632" s="50" t="str">
        <x:v>LONG</x:v>
      </x:c>
      <x:c r="I2632" s="71" t="n">
        <x:v>269.9</x:v>
      </x:c>
      <x:c r="J2632" s="76" t="str">
        <x:v>SIP</x:v>
      </x:c>
    </x:row>
    <x:row r="2633">
      <x:c r="A2633" s="50" t="str">
        <x:v>019fde63-15c6-7367-81f7-bdc6a42f232f</x:v>
      </x:c>
      <x:c r="B2633" s="50" t="str">
        <x:v>LMT</x:v>
      </x:c>
      <x:c r="C2633" s="70" t="n">
        <x:v>46241.945178587965</x:v>
      </x:c>
      <x:c r="D2633" s="50" t="str">
        <x:v>SWING_SETUP</x:v>
      </x:c>
      <x:c r="E2633" s="50" t="str">
        <x:v>LMT SWING SETUP</x:v>
      </x:c>
      <x:c r="F2633" s="50" t="str">
        <x:v>WATCH</x:v>
      </x:c>
      <x:c r="G2633" s="50"/>
      <x:c r="H2633" s="50" t="str">
        <x:v>LONG</x:v>
      </x:c>
      <x:c r="I2633" s="71" t="n">
        <x:v>587.92</x:v>
      </x:c>
      <x:c r="J2633" s="76" t="str">
        <x:v>SIP</x:v>
      </x:c>
    </x:row>
    <x:row r="2634">
      <x:c r="A2634" s="50" t="str">
        <x:v>019fde63-1691-7a0d-8347-bc2fae52c9ef</x:v>
      </x:c>
      <x:c r="B2634" s="50" t="str">
        <x:v>APH</x:v>
      </x:c>
      <x:c r="C2634" s="70" t="n">
        <x:v>46241.9451809375</x:v>
      </x:c>
      <x:c r="D2634" s="50" t="str">
        <x:v>SWING_SETUP</x:v>
      </x:c>
      <x:c r="E2634" s="50" t="str">
        <x:v>APH SWING SETUP</x:v>
      </x:c>
      <x:c r="F2634" s="50" t="str">
        <x:v>WATCH</x:v>
      </x:c>
      <x:c r="G2634" s="50"/>
      <x:c r="H2634" s="50" t="str">
        <x:v>LONG</x:v>
      </x:c>
      <x:c r="I2634" s="71" t="n">
        <x:v>169.17</x:v>
      </x:c>
      <x:c r="J2634" s="76" t="str">
        <x:v>SIP</x:v>
      </x:c>
    </x:row>
    <x:row r="2635">
      <x:c r="A2635" s="50" t="str">
        <x:v>019fde64-004c-7d51-9f80-9577a8968b3f</x:v>
      </x:c>
      <x:c r="B2635" s="50" t="str">
        <x:v>PSX</x:v>
      </x:c>
      <x:c r="C2635" s="70" t="n">
        <x:v>46241.94587347222</x:v>
      </x:c>
      <x:c r="D2635" s="50" t="str">
        <x:v>SWING_SETUP</x:v>
      </x:c>
      <x:c r="E2635" s="50" t="str">
        <x:v>PSX SWING SETUP</x:v>
      </x:c>
      <x:c r="F2635" s="50" t="str">
        <x:v>WATCH</x:v>
      </x:c>
      <x:c r="G2635" s="50"/>
      <x:c r="H2635" s="50" t="str">
        <x:v>LONG</x:v>
      </x:c>
      <x:c r="I2635" s="71" t="n">
        <x:v>203.91</x:v>
      </x:c>
      <x:c r="J2635" s="76" t="str">
        <x:v>SIP</x:v>
      </x:c>
    </x:row>
    <x:row r="2636">
      <x:c r="A2636" s="50" t="str">
        <x:v>019fde64-ea2c-731f-b65e-dfe2598cf3d0</x:v>
      </x:c>
      <x:c r="B2636" s="50" t="str">
        <x:v>ACHV</x:v>
      </x:c>
      <x:c r="C2636" s="70" t="n">
        <x:v>46241.94656643519</x:v>
      </x:c>
      <x:c r="D2636" s="50" t="str">
        <x:v>SWING_SETUP</x:v>
      </x:c>
      <x:c r="E2636" s="50" t="str">
        <x:v>ACHV SWING SETUP</x:v>
      </x:c>
      <x:c r="F2636" s="50" t="str">
        <x:v>WATCH</x:v>
      </x:c>
      <x:c r="G2636" s="50"/>
      <x:c r="H2636" s="50" t="str">
        <x:v>LONG</x:v>
      </x:c>
      <x:c r="I2636" s="71" t="n">
        <x:v>6.65</x:v>
      </x:c>
      <x:c r="J2636" s="76" t="str">
        <x:v>SIP</x:v>
      </x:c>
    </x:row>
    <x:row r="2637">
      <x:c r="A2637" s="50" t="str">
        <x:v>019fde64-eb52-7ab4-a829-f25e5757f7bb</x:v>
      </x:c>
      <x:c r="B2637" s="50" t="str">
        <x:v>JD</x:v>
      </x:c>
      <x:c r="C2637" s="70" t="n">
        <x:v>46241.946569837964</x:v>
      </x:c>
      <x:c r="D2637" s="50" t="str">
        <x:v>SWING_SETUP</x:v>
      </x:c>
      <x:c r="E2637" s="50" t="str">
        <x:v>JD SWING SETUP</x:v>
      </x:c>
      <x:c r="F2637" s="50" t="str">
        <x:v>WATCH</x:v>
      </x:c>
      <x:c r="G2637" s="50"/>
      <x:c r="H2637" s="50" t="str">
        <x:v>LONG</x:v>
      </x:c>
      <x:c r="I2637" s="71" t="n">
        <x:v>33</x:v>
      </x:c>
      <x:c r="J2637" s="76" t="str">
        <x:v>SIP</x:v>
      </x:c>
    </x:row>
    <x:row r="2638">
      <x:c r="A2638" s="50" t="str">
        <x:v>019fde64-eb60-7117-8b63-79aefd585b37</x:v>
      </x:c>
      <x:c r="B2638" s="50" t="str">
        <x:v>BAC</x:v>
      </x:c>
      <x:c r="C2638" s="70" t="n">
        <x:v>46241.94657</x:v>
      </x:c>
      <x:c r="D2638" s="50" t="str">
        <x:v>SWING_SETUP</x:v>
      </x:c>
      <x:c r="E2638" s="50" t="str">
        <x:v>BAC SWING SETUP</x:v>
      </x:c>
      <x:c r="F2638" s="50" t="str">
        <x:v>WATCH</x:v>
      </x:c>
      <x:c r="G2638" s="50"/>
      <x:c r="H2638" s="50" t="str">
        <x:v>LONG</x:v>
      </x:c>
      <x:c r="I2638" s="71" t="n">
        <x:v>63.19</x:v>
      </x:c>
      <x:c r="J2638" s="76" t="str">
        <x:v>SIP</x:v>
      </x:c>
    </x:row>
    <x:row r="2639">
      <x:c r="A2639" s="50" t="str">
        <x:v>019fde65-d47c-796f-8076-9a7743e1df00</x:v>
      </x:c>
      <x:c r="B2639" s="50" t="str">
        <x:v>ECL</x:v>
      </x:c>
      <x:c r="C2639" s="70" t="n">
        <x:v>46241.94726069445</x:v>
      </x:c>
      <x:c r="D2639" s="50" t="str">
        <x:v>SWING_SETUP</x:v>
      </x:c>
      <x:c r="E2639" s="50" t="str">
        <x:v>ECL SWING SETUP</x:v>
      </x:c>
      <x:c r="F2639" s="50" t="str">
        <x:v>WATCH</x:v>
      </x:c>
      <x:c r="G2639" s="50"/>
      <x:c r="H2639" s="50" t="str">
        <x:v>LONG</x:v>
      </x:c>
      <x:c r="I2639" s="71" t="n">
        <x:v>285.17</x:v>
      </x:c>
      <x:c r="J2639" s="76" t="str">
        <x:v>SIP</x:v>
      </x:c>
    </x:row>
    <x:row r="2640">
      <x:c r="A2640" s="50" t="str">
        <x:v>019fde65-d4e3-7ee3-b4be-c36ca0441b8f</x:v>
      </x:c>
      <x:c r="B2640" s="50" t="str">
        <x:v>SCHW</x:v>
      </x:c>
      <x:c r="C2640" s="70" t="n">
        <x:v>46241.94726188658</x:v>
      </x:c>
      <x:c r="D2640" s="50" t="str">
        <x:v>SWING_SETUP</x:v>
      </x:c>
      <x:c r="E2640" s="50" t="str">
        <x:v>SCHW SWING SETUP</x:v>
      </x:c>
      <x:c r="F2640" s="50" t="str">
        <x:v>WATCH</x:v>
      </x:c>
      <x:c r="G2640" s="50"/>
      <x:c r="H2640" s="50" t="str">
        <x:v>LONG</x:v>
      </x:c>
      <x:c r="I2640" s="71" t="n">
        <x:v>107.6</x:v>
      </x:c>
      <x:c r="J2640" s="76" t="str">
        <x:v>SIP</x:v>
      </x:c>
    </x:row>
    <x:row r="2641">
      <x:c r="A2641" s="50" t="str">
        <x:v>019fde65-d536-7fff-b436-5cb479440843</x:v>
      </x:c>
      <x:c r="B2641" s="50" t="str">
        <x:v>BKNG</x:v>
      </x:c>
      <x:c r="C2641" s="70" t="n">
        <x:v>46241.94726284722</x:v>
      </x:c>
      <x:c r="D2641" s="50" t="str">
        <x:v>SWING_SETUP</x:v>
      </x:c>
      <x:c r="E2641" s="50" t="str">
        <x:v>BKNG SWING SETUP</x:v>
      </x:c>
      <x:c r="F2641" s="50" t="str">
        <x:v>WATCH</x:v>
      </x:c>
      <x:c r="G2641" s="50"/>
      <x:c r="H2641" s="50" t="str">
        <x:v>LONG</x:v>
      </x:c>
      <x:c r="I2641" s="71" t="n">
        <x:v>213</x:v>
      </x:c>
      <x:c r="J2641" s="76" t="str">
        <x:v>SIP</x:v>
      </x:c>
    </x:row>
    <x:row r="2642">
      <x:c r="A2642" s="50" t="str">
        <x:v>019fde65-d5b4-702e-8d18-771627eba621</x:v>
      </x:c>
      <x:c r="B2642" s="50" t="str">
        <x:v>SE</x:v>
      </x:c>
      <x:c r="C2642" s="70" t="n">
        <x:v>46241.947264305556</x:v>
      </x:c>
      <x:c r="D2642" s="50" t="str">
        <x:v>SWING_SETUP</x:v>
      </x:c>
      <x:c r="E2642" s="50" t="str">
        <x:v>SE SWING SETUP</x:v>
      </x:c>
      <x:c r="F2642" s="50" t="str">
        <x:v>WATCH</x:v>
      </x:c>
      <x:c r="G2642" s="50"/>
      <x:c r="H2642" s="50" t="str">
        <x:v>LONG</x:v>
      </x:c>
      <x:c r="I2642" s="71" t="n">
        <x:v>113.43</x:v>
      </x:c>
      <x:c r="J2642" s="76" t="str">
        <x:v>SIP</x:v>
      </x:c>
    </x:row>
    <x:row r="2643">
      <x:c r="A2643" s="50" t="str">
        <x:v>019fde65-d5d9-7fff-acdc-18dc3dbd5b20</x:v>
      </x:c>
      <x:c r="B2643" s="50" t="str">
        <x:v>ABNB</x:v>
      </x:c>
      <x:c r="C2643" s="70" t="n">
        <x:v>46241.9472647338</x:v>
      </x:c>
      <x:c r="D2643" s="50" t="str">
        <x:v>SWING_SETUP</x:v>
      </x:c>
      <x:c r="E2643" s="50" t="str">
        <x:v>ABNB SWING SETUP</x:v>
      </x:c>
      <x:c r="F2643" s="50" t="str">
        <x:v>WATCH</x:v>
      </x:c>
      <x:c r="G2643" s="50"/>
      <x:c r="H2643" s="50" t="str">
        <x:v>LONG</x:v>
      </x:c>
      <x:c r="I2643" s="71" t="n">
        <x:v>177.7</x:v>
      </x:c>
      <x:c r="J2643" s="76" t="str">
        <x:v>SIP</x:v>
      </x:c>
    </x:row>
    <x:row r="2644">
      <x:c r="A2644" s="50" t="str">
        <x:v>019fde65-d625-7e79-b577-54b433820236</x:v>
      </x:c>
      <x:c r="B2644" s="50" t="str">
        <x:v>DE</x:v>
      </x:c>
      <x:c r="C2644" s="70" t="n">
        <x:v>46241.947265601855</x:v>
      </x:c>
      <x:c r="D2644" s="50" t="str">
        <x:v>SWING_SETUP</x:v>
      </x:c>
      <x:c r="E2644" s="50" t="str">
        <x:v>DE SWING SETUP</x:v>
      </x:c>
      <x:c r="F2644" s="50" t="str">
        <x:v>WATCH</x:v>
      </x:c>
      <x:c r="G2644" s="50"/>
      <x:c r="H2644" s="50" t="str">
        <x:v>LONG</x:v>
      </x:c>
      <x:c r="I2644" s="71" t="n">
        <x:v>620.83</x:v>
      </x:c>
      <x:c r="J2644" s="76" t="str">
        <x:v>SIP</x:v>
      </x:c>
    </x:row>
    <x:row r="2645">
      <x:c r="A2645" s="50" t="str">
        <x:v>019fde65-d6bd-7e59-9754-4c6b3fe53768</x:v>
      </x:c>
      <x:c r="B2645" s="50" t="str">
        <x:v>ABT</x:v>
      </x:c>
      <x:c r="C2645" s="70" t="n">
        <x:v>46241.947267372685</x:v>
      </x:c>
      <x:c r="D2645" s="50" t="str">
        <x:v>SWING_SETUP</x:v>
      </x:c>
      <x:c r="E2645" s="50" t="str">
        <x:v>ABT SWING SETUP</x:v>
      </x:c>
      <x:c r="F2645" s="50" t="str">
        <x:v>WATCH</x:v>
      </x:c>
      <x:c r="G2645" s="50"/>
      <x:c r="H2645" s="50" t="str">
        <x:v>LONG</x:v>
      </x:c>
      <x:c r="I2645" s="71" t="n">
        <x:v>107.81</x:v>
      </x:c>
      <x:c r="J2645" s="76" t="str">
        <x:v>SIP</x:v>
      </x:c>
    </x:row>
    <x:row r="2646">
      <x:c r="A2646" s="50" t="str">
        <x:v>019fde65-d719-7782-85d0-43cf0490aacc</x:v>
      </x:c>
      <x:c r="B2646" s="50" t="str">
        <x:v>MDLZ</x:v>
      </x:c>
      <x:c r="C2646" s="70" t="n">
        <x:v>46241.9472684375</x:v>
      </x:c>
      <x:c r="D2646" s="50" t="str">
        <x:v>SWING_SETUP</x:v>
      </x:c>
      <x:c r="E2646" s="50" t="str">
        <x:v>MDLZ SWING SETUP</x:v>
      </x:c>
      <x:c r="F2646" s="50" t="str">
        <x:v>WATCH</x:v>
      </x:c>
      <x:c r="G2646" s="50"/>
      <x:c r="H2646" s="50" t="str">
        <x:v>LONG</x:v>
      </x:c>
      <x:c r="I2646" s="71" t="n">
        <x:v>62.61</x:v>
      </x:c>
      <x:c r="J2646" s="76" t="str">
        <x:v>SIP</x:v>
      </x:c>
    </x:row>
    <x:row r="2647">
      <x:c r="A2647" s="50" t="str">
        <x:v>019fde66-bdf3-79c8-99bb-a4440c3c7ebc</x:v>
      </x:c>
      <x:c r="B2647" s="50" t="str">
        <x:v>RDW</x:v>
      </x:c>
      <x:c r="C2647" s="70" t="n">
        <x:v>46241.94795244213</x:v>
      </x:c>
      <x:c r="D2647" s="50" t="str">
        <x:v>SWING_SETUP</x:v>
      </x:c>
      <x:c r="E2647" s="50" t="str">
        <x:v>RDW SWING SETUP</x:v>
      </x:c>
      <x:c r="F2647" s="50" t="str">
        <x:v>WATCH</x:v>
      </x:c>
      <x:c r="G2647" s="50"/>
      <x:c r="H2647" s="50" t="str">
        <x:v>LONG</x:v>
      </x:c>
      <x:c r="I2647" s="71" t="n">
        <x:v>13.6</x:v>
      </x:c>
      <x:c r="J2647" s="76" t="str">
        <x:v>SIP</x:v>
      </x:c>
    </x:row>
    <x:row r="2648">
      <x:c r="A2648" s="50" t="str">
        <x:v>019fde66-c000-7568-8ef9-7bc381eae4be</x:v>
      </x:c>
      <x:c r="B2648" s="50" t="str">
        <x:v>RCL</x:v>
      </x:c>
      <x:c r="C2648" s="70" t="n">
        <x:v>46241.94795851852</x:v>
      </x:c>
      <x:c r="D2648" s="50" t="str">
        <x:v>SWING_SETUP</x:v>
      </x:c>
      <x:c r="E2648" s="50" t="str">
        <x:v>RCL SWING SETUP</x:v>
      </x:c>
      <x:c r="F2648" s="50" t="str">
        <x:v>WATCH</x:v>
      </x:c>
      <x:c r="G2648" s="50"/>
      <x:c r="H2648" s="50" t="str">
        <x:v>LONG</x:v>
      </x:c>
      <x:c r="I2648" s="71" t="n">
        <x:v>320</x:v>
      </x:c>
      <x:c r="J2648" s="76" t="str">
        <x:v>SIP</x:v>
      </x:c>
    </x:row>
    <x:row r="2649">
      <x:c r="A2649" s="50" t="str">
        <x:v>019fde66-c03f-71da-9aed-9ccb42a902c8</x:v>
      </x:c>
      <x:c r="B2649" s="50" t="str">
        <x:v>BLFS</x:v>
      </x:c>
      <x:c r="C2649" s="70" t="n">
        <x:v>46241.947959247686</x:v>
      </x:c>
      <x:c r="D2649" s="50" t="str">
        <x:v>SWING_SETUP</x:v>
      </x:c>
      <x:c r="E2649" s="50" t="str">
        <x:v>BLFS SWING SETUP</x:v>
      </x:c>
      <x:c r="F2649" s="50" t="str">
        <x:v>WATCH</x:v>
      </x:c>
      <x:c r="G2649" s="50"/>
      <x:c r="H2649" s="50" t="str">
        <x:v>LONG</x:v>
      </x:c>
      <x:c r="I2649" s="71" t="n">
        <x:v>34.645</x:v>
      </x:c>
      <x:c r="J2649" s="76" t="str">
        <x:v>SIP</x:v>
      </x:c>
    </x:row>
    <x:row r="2650">
      <x:c r="A2650" s="50" t="str">
        <x:v>019fde66-c0b5-7ba1-aff3-41acecbb94bf</x:v>
      </x:c>
      <x:c r="B2650" s="50" t="str">
        <x:v>SNOW</x:v>
      </x:c>
      <x:c r="C2650" s="70" t="n">
        <x:v>46241.94796061343</x:v>
      </x:c>
      <x:c r="D2650" s="50" t="str">
        <x:v>SWING_SETUP</x:v>
      </x:c>
      <x:c r="E2650" s="50" t="str">
        <x:v>SNOW SWING SETUP</x:v>
      </x:c>
      <x:c r="F2650" s="50" t="str">
        <x:v>WATCH</x:v>
      </x:c>
      <x:c r="G2650" s="50"/>
      <x:c r="H2650" s="50" t="str">
        <x:v>LONG</x:v>
      </x:c>
      <x:c r="I2650" s="71" t="n">
        <x:v>330.1</x:v>
      </x:c>
      <x:c r="J2650" s="76" t="str">
        <x:v>SIP</x:v>
      </x:c>
    </x:row>
    <x:row r="2651">
      <x:c r="A2651" s="50" t="str">
        <x:v>019fde67-a90b-73d2-99d7-a836b86d83d7</x:v>
      </x:c>
      <x:c r="B2651" s="50" t="str">
        <x:v>PLTR</x:v>
      </x:c>
      <x:c r="C2651" s="70" t="n">
        <x:v>46241.9486490162</x:v>
      </x:c>
      <x:c r="D2651" s="50" t="str">
        <x:v>SWING_SETUP</x:v>
      </x:c>
      <x:c r="E2651" s="50" t="str">
        <x:v>PLTR SWING SETUP</x:v>
      </x:c>
      <x:c r="F2651" s="50" t="str">
        <x:v>WATCH</x:v>
      </x:c>
      <x:c r="G2651" s="50"/>
      <x:c r="H2651" s="50" t="str">
        <x:v>LONG</x:v>
      </x:c>
      <x:c r="I2651" s="71" t="n">
        <x:v>171.35</x:v>
      </x:c>
      <x:c r="J2651" s="76" t="str">
        <x:v>SIP</x:v>
      </x:c>
    </x:row>
    <x:row r="2652">
      <x:c r="A2652" s="50" t="str">
        <x:v>019fde67-a9ff-7d68-a42f-b6b47e95448c</x:v>
      </x:c>
      <x:c r="B2652" s="50" t="str">
        <x:v>WFC</x:v>
      </x:c>
      <x:c r="C2652" s="70" t="n">
        <x:v>46241.94865184028</x:v>
      </x:c>
      <x:c r="D2652" s="50" t="str">
        <x:v>SWING_SETUP</x:v>
      </x:c>
      <x:c r="E2652" s="50" t="str">
        <x:v>WFC SWING SETUP</x:v>
      </x:c>
      <x:c r="F2652" s="50" t="str">
        <x:v>WATCH</x:v>
      </x:c>
      <x:c r="G2652" s="50"/>
      <x:c r="H2652" s="50" t="str">
        <x:v>LONG</x:v>
      </x:c>
      <x:c r="I2652" s="71" t="n">
        <x:v>87.235</x:v>
      </x:c>
      <x:c r="J2652" s="76" t="str">
        <x:v>SIP</x:v>
      </x:c>
    </x:row>
    <x:row r="2653">
      <x:c r="A2653" s="50" t="str">
        <x:v>019fde67-aa42-7209-b285-9bac4a9fc098</x:v>
      </x:c>
      <x:c r="B2653" s="50" t="str">
        <x:v>UEC</x:v>
      </x:c>
      <x:c r="C2653" s="70" t="n">
        <x:v>46241.94865261574</x:v>
      </x:c>
      <x:c r="D2653" s="50" t="str">
        <x:v>SWING_SETUP</x:v>
      </x:c>
      <x:c r="E2653" s="50" t="str">
        <x:v>UEC SWING SETUP</x:v>
      </x:c>
      <x:c r="F2653" s="50" t="str">
        <x:v>WATCH</x:v>
      </x:c>
      <x:c r="G2653" s="50"/>
      <x:c r="H2653" s="50" t="str">
        <x:v>LONG</x:v>
      </x:c>
      <x:c r="I2653" s="71" t="n">
        <x:v>11.2707</x:v>
      </x:c>
      <x:c r="J2653" s="76" t="str">
        <x:v>SIP</x:v>
      </x:c>
    </x:row>
    <x:row r="2654">
      <x:c r="A2654" s="50" t="str">
        <x:v>019fde67-ab04-724b-9a50-825a86c8e133</x:v>
      </x:c>
      <x:c r="B2654" s="50" t="str">
        <x:v>TGT</x:v>
      </x:c>
      <x:c r="C2654" s="70" t="n">
        <x:v>46241.94865486111</x:v>
      </x:c>
      <x:c r="D2654" s="50" t="str">
        <x:v>SWING_SETUP</x:v>
      </x:c>
      <x:c r="E2654" s="50" t="str">
        <x:v>TGT SWING SETUP</x:v>
      </x:c>
      <x:c r="F2654" s="50" t="str">
        <x:v>WATCH</x:v>
      </x:c>
      <x:c r="G2654" s="50"/>
      <x:c r="H2654" s="50" t="str">
        <x:v>LONG</x:v>
      </x:c>
      <x:c r="I2654" s="71" t="n">
        <x:v>149.6</x:v>
      </x:c>
      <x:c r="J2654" s="76" t="str">
        <x:v>SIP</x:v>
      </x:c>
    </x:row>
    <x:row r="2655">
      <x:c r="A2655" s="50" t="str">
        <x:v>019fde67-abfb-7cba-a217-13a7cafc44a9</x:v>
      </x:c>
      <x:c r="B2655" s="50" t="str">
        <x:v>AMZN</x:v>
      </x:c>
      <x:c r="C2655" s="70" t="n">
        <x:v>46241.948657719906</x:v>
      </x:c>
      <x:c r="D2655" s="50" t="str">
        <x:v>SWING_SETUP</x:v>
      </x:c>
      <x:c r="E2655" s="50" t="str">
        <x:v>AMZN SWING SETUP</x:v>
      </x:c>
      <x:c r="F2655" s="50" t="str">
        <x:v>WATCH</x:v>
      </x:c>
      <x:c r="G2655" s="50"/>
      <x:c r="H2655" s="50" t="str">
        <x:v>LONG</x:v>
      </x:c>
      <x:c r="I2655" s="71" t="n">
        <x:v>274.4</x:v>
      </x:c>
      <x:c r="J2655" s="76" t="str">
        <x:v>SIP</x:v>
      </x:c>
    </x:row>
    <x:row r="2656">
      <x:c r="A2656" s="50" t="str">
        <x:v>019fde68-94a6-7aae-97e9-c935e2fc4003</x:v>
      </x:c>
      <x:c r="B2656" s="50" t="str">
        <x:v>VZ</x:v>
      </x:c>
      <x:c r="C2656" s="70" t="n">
        <x:v>46241.94934710648</x:v>
      </x:c>
      <x:c r="D2656" s="50" t="str">
        <x:v>LONG_BUY_ZONE</x:v>
      </x:c>
      <x:c r="E2656" s="50" t="str">
        <x:v>VZ LONG BUY ZONE</x:v>
      </x:c>
      <x:c r="F2656" s="50" t="str">
        <x:v>WATCH</x:v>
      </x:c>
      <x:c r="G2656" s="50"/>
      <x:c r="H2656" s="50" t="str">
        <x:v>LONG</x:v>
      </x:c>
      <x:c r="I2656" s="71" t="n">
        <x:v>47.02</x:v>
      </x:c>
      <x:c r="J2656" s="76" t="str">
        <x:v>SIP</x:v>
      </x:c>
    </x:row>
    <x:row r="2657">
      <x:c r="A2657" s="50" t="str">
        <x:v>019fde68-94b9-7031-a722-54ce596446b0</x:v>
      </x:c>
      <x:c r="B2657" s="50" t="str">
        <x:v>NUE</x:v>
      </x:c>
      <x:c r="C2657" s="70" t="n">
        <x:v>46241.94934732639</x:v>
      </x:c>
      <x:c r="D2657" s="50" t="str">
        <x:v>SWING_SETUP</x:v>
      </x:c>
      <x:c r="E2657" s="50" t="str">
        <x:v>NUE SWING SETUP</x:v>
      </x:c>
      <x:c r="F2657" s="50" t="str">
        <x:v>WATCH</x:v>
      </x:c>
      <x:c r="G2657" s="50"/>
      <x:c r="H2657" s="50" t="str">
        <x:v>LONG</x:v>
      </x:c>
      <x:c r="I2657" s="71" t="n">
        <x:v>272.57</x:v>
      </x:c>
      <x:c r="J2657" s="76" t="str">
        <x:v>SIP</x:v>
      </x:c>
    </x:row>
    <x:row r="2658">
      <x:c r="A2658" s="50" t="str">
        <x:v>019fde68-94f3-72bd-9050-8f0fab991848</x:v>
      </x:c>
      <x:c r="B2658" s="50" t="str">
        <x:v>DLR</x:v>
      </x:c>
      <x:c r="C2658" s="70" t="n">
        <x:v>46241.94934799769</x:v>
      </x:c>
      <x:c r="D2658" s="50" t="str">
        <x:v>SWING_SETUP</x:v>
      </x:c>
      <x:c r="E2658" s="50" t="str">
        <x:v>DLR SWING SETUP</x:v>
      </x:c>
      <x:c r="F2658" s="50" t="str">
        <x:v>WATCH</x:v>
      </x:c>
      <x:c r="G2658" s="50"/>
      <x:c r="H2658" s="50" t="str">
        <x:v>LONG</x:v>
      </x:c>
      <x:c r="I2658" s="71" t="n">
        <x:v>193.8</x:v>
      </x:c>
      <x:c r="J2658" s="76" t="str">
        <x:v>SIP</x:v>
      </x:c>
    </x:row>
    <x:row r="2659">
      <x:c r="A2659" s="50" t="str">
        <x:v>019fde68-9572-7f64-86a1-aceca1e18446</x:v>
      </x:c>
      <x:c r="B2659" s="50" t="str">
        <x:v>PM</x:v>
      </x:c>
      <x:c r="C2659" s="70" t="n">
        <x:v>46241.94934946759</x:v>
      </x:c>
      <x:c r="D2659" s="50" t="str">
        <x:v>SWING_SETUP</x:v>
      </x:c>
      <x:c r="E2659" s="50" t="str">
        <x:v>PM SWING SETUP</x:v>
      </x:c>
      <x:c r="F2659" s="50" t="str">
        <x:v>WATCH</x:v>
      </x:c>
      <x:c r="G2659" s="50"/>
      <x:c r="H2659" s="50" t="str">
        <x:v>LONG</x:v>
      </x:c>
      <x:c r="I2659" s="71" t="n">
        <x:v>189.57</x:v>
      </x:c>
      <x:c r="J2659" s="76" t="str">
        <x:v>SIP</x:v>
      </x:c>
    </x:row>
    <x:row r="2660">
      <x:c r="A2660" s="50" t="str">
        <x:v>019fde68-95d9-7c43-a181-d8b6db20f16b</x:v>
      </x:c>
      <x:c r="B2660" s="50" t="str">
        <x:v>MMM</x:v>
      </x:c>
      <x:c r="C2660" s="70" t="n">
        <x:v>46241.94935065972</x:v>
      </x:c>
      <x:c r="D2660" s="50" t="str">
        <x:v>SWING_SETUP</x:v>
      </x:c>
      <x:c r="E2660" s="50" t="str">
        <x:v>MMM SWING SETUP</x:v>
      </x:c>
      <x:c r="F2660" s="50" t="str">
        <x:v>WATCH</x:v>
      </x:c>
      <x:c r="G2660" s="50"/>
      <x:c r="H2660" s="50" t="str">
        <x:v>LONG</x:v>
      </x:c>
      <x:c r="I2660" s="71" t="n">
        <x:v>182.89</x:v>
      </x:c>
      <x:c r="J2660" s="76" t="str">
        <x:v>SIP</x:v>
      </x:c>
    </x:row>
    <x:row r="2661">
      <x:c r="A2661" s="50" t="str">
        <x:v>019fde68-9640-7908-b663-bb7a70e410db</x:v>
      </x:c>
      <x:c r="B2661" s="50" t="str">
        <x:v>RTX</x:v>
      </x:c>
      <x:c r="C2661" s="70" t="n">
        <x:v>46241.94935185185</x:v>
      </x:c>
      <x:c r="D2661" s="50" t="str">
        <x:v>SWING_SETUP</x:v>
      </x:c>
      <x:c r="E2661" s="50" t="str">
        <x:v>RTX SWING SETUP</x:v>
      </x:c>
      <x:c r="F2661" s="50" t="str">
        <x:v>WATCH</x:v>
      </x:c>
      <x:c r="G2661" s="50"/>
      <x:c r="H2661" s="50" t="str">
        <x:v>LONG</x:v>
      </x:c>
      <x:c r="I2661" s="71" t="n">
        <x:v>223.65</x:v>
      </x:c>
      <x:c r="J2661" s="76" t="str">
        <x:v>SIP</x:v>
      </x:c>
    </x:row>
    <x:row r="2662">
      <x:c r="A2662" s="50" t="str">
        <x:v>019fde68-9652-733c-9cca-1eebd068cbff</x:v>
      </x:c>
      <x:c r="B2662" s="50" t="str">
        <x:v>BLK</x:v>
      </x:c>
      <x:c r="C2662" s="70" t="n">
        <x:v>46241.94935206018</x:v>
      </x:c>
      <x:c r="D2662" s="50" t="str">
        <x:v>SWING_SETUP</x:v>
      </x:c>
      <x:c r="E2662" s="50" t="str">
        <x:v>BLK SWING SETUP</x:v>
      </x:c>
      <x:c r="F2662" s="50" t="str">
        <x:v>WATCH</x:v>
      </x:c>
      <x:c r="G2662" s="50"/>
      <x:c r="H2662" s="50" t="str">
        <x:v>LONG</x:v>
      </x:c>
      <x:c r="I2662" s="71" t="n">
        <x:v>1136.4</x:v>
      </x:c>
      <x:c r="J2662" s="76" t="str">
        <x:v>SIP</x:v>
      </x:c>
    </x:row>
    <x:row r="2663">
      <x:c r="A2663" s="50" t="str">
        <x:v>019fde69-7e45-7b69-bc7e-69a01a627a6c</x:v>
      </x:c>
      <x:c r="B2663" s="50" t="str">
        <x:v>BABA</x:v>
      </x:c>
      <x:c r="C2663" s="70" t="n">
        <x:v>46241.95003931713</x:v>
      </x:c>
      <x:c r="D2663" s="50" t="str">
        <x:v>SWING_SETUP</x:v>
      </x:c>
      <x:c r="E2663" s="50" t="str">
        <x:v>BABA SWING SETUP</x:v>
      </x:c>
      <x:c r="F2663" s="50" t="str">
        <x:v>WATCH</x:v>
      </x:c>
      <x:c r="G2663" s="50"/>
      <x:c r="H2663" s="50" t="str">
        <x:v>LONG</x:v>
      </x:c>
      <x:c r="I2663" s="71" t="n">
        <x:v>128.3</x:v>
      </x:c>
      <x:c r="J2663" s="76" t="str">
        <x:v>SIP</x:v>
      </x:c>
    </x:row>
    <x:row r="2664">
      <x:c r="A2664" s="50" t="str">
        <x:v>019fde6a-6933-7eca-bb91-ee788bb670f4</x:v>
      </x:c>
      <x:c r="B2664" s="50" t="str">
        <x:v>TMO</x:v>
      </x:c>
      <x:c r="C2664" s="70" t="n">
        <x:v>46241.950735405095</x:v>
      </x:c>
      <x:c r="D2664" s="50" t="str">
        <x:v>SWING_SETUP</x:v>
      </x:c>
      <x:c r="E2664" s="50" t="str">
        <x:v>TMO SWING SETUP</x:v>
      </x:c>
      <x:c r="F2664" s="50" t="str">
        <x:v>WATCH</x:v>
      </x:c>
      <x:c r="G2664" s="50"/>
      <x:c r="H2664" s="50" t="str">
        <x:v>LONG</x:v>
      </x:c>
      <x:c r="I2664" s="71" t="n">
        <x:v>594</x:v>
      </x:c>
      <x:c r="J2664" s="76" t="str">
        <x:v>SIP</x:v>
      </x:c>
    </x:row>
    <x:row r="2665">
      <x:c r="A2665" s="50" t="str">
        <x:v>019fde6a-6a38-7c5d-8a6a-6d3bc881bdc9</x:v>
      </x:c>
      <x:c r="B2665" s="50" t="str">
        <x:v>CROX</x:v>
      </x:c>
      <x:c r="C2665" s="70" t="n">
        <x:v>46241.95073842593</x:v>
      </x:c>
      <x:c r="D2665" s="50" t="str">
        <x:v>SWING_SETUP</x:v>
      </x:c>
      <x:c r="E2665" s="50" t="str">
        <x:v>CROX SWING SETUP</x:v>
      </x:c>
      <x:c r="F2665" s="50" t="str">
        <x:v>WATCH</x:v>
      </x:c>
      <x:c r="G2665" s="50"/>
      <x:c r="H2665" s="50" t="str">
        <x:v>LONG</x:v>
      </x:c>
      <x:c r="I2665" s="71" t="n">
        <x:v>136.56</x:v>
      </x:c>
      <x:c r="J2665" s="76" t="str">
        <x:v>SIP</x:v>
      </x:c>
    </x:row>
    <x:row r="2666">
      <x:c r="A2666" s="50" t="str">
        <x:v>019fde6a-6a7b-7d92-9f6c-bbbd24d833a9</x:v>
      </x:c>
      <x:c r="B2666" s="50" t="str">
        <x:v>SHW</x:v>
      </x:c>
      <x:c r="C2666" s="70" t="n">
        <x:v>46241.95073920139</x:v>
      </x:c>
      <x:c r="D2666" s="50" t="str">
        <x:v>SWING_SETUP</x:v>
      </x:c>
      <x:c r="E2666" s="50" t="str">
        <x:v>SHW SWING SETUP</x:v>
      </x:c>
      <x:c r="F2666" s="50" t="str">
        <x:v>WATCH</x:v>
      </x:c>
      <x:c r="G2666" s="50"/>
      <x:c r="H2666" s="50" t="str">
        <x:v>LONG</x:v>
      </x:c>
      <x:c r="I2666" s="71" t="n">
        <x:v>369.73</x:v>
      </x:c>
      <x:c r="J2666" s="76" t="str">
        <x:v>SIP</x:v>
      </x:c>
    </x:row>
    <x:row r="2667">
      <x:c r="A2667" s="50" t="str">
        <x:v>019fde6b-5381-70d3-89ee-be2a708bd08f</x:v>
      </x:c>
      <x:c r="B2667" s="50" t="str">
        <x:v>MRK</x:v>
      </x:c>
      <x:c r="C2667" s="70" t="n">
        <x:v>46241.9514296412</x:v>
      </x:c>
      <x:c r="D2667" s="50" t="str">
        <x:v>SWING_SETUP</x:v>
      </x:c>
      <x:c r="E2667" s="50" t="str">
        <x:v>MRK SWING SETUP</x:v>
      </x:c>
      <x:c r="F2667" s="50" t="str">
        <x:v>WATCH</x:v>
      </x:c>
      <x:c r="G2667" s="50"/>
      <x:c r="H2667" s="50" t="str">
        <x:v>LONG</x:v>
      </x:c>
      <x:c r="I2667" s="71" t="n">
        <x:v>128.57</x:v>
      </x:c>
      <x:c r="J2667" s="76" t="str">
        <x:v>SIP</x:v>
      </x:c>
    </x:row>
    <x:row r="2668">
      <x:c r="A2668" s="50" t="str">
        <x:v>019fde6b-548b-7f27-940f-ff47e4c4cae1</x:v>
      </x:c>
      <x:c r="B2668" s="50" t="str">
        <x:v>NXE</x:v>
      </x:c>
      <x:c r="C2668" s="70" t="n">
        <x:v>46241.95143271991</x:v>
      </x:c>
      <x:c r="D2668" s="50" t="str">
        <x:v>SWING_SETUP</x:v>
      </x:c>
      <x:c r="E2668" s="50" t="str">
        <x:v>NXE SWING SETUP</x:v>
      </x:c>
      <x:c r="F2668" s="50" t="str">
        <x:v>WATCH</x:v>
      </x:c>
      <x:c r="G2668" s="50"/>
      <x:c r="H2668" s="50" t="str">
        <x:v>LONG</x:v>
      </x:c>
      <x:c r="I2668" s="71" t="n">
        <x:v>10.4899</x:v>
      </x:c>
      <x:c r="J2668" s="76" t="str">
        <x:v>SIP</x:v>
      </x:c>
    </x:row>
    <x:row r="2669">
      <x:c r="A2669" s="50" t="str">
        <x:v>019fde6b-550e-7711-ac42-dbf007a1b4c8</x:v>
      </x:c>
      <x:c r="B2669" s="50" t="str">
        <x:v>AMGN</x:v>
      </x:c>
      <x:c r="C2669" s="70" t="n">
        <x:v>46241.951434236114</x:v>
      </x:c>
      <x:c r="D2669" s="50" t="str">
        <x:v>SWING_SETUP</x:v>
      </x:c>
      <x:c r="E2669" s="50" t="str">
        <x:v>AMGN SWING SETUP</x:v>
      </x:c>
      <x:c r="F2669" s="50" t="str">
        <x:v>WATCH</x:v>
      </x:c>
      <x:c r="G2669" s="50"/>
      <x:c r="H2669" s="50" t="str">
        <x:v>LONG</x:v>
      </x:c>
      <x:c r="I2669" s="71" t="n">
        <x:v>410.35</x:v>
      </x:c>
      <x:c r="J2669" s="76" t="str">
        <x:v>SIP</x:v>
      </x:c>
    </x:row>
    <x:row r="2670">
      <x:c r="A2670" s="50" t="str">
        <x:v>019fde6c-3e87-7c76-b490-117b1b9a39f5</x:v>
      </x:c>
      <x:c r="B2670" s="50" t="str">
        <x:v>VZ</x:v>
      </x:c>
      <x:c r="C2670" s="70" t="n">
        <x:v>46241.952126006945</x:v>
      </x:c>
      <x:c r="D2670" s="50" t="str">
        <x:v>SWING_SETUP</x:v>
      </x:c>
      <x:c r="E2670" s="50" t="str">
        <x:v>VZ SWING SETUP</x:v>
      </x:c>
      <x:c r="F2670" s="50" t="str">
        <x:v>WATCH</x:v>
      </x:c>
      <x:c r="G2670" s="50"/>
      <x:c r="H2670" s="50" t="str">
        <x:v>LONG</x:v>
      </x:c>
      <x:c r="I2670" s="71" t="n">
        <x:v>47.01</x:v>
      </x:c>
      <x:c r="J2670" s="76" t="str">
        <x:v>SIP</x:v>
      </x:c>
    </x:row>
    <x:row r="2671">
      <x:c r="A2671" s="50" t="str">
        <x:v>019fde6d-2946-7c4f-9b37-3f18e9463bf6</x:v>
      </x:c>
      <x:c r="B2671" s="50" t="str">
        <x:v>BMY</x:v>
      </x:c>
      <x:c r="C2671" s="70" t="n">
        <x:v>46241.95282155093</x:v>
      </x:c>
      <x:c r="D2671" s="50" t="str">
        <x:v>SWING_SETUP</x:v>
      </x:c>
      <x:c r="E2671" s="50" t="str">
        <x:v>BMY SWING SETUP</x:v>
      </x:c>
      <x:c r="F2671" s="50" t="str">
        <x:v>WATCH</x:v>
      </x:c>
      <x:c r="G2671" s="50"/>
      <x:c r="H2671" s="50" t="str">
        <x:v>LONG</x:v>
      </x:c>
      <x:c r="I2671" s="71" t="n">
        <x:v>64.69</x:v>
      </x:c>
      <x:c r="J2671" s="76" t="str">
        <x:v>SIP</x:v>
      </x:c>
    </x:row>
    <x:row r="2672">
      <x:c r="A2672" s="50" t="str">
        <x:v>019fde6d-2a1f-74c3-822e-e824bb10229a</x:v>
      </x:c>
      <x:c r="B2672" s="50" t="str">
        <x:v>ETHA</x:v>
      </x:c>
      <x:c r="C2672" s="70" t="n">
        <x:v>46241.9528240625</x:v>
      </x:c>
      <x:c r="D2672" s="50" t="str">
        <x:v>SWING_SETUP</x:v>
      </x:c>
      <x:c r="E2672" s="50" t="str">
        <x:v>ETHA SWING SETUP</x:v>
      </x:c>
      <x:c r="F2672" s="50" t="str">
        <x:v>WATCH</x:v>
      </x:c>
      <x:c r="G2672" s="50"/>
      <x:c r="H2672" s="50" t="str">
        <x:v>LONG</x:v>
      </x:c>
      <x:c r="I2672" s="71" t="n">
        <x:v>14.48</x:v>
      </x:c>
      <x:c r="J2672" s="76" t="str">
        <x:v>SIP</x:v>
      </x:c>
    </x:row>
    <x:row r="2673">
      <x:c r="A2673" s="50" t="str">
        <x:v>019fde6e-11d5-78c7-baf9-3903273502be</x:v>
      </x:c>
      <x:c r="B2673" s="50" t="str">
        <x:v>PFE</x:v>
      </x:c>
      <x:c r="C2673" s="70" t="n">
        <x:v>46241.95351061343</x:v>
      </x:c>
      <x:c r="D2673" s="50" t="str">
        <x:v>SWING_SETUP</x:v>
      </x:c>
      <x:c r="E2673" s="50" t="str">
        <x:v>PFE SWING SETUP</x:v>
      </x:c>
      <x:c r="F2673" s="50" t="str">
        <x:v>WATCH</x:v>
      </x:c>
      <x:c r="G2673" s="50"/>
      <x:c r="H2673" s="50" t="str">
        <x:v>LONG</x:v>
      </x:c>
      <x:c r="I2673" s="71" t="n">
        <x:v>26.61</x:v>
      </x:c>
      <x:c r="J2673" s="76" t="str">
        <x:v>SIP</x:v>
      </x:c>
    </x:row>
    <x:row r="2674">
      <x:c r="A2674" s="50" t="str">
        <x:v>019fde6e-1296-74c5-974a-fcf22efd5750</x:v>
      </x:c>
      <x:c r="B2674" s="50" t="str">
        <x:v>NOC</x:v>
      </x:c>
      <x:c r="C2674" s="70" t="n">
        <x:v>46241.95351284722</x:v>
      </x:c>
      <x:c r="D2674" s="50" t="str">
        <x:v>SWING_SETUP</x:v>
      </x:c>
      <x:c r="E2674" s="50" t="str">
        <x:v>NOC SWING SETUP</x:v>
      </x:c>
      <x:c r="F2674" s="50" t="str">
        <x:v>WATCH</x:v>
      </x:c>
      <x:c r="G2674" s="50"/>
      <x:c r="H2674" s="50" t="str">
        <x:v>LONG</x:v>
      </x:c>
      <x:c r="I2674" s="71" t="n">
        <x:v>571.58</x:v>
      </x:c>
      <x:c r="J2674" s="76" t="str">
        <x:v>SIP</x:v>
      </x:c>
    </x:row>
    <x:row r="2675">
      <x:c r="A2675" s="50" t="str">
        <x:v>019fde6e-fb8f-752a-a3c8-ab2fee466ed7</x:v>
      </x:c>
      <x:c r="B2675" s="50" t="str">
        <x:v>TSLA</x:v>
      </x:c>
      <x:c r="C2675" s="70" t="n">
        <x:v>46241.95420313657</x:v>
      </x:c>
      <x:c r="D2675" s="50" t="str">
        <x:v>BEARISH_CONSENSUS</x:v>
      </x:c>
      <x:c r="E2675" s="50" t="str">
        <x:v>TSLA BEARISH CONSENSUS</x:v>
      </x:c>
      <x:c r="F2675" s="50" t="str">
        <x:v>ACTION</x:v>
      </x:c>
      <x:c r="G2675" s="50"/>
      <x:c r="H2675" s="50" t="str">
        <x:v>SHORT</x:v>
      </x:c>
      <x:c r="I2675" s="71" t="n">
        <x:v>328.29</x:v>
      </x:c>
      <x:c r="J2675" s="76" t="str">
        <x:v>SIP</x:v>
      </x:c>
    </x:row>
    <x:row r="2676">
      <x:c r="A2676" s="50" t="str">
        <x:v>019fde6e-fbf9-746b-bd57-6a5bd56e8891</x:v>
      </x:c>
      <x:c r="B2676" s="50" t="str">
        <x:v>ABBV</x:v>
      </x:c>
      <x:c r="C2676" s="70" t="n">
        <x:v>46241.95420435185</x:v>
      </x:c>
      <x:c r="D2676" s="50" t="str">
        <x:v>LONG_BUY_ZONE</x:v>
      </x:c>
      <x:c r="E2676" s="50" t="str">
        <x:v>ABBV LONG BUY ZONE</x:v>
      </x:c>
      <x:c r="F2676" s="50" t="str">
        <x:v>WATCH</x:v>
      </x:c>
      <x:c r="G2676" s="50"/>
      <x:c r="H2676" s="50" t="str">
        <x:v>LONG</x:v>
      </x:c>
      <x:c r="I2676" s="71" t="n">
        <x:v>245.89</x:v>
      </x:c>
      <x:c r="J2676" s="76" t="str">
        <x:v>SIP</x:v>
      </x:c>
    </x:row>
    <x:row r="2677">
      <x:c r="A2677" s="50" t="str">
        <x:v>019fde6e-fd67-73a7-a099-0bddb7020315</x:v>
      </x:c>
      <x:c r="B2677" s="50" t="str">
        <x:v>APH</x:v>
      </x:c>
      <x:c r="C2677" s="70" t="n">
        <x:v>46241.954208599534</x:v>
      </x:c>
      <x:c r="D2677" s="50" t="str">
        <x:v>LONG_BUY_ZONE</x:v>
      </x:c>
      <x:c r="E2677" s="50" t="str">
        <x:v>APH LONG BUY ZONE</x:v>
      </x:c>
      <x:c r="F2677" s="50" t="str">
        <x:v>WATCH</x:v>
      </x:c>
      <x:c r="G2677" s="50"/>
      <x:c r="H2677" s="50" t="str">
        <x:v>LONG</x:v>
      </x:c>
      <x:c r="I2677" s="71" t="n">
        <x:v>169.5831</x:v>
      </x:c>
      <x:c r="J2677" s="76" t="str">
        <x:v>SIP</x:v>
      </x:c>
    </x:row>
    <x:row r="2678">
      <x:c r="A2678" s="50" t="str">
        <x:v>019fde6e-fe63-7a1c-a3ea-a6e98df914f3</x:v>
      </x:c>
      <x:c r="B2678" s="50" t="str">
        <x:v>APA</x:v>
      </x:c>
      <x:c r="C2678" s="70" t="n">
        <x:v>46241.954211516204</x:v>
      </x:c>
      <x:c r="D2678" s="50" t="str">
        <x:v>SWING_SETUP</x:v>
      </x:c>
      <x:c r="E2678" s="50" t="str">
        <x:v>APA SWING SETUP</x:v>
      </x:c>
      <x:c r="F2678" s="50" t="str">
        <x:v>WATCH</x:v>
      </x:c>
      <x:c r="G2678" s="50"/>
      <x:c r="H2678" s="50" t="str">
        <x:v>LONG</x:v>
      </x:c>
      <x:c r="I2678" s="71" t="n">
        <x:v>37.648</x:v>
      </x:c>
      <x:c r="J2678" s="76" t="str">
        <x:v>SIP</x:v>
      </x:c>
    </x:row>
    <x:row r="2679">
      <x:c r="A2679" s="50" t="str">
        <x:v>019fde6e-fe69-77f1-b43b-0255ea13749e</x:v>
      </x:c>
      <x:c r="B2679" s="50" t="str">
        <x:v>WELL</x:v>
      </x:c>
      <x:c r="C2679" s="70" t="n">
        <x:v>46241.954211585646</x:v>
      </x:c>
      <x:c r="D2679" s="50" t="str">
        <x:v>SWING_SETUP</x:v>
      </x:c>
      <x:c r="E2679" s="50" t="str">
        <x:v>WELL SWING SETUP</x:v>
      </x:c>
      <x:c r="F2679" s="50" t="str">
        <x:v>WATCH</x:v>
      </x:c>
      <x:c r="G2679" s="50"/>
      <x:c r="H2679" s="50" t="str">
        <x:v>LONG</x:v>
      </x:c>
      <x:c r="I2679" s="71" t="n">
        <x:v>236.92</x:v>
      </x:c>
      <x:c r="J2679" s="76" t="str">
        <x:v>SIP</x:v>
      </x:c>
    </x:row>
    <x:row r="2680">
      <x:c r="A2680" s="50" t="str">
        <x:v>019fde6e-ff13-7d8a-b76c-c955ae92f425</x:v>
      </x:c>
      <x:c r="B2680" s="50" t="str">
        <x:v>ANET</x:v>
      </x:c>
      <x:c r="C2680" s="70" t="n">
        <x:v>46241.95421355324</x:v>
      </x:c>
      <x:c r="D2680" s="50" t="str">
        <x:v>SWING_SETUP</x:v>
      </x:c>
      <x:c r="E2680" s="50" t="str">
        <x:v>ANET SWING SETUP</x:v>
      </x:c>
      <x:c r="F2680" s="50" t="str">
        <x:v>WATCH</x:v>
      </x:c>
      <x:c r="G2680" s="50"/>
      <x:c r="H2680" s="50" t="str">
        <x:v>LONG</x:v>
      </x:c>
      <x:c r="I2680" s="71" t="n">
        <x:v>188.86</x:v>
      </x:c>
      <x:c r="J2680" s="76" t="str">
        <x:v>SIP</x:v>
      </x:c>
    </x:row>
    <x:row r="2681">
      <x:c r="A2681" s="50" t="str">
        <x:v>019fde6e-ff6c-71c8-bcd6-968df1fcd8da</x:v>
      </x:c>
      <x:c r="B2681" s="50" t="str">
        <x:v>OXY</x:v>
      </x:c>
      <x:c r="C2681" s="70" t="n">
        <x:v>46241.95421458333</x:v>
      </x:c>
      <x:c r="D2681" s="50" t="str">
        <x:v>SWING_SETUP</x:v>
      </x:c>
      <x:c r="E2681" s="50" t="str">
        <x:v>OXY SWING SETUP</x:v>
      </x:c>
      <x:c r="F2681" s="50" t="str">
        <x:v>WATCH</x:v>
      </x:c>
      <x:c r="G2681" s="50"/>
      <x:c r="H2681" s="50" t="str">
        <x:v>LONG</x:v>
      </x:c>
      <x:c r="I2681" s="71" t="n">
        <x:v>56.03</x:v>
      </x:c>
      <x:c r="J2681" s="76" t="str">
        <x:v>SIP</x:v>
      </x:c>
    </x:row>
    <x:row r="2682">
      <x:c r="A2682" s="50" t="str">
        <x:v>019fde6e-ff7e-7739-be91-9faa15b2a87d</x:v>
      </x:c>
      <x:c r="B2682" s="50" t="str">
        <x:v>COP</x:v>
      </x:c>
      <x:c r="C2682" s="70" t="n">
        <x:v>46241.954214791665</x:v>
      </x:c>
      <x:c r="D2682" s="50" t="str">
        <x:v>SWING_SETUP</x:v>
      </x:c>
      <x:c r="E2682" s="50" t="str">
        <x:v>COP SWING SETUP</x:v>
      </x:c>
      <x:c r="F2682" s="50" t="str">
        <x:v>WATCH</x:v>
      </x:c>
      <x:c r="G2682" s="50"/>
      <x:c r="H2682" s="50" t="str">
        <x:v>LONG</x:v>
      </x:c>
      <x:c r="I2682" s="71" t="n">
        <x:v>117.6</x:v>
      </x:c>
      <x:c r="J2682" s="76" t="str">
        <x:v>SIP</x:v>
      </x:c>
    </x:row>
    <x:row r="2683">
      <x:c r="A2683" s="50" t="str">
        <x:v>019fde6e-ff9a-72f0-8247-d9d61b2fd7ae</x:v>
      </x:c>
      <x:c r="B2683" s="50" t="str">
        <x:v>SBUX</x:v>
      </x:c>
      <x:c r="C2683" s="70" t="n">
        <x:v>46241.954215115744</x:v>
      </x:c>
      <x:c r="D2683" s="50" t="str">
        <x:v>SWING_SETUP</x:v>
      </x:c>
      <x:c r="E2683" s="50" t="str">
        <x:v>SBUX SWING SETUP</x:v>
      </x:c>
      <x:c r="F2683" s="50" t="str">
        <x:v>WATCH</x:v>
      </x:c>
      <x:c r="G2683" s="50"/>
      <x:c r="H2683" s="50" t="str">
        <x:v>LONG</x:v>
      </x:c>
      <x:c r="I2683" s="71" t="n">
        <x:v>105.58</x:v>
      </x:c>
      <x:c r="J2683" s="76" t="str">
        <x:v>SIP</x:v>
      </x:c>
    </x:row>
    <x:row r="2684">
      <x:c r="A2684" s="50" t="str">
        <x:v>019fde6f-e5b0-77b8-b418-4f623f7db809</x:v>
      </x:c>
      <x:c r="B2684" s="50" t="str">
        <x:v>PYPL</x:v>
      </x:c>
      <x:c r="C2684" s="70" t="n">
        <x:v>46241.95489685185</x:v>
      </x:c>
      <x:c r="D2684" s="50" t="str">
        <x:v>SWING_SETUP</x:v>
      </x:c>
      <x:c r="E2684" s="50" t="str">
        <x:v>PYPL SWING SETUP</x:v>
      </x:c>
      <x:c r="F2684" s="50" t="str">
        <x:v>WATCH</x:v>
      </x:c>
      <x:c r="G2684" s="50"/>
      <x:c r="H2684" s="50" t="str">
        <x:v>LONG</x:v>
      </x:c>
      <x:c r="I2684" s="71" t="n">
        <x:v>59.095</x:v>
      </x:c>
      <x:c r="J2684" s="76" t="str">
        <x:v>SIP</x:v>
      </x:c>
    </x:row>
    <x:row r="2685">
      <x:c r="A2685" s="50" t="str">
        <x:v>019fde6f-e87b-712a-94ab-bc6812b91ec7</x:v>
      </x:c>
      <x:c r="B2685" s="50" t="str">
        <x:v>UNP</x:v>
      </x:c>
      <x:c r="C2685" s="70" t="n">
        <x:v>46241.95490512731</x:v>
      </x:c>
      <x:c r="D2685" s="50" t="str">
        <x:v>SWING_SETUP</x:v>
      </x:c>
      <x:c r="E2685" s="50" t="str">
        <x:v>UNP SWING SETUP</x:v>
      </x:c>
      <x:c r="F2685" s="50" t="str">
        <x:v>WATCH</x:v>
      </x:c>
      <x:c r="G2685" s="50"/>
      <x:c r="H2685" s="50" t="str">
        <x:v>LONG</x:v>
      </x:c>
      <x:c r="I2685" s="71" t="n">
        <x:v>293.13</x:v>
      </x:c>
      <x:c r="J2685" s="76" t="str">
        <x:v>SIP</x:v>
      </x:c>
    </x:row>
    <x:row r="2686">
      <x:c r="A2686" s="50" t="str">
        <x:v>019fde70-d114-7b6d-a923-ae3ffdd7b937</x:v>
      </x:c>
      <x:c r="B2686" s="50" t="str">
        <x:v>ETN</x:v>
      </x:c>
      <x:c r="C2686" s="70" t="n">
        <x:v>46241.95559430555</x:v>
      </x:c>
      <x:c r="D2686" s="50" t="str">
        <x:v>SWING_SETUP</x:v>
      </x:c>
      <x:c r="E2686" s="50" t="str">
        <x:v>ETN SWING SETUP</x:v>
      </x:c>
      <x:c r="F2686" s="50" t="str">
        <x:v>WATCH</x:v>
      </x:c>
      <x:c r="G2686" s="50"/>
      <x:c r="H2686" s="50" t="str">
        <x:v>LONG</x:v>
      </x:c>
      <x:c r="I2686" s="71" t="n">
        <x:v>448.67</x:v>
      </x:c>
      <x:c r="J2686" s="76" t="str">
        <x:v>SIP</x:v>
      </x:c>
    </x:row>
    <x:row r="2687">
      <x:c r="A2687" s="50" t="str">
        <x:v>019fde70-d18d-7787-885d-09c6b4715061</x:v>
      </x:c>
      <x:c r="B2687" s="50" t="str">
        <x:v>INTU</x:v>
      </x:c>
      <x:c r="C2687" s="70" t="n">
        <x:v>46241.95559570602</x:v>
      </x:c>
      <x:c r="D2687" s="50" t="str">
        <x:v>SWING_SETUP</x:v>
      </x:c>
      <x:c r="E2687" s="50" t="str">
        <x:v>INTU SWING SETUP</x:v>
      </x:c>
      <x:c r="F2687" s="50" t="str">
        <x:v>WATCH</x:v>
      </x:c>
      <x:c r="G2687" s="50"/>
      <x:c r="H2687" s="50" t="str">
        <x:v>LONG</x:v>
      </x:c>
      <x:c r="I2687" s="71" t="n">
        <x:v>325.25</x:v>
      </x:c>
      <x:c r="J2687" s="76" t="str">
        <x:v>SIP</x:v>
      </x:c>
    </x:row>
    <x:row r="2688">
      <x:c r="A2688" s="50" t="str">
        <x:v>019fde70-d381-7956-9991-4d69ba5f5ba0</x:v>
      </x:c>
      <x:c r="B2688" s="50" t="str">
        <x:v>JPM</x:v>
      </x:c>
      <x:c r="C2688" s="70" t="n">
        <x:v>46241.95560149306</x:v>
      </x:c>
      <x:c r="D2688" s="50" t="str">
        <x:v>SWING_SETUP</x:v>
      </x:c>
      <x:c r="E2688" s="50" t="str">
        <x:v>JPM SWING SETUP</x:v>
      </x:c>
      <x:c r="F2688" s="50" t="str">
        <x:v>WATCH</x:v>
      </x:c>
      <x:c r="G2688" s="50"/>
      <x:c r="H2688" s="50" t="str">
        <x:v>LONG</x:v>
      </x:c>
      <x:c r="I2688" s="71" t="n">
        <x:v>357.4511</x:v>
      </x:c>
      <x:c r="J2688" s="76" t="str">
        <x:v>SIP</x:v>
      </x:c>
    </x:row>
    <x:row r="2689">
      <x:c r="A2689" s="50" t="str">
        <x:v>019fde71-bad2-784f-9edc-7040e85ef417</x:v>
      </x:c>
      <x:c r="B2689" s="50" t="str">
        <x:v>TMDX</x:v>
      </x:c>
      <x:c r="C2689" s="70" t="n">
        <x:v>46241.956286875</x:v>
      </x:c>
      <x:c r="D2689" s="50" t="str">
        <x:v>SWING_SETUP</x:v>
      </x:c>
      <x:c r="E2689" s="50" t="str">
        <x:v>TMDX SWING SETUP</x:v>
      </x:c>
      <x:c r="F2689" s="50" t="str">
        <x:v>WATCH</x:v>
      </x:c>
      <x:c r="G2689" s="50"/>
      <x:c r="H2689" s="50" t="str">
        <x:v>LONG</x:v>
      </x:c>
      <x:c r="I2689" s="71" t="n">
        <x:v>83.5</x:v>
      </x:c>
      <x:c r="J2689" s="76" t="str">
        <x:v>SIP</x:v>
      </x:c>
    </x:row>
    <x:row r="2690">
      <x:c r="A2690" s="50" t="str">
        <x:v>019fde71-bb93-70a6-acbc-e91b5e8bb8ca</x:v>
      </x:c>
      <x:c r="B2690" s="50" t="str">
        <x:v>KO</x:v>
      </x:c>
      <x:c r="C2690" s="70" t="n">
        <x:v>46241.9562891088</x:v>
      </x:c>
      <x:c r="D2690" s="50" t="str">
        <x:v>SWING_SETUP</x:v>
      </x:c>
      <x:c r="E2690" s="50" t="str">
        <x:v>KO SWING SETUP</x:v>
      </x:c>
      <x:c r="F2690" s="50" t="str">
        <x:v>WATCH</x:v>
      </x:c>
      <x:c r="G2690" s="50"/>
      <x:c r="H2690" s="50" t="str">
        <x:v>LONG</x:v>
      </x:c>
      <x:c r="I2690" s="71" t="n">
        <x:v>86.9514</x:v>
      </x:c>
      <x:c r="J2690" s="76" t="str">
        <x:v>SIP</x:v>
      </x:c>
    </x:row>
    <x:row r="2691">
      <x:c r="A2691" s="50" t="str">
        <x:v>019fde71-bbb2-74bf-a4fd-3c7b0ecd9744</x:v>
      </x:c>
      <x:c r="B2691" s="50" t="str">
        <x:v>CEG</x:v>
      </x:c>
      <x:c r="C2691" s="70" t="n">
        <x:v>46241.95628946759</x:v>
      </x:c>
      <x:c r="D2691" s="50" t="str">
        <x:v>SWING_SETUP</x:v>
      </x:c>
      <x:c r="E2691" s="50" t="str">
        <x:v>CEG SWING SETUP</x:v>
      </x:c>
      <x:c r="F2691" s="50" t="str">
        <x:v>WATCH</x:v>
      </x:c>
      <x:c r="G2691" s="50"/>
      <x:c r="H2691" s="50" t="str">
        <x:v>LONG</x:v>
      </x:c>
      <x:c r="I2691" s="71" t="n">
        <x:v>269.9</x:v>
      </x:c>
      <x:c r="J2691" s="76" t="str">
        <x:v>SIP</x:v>
      </x:c>
    </x:row>
    <x:row r="2692">
      <x:c r="A2692" s="50" t="str">
        <x:v>019fde71-bc0c-7679-9f6e-92fdc8604928</x:v>
      </x:c>
      <x:c r="B2692" s="50" t="str">
        <x:v>PSX</x:v>
      </x:c>
      <x:c r="C2692" s="70" t="n">
        <x:v>46241.95629050926</x:v>
      </x:c>
      <x:c r="D2692" s="50" t="str">
        <x:v>SWING_SETUP</x:v>
      </x:c>
      <x:c r="E2692" s="50" t="str">
        <x:v>PSX SWING SETUP</x:v>
      </x:c>
      <x:c r="F2692" s="50" t="str">
        <x:v>WATCH</x:v>
      </x:c>
      <x:c r="G2692" s="50"/>
      <x:c r="H2692" s="50" t="str">
        <x:v>LONG</x:v>
      </x:c>
      <x:c r="I2692" s="71" t="n">
        <x:v>203.91</x:v>
      </x:c>
      <x:c r="J2692" s="76" t="str">
        <x:v>SIP</x:v>
      </x:c>
    </x:row>
    <x:row r="2693">
      <x:c r="A2693" s="50" t="str">
        <x:v>019fde72-a6c9-7b1d-84a9-89f55bc4e763</x:v>
      </x:c>
      <x:c r="B2693" s="50" t="str">
        <x:v>LMT</x:v>
      </x:c>
      <x:c r="C2693" s="70" t="n">
        <x:v>46241.95698603009</x:v>
      </x:c>
      <x:c r="D2693" s="50" t="str">
        <x:v>SWING_SETUP</x:v>
      </x:c>
      <x:c r="E2693" s="50" t="str">
        <x:v>LMT SWING SETUP</x:v>
      </x:c>
      <x:c r="F2693" s="50" t="str">
        <x:v>WATCH</x:v>
      </x:c>
      <x:c r="G2693" s="50"/>
      <x:c r="H2693" s="50" t="str">
        <x:v>LONG</x:v>
      </x:c>
      <x:c r="I2693" s="71" t="n">
        <x:v>587.92</x:v>
      </x:c>
      <x:c r="J2693" s="76" t="str">
        <x:v>SIP</x:v>
      </x:c>
    </x:row>
    <x:row r="2694">
      <x:c r="A2694" s="50" t="str">
        <x:v>019fde72-a7a7-70e8-bd24-8b7fbb2b98f2</x:v>
      </x:c>
      <x:c r="B2694" s="50" t="str">
        <x:v>APH</x:v>
      </x:c>
      <x:c r="C2694" s="70" t="n">
        <x:v>46241.95698859954</x:v>
      </x:c>
      <x:c r="D2694" s="50" t="str">
        <x:v>SWING_SETUP</x:v>
      </x:c>
      <x:c r="E2694" s="50" t="str">
        <x:v>APH SWING SETUP</x:v>
      </x:c>
      <x:c r="F2694" s="50" t="str">
        <x:v>WATCH</x:v>
      </x:c>
      <x:c r="G2694" s="50"/>
      <x:c r="H2694" s="50" t="str">
        <x:v>LONG</x:v>
      </x:c>
      <x:c r="I2694" s="71" t="n">
        <x:v>169.18</x:v>
      </x:c>
      <x:c r="J2694" s="76" t="str">
        <x:v>SIP</x:v>
      </x:c>
    </x:row>
    <x:row r="2695">
      <x:c r="A2695" s="50" t="str">
        <x:v>019fde72-a7c3-78fc-8d67-40c6599d257e</x:v>
      </x:c>
      <x:c r="B2695" s="50" t="str">
        <x:v>ACHV</x:v>
      </x:c>
      <x:c r="C2695" s="70" t="n">
        <x:v>46241.95698892361</x:v>
      </x:c>
      <x:c r="D2695" s="50" t="str">
        <x:v>SWING_SETUP</x:v>
      </x:c>
      <x:c r="E2695" s="50" t="str">
        <x:v>ACHV SWING SETUP</x:v>
      </x:c>
      <x:c r="F2695" s="50" t="str">
        <x:v>WATCH</x:v>
      </x:c>
      <x:c r="G2695" s="50"/>
      <x:c r="H2695" s="50" t="str">
        <x:v>LONG</x:v>
      </x:c>
      <x:c r="I2695" s="71" t="n">
        <x:v>6.65</x:v>
      </x:c>
      <x:c r="J2695" s="76" t="str">
        <x:v>SIP</x:v>
      </x:c>
    </x:row>
    <x:row r="2696">
      <x:c r="A2696" s="50" t="str">
        <x:v>019fde73-91a2-7134-a156-b079096f0a0e</x:v>
      </x:c>
      <x:c r="B2696" s="50" t="str">
        <x:v>JD</x:v>
      </x:c>
      <x:c r="C2696" s="70" t="n">
        <x:v>46241.957681875</x:v>
      </x:c>
      <x:c r="D2696" s="50" t="str">
        <x:v>SWING_SETUP</x:v>
      </x:c>
      <x:c r="E2696" s="50" t="str">
        <x:v>JD SWING SETUP</x:v>
      </x:c>
      <x:c r="F2696" s="50" t="str">
        <x:v>WATCH</x:v>
      </x:c>
      <x:c r="G2696" s="50"/>
      <x:c r="H2696" s="50" t="str">
        <x:v>LONG</x:v>
      </x:c>
      <x:c r="I2696" s="71" t="n">
        <x:v>33</x:v>
      </x:c>
      <x:c r="J2696" s="76" t="str">
        <x:v>SIP</x:v>
      </x:c>
    </x:row>
    <x:row r="2697">
      <x:c r="A2697" s="50" t="str">
        <x:v>019fde73-91bc-7513-b292-dfc572dd9d42</x:v>
      </x:c>
      <x:c r="B2697" s="50" t="str">
        <x:v>BAC</x:v>
      </x:c>
      <x:c r="C2697" s="70" t="n">
        <x:v>46241.957682175926</x:v>
      </x:c>
      <x:c r="D2697" s="50" t="str">
        <x:v>SWING_SETUP</x:v>
      </x:c>
      <x:c r="E2697" s="50" t="str">
        <x:v>BAC SWING SETUP</x:v>
      </x:c>
      <x:c r="F2697" s="50" t="str">
        <x:v>WATCH</x:v>
      </x:c>
      <x:c r="G2697" s="50"/>
      <x:c r="H2697" s="50" t="str">
        <x:v>LONG</x:v>
      </x:c>
      <x:c r="I2697" s="71" t="n">
        <x:v>63.19</x:v>
      </x:c>
      <x:c r="J2697" s="76" t="str">
        <x:v>SIP</x:v>
      </x:c>
    </x:row>
    <x:row r="2698">
      <x:c r="A2698" s="50" t="str">
        <x:v>019fde73-91d6-7b59-a6ae-3f35750ecdaa</x:v>
      </x:c>
      <x:c r="B2698" s="50" t="str">
        <x:v>SCHW</x:v>
      </x:c>
      <x:c r="C2698" s="70" t="n">
        <x:v>46241.95768247685</x:v>
      </x:c>
      <x:c r="D2698" s="50" t="str">
        <x:v>SWING_SETUP</x:v>
      </x:c>
      <x:c r="E2698" s="50" t="str">
        <x:v>SCHW SWING SETUP</x:v>
      </x:c>
      <x:c r="F2698" s="50" t="str">
        <x:v>WATCH</x:v>
      </x:c>
      <x:c r="G2698" s="50"/>
      <x:c r="H2698" s="50" t="str">
        <x:v>LONG</x:v>
      </x:c>
      <x:c r="I2698" s="71" t="n">
        <x:v>107.6</x:v>
      </x:c>
      <x:c r="J2698" s="76" t="str">
        <x:v>SIP</x:v>
      </x:c>
    </x:row>
    <x:row r="2699">
      <x:c r="A2699" s="50" t="str">
        <x:v>019fde74-7b6e-7cfa-b513-51959e801821</x:v>
      </x:c>
      <x:c r="B2699" s="50" t="str">
        <x:v>MDLZ</x:v>
      </x:c>
      <x:c r="C2699" s="70" t="n">
        <x:v>46241.95837460648</x:v>
      </x:c>
      <x:c r="D2699" s="50" t="str">
        <x:v>SWING_SETUP</x:v>
      </x:c>
      <x:c r="E2699" s="50" t="str">
        <x:v>MDLZ SWING SETUP</x:v>
      </x:c>
      <x:c r="F2699" s="50" t="str">
        <x:v>WATCH</x:v>
      </x:c>
      <x:c r="G2699" s="50"/>
      <x:c r="H2699" s="50" t="str">
        <x:v>LONG</x:v>
      </x:c>
      <x:c r="I2699" s="71" t="n">
        <x:v>62.61</x:v>
      </x:c>
      <x:c r="J2699" s="76" t="str">
        <x:v>SIP</x:v>
      </x:c>
    </x:row>
    <x:row r="2700">
      <x:c r="A2700" s="50" t="str">
        <x:v>019fde74-7c38-7040-b6a2-f3475560a0b1</x:v>
      </x:c>
      <x:c r="B2700" s="50" t="str">
        <x:v>RCL</x:v>
      </x:c>
      <x:c r="C2700" s="70" t="n">
        <x:v>46241.95837694444</x:v>
      </x:c>
      <x:c r="D2700" s="50" t="str">
        <x:v>SWING_SETUP</x:v>
      </x:c>
      <x:c r="E2700" s="50" t="str">
        <x:v>RCL SWING SETUP</x:v>
      </x:c>
      <x:c r="F2700" s="50" t="str">
        <x:v>WATCH</x:v>
      </x:c>
      <x:c r="G2700" s="50"/>
      <x:c r="H2700" s="50" t="str">
        <x:v>LONG</x:v>
      </x:c>
      <x:c r="I2700" s="71" t="n">
        <x:v>320</x:v>
      </x:c>
      <x:c r="J2700" s="76" t="str">
        <x:v>SIP</x:v>
      </x:c>
    </x:row>
    <x:row r="2701">
      <x:c r="A2701" s="50" t="str">
        <x:v>019fde74-7c61-7c6f-9ab1-fd6bc6897423</x:v>
      </x:c>
      <x:c r="B2701" s="50" t="str">
        <x:v>BLFS</x:v>
      </x:c>
      <x:c r="C2701" s="70" t="n">
        <x:v>46241.95837741898</x:v>
      </x:c>
      <x:c r="D2701" s="50" t="str">
        <x:v>SWING_SETUP</x:v>
      </x:c>
      <x:c r="E2701" s="50" t="str">
        <x:v>BLFS SWING SETUP</x:v>
      </x:c>
      <x:c r="F2701" s="50" t="str">
        <x:v>WATCH</x:v>
      </x:c>
      <x:c r="G2701" s="50"/>
      <x:c r="H2701" s="50" t="str">
        <x:v>LONG</x:v>
      </x:c>
      <x:c r="I2701" s="71" t="n">
        <x:v>34.645</x:v>
      </x:c>
      <x:c r="J2701" s="76" t="str">
        <x:v>SIP</x:v>
      </x:c>
    </x:row>
    <x:row r="2702">
      <x:c r="A2702" s="50" t="str">
        <x:v>019fde74-7cd7-7d7e-a94c-24a77221962c</x:v>
      </x:c>
      <x:c r="B2702" s="50" t="str">
        <x:v>ECL</x:v>
      </x:c>
      <x:c r="C2702" s="70" t="n">
        <x:v>46241.95837878472</x:v>
      </x:c>
      <x:c r="D2702" s="50" t="str">
        <x:v>SWING_SETUP</x:v>
      </x:c>
      <x:c r="E2702" s="50" t="str">
        <x:v>ECL SWING SETUP</x:v>
      </x:c>
      <x:c r="F2702" s="50" t="str">
        <x:v>WATCH</x:v>
      </x:c>
      <x:c r="G2702" s="50"/>
      <x:c r="H2702" s="50" t="str">
        <x:v>LONG</x:v>
      </x:c>
      <x:c r="I2702" s="71" t="n">
        <x:v>285.17</x:v>
      </x:c>
      <x:c r="J2702" s="76" t="str">
        <x:v>SIP</x:v>
      </x:c>
    </x:row>
    <x:row r="2703">
      <x:c r="A2703" s="50" t="str">
        <x:v>019fde74-7d2c-73a4-95b3-c812737268ab</x:v>
      </x:c>
      <x:c r="B2703" s="50" t="str">
        <x:v>RDW</x:v>
      </x:c>
      <x:c r="C2703" s="70" t="n">
        <x:v>46241.95837976852</x:v>
      </x:c>
      <x:c r="D2703" s="50" t="str">
        <x:v>SWING_SETUP</x:v>
      </x:c>
      <x:c r="E2703" s="50" t="str">
        <x:v>RDW SWING SETUP</x:v>
      </x:c>
      <x:c r="F2703" s="50" t="str">
        <x:v>WATCH</x:v>
      </x:c>
      <x:c r="G2703" s="50"/>
      <x:c r="H2703" s="50" t="str">
        <x:v>LONG</x:v>
      </x:c>
      <x:c r="I2703" s="71" t="n">
        <x:v>13.59</x:v>
      </x:c>
      <x:c r="J2703" s="76" t="str">
        <x:v>SIP</x:v>
      </x:c>
    </x:row>
    <x:row r="2704">
      <x:c r="A2704" s="50" t="str">
        <x:v>019fde74-7d59-7587-985b-ee9c7665af9a</x:v>
      </x:c>
      <x:c r="B2704" s="50" t="str">
        <x:v>BKNG</x:v>
      </x:c>
      <x:c r="C2704" s="70" t="n">
        <x:v>46241.95838027778</x:v>
      </x:c>
      <x:c r="D2704" s="50" t="str">
        <x:v>SWING_SETUP</x:v>
      </x:c>
      <x:c r="E2704" s="50" t="str">
        <x:v>BKNG SWING SETUP</x:v>
      </x:c>
      <x:c r="F2704" s="50" t="str">
        <x:v>WATCH</x:v>
      </x:c>
      <x:c r="G2704" s="50"/>
      <x:c r="H2704" s="50" t="str">
        <x:v>LONG</x:v>
      </x:c>
      <x:c r="I2704" s="71" t="n">
        <x:v>213.08</x:v>
      </x:c>
      <x:c r="J2704" s="76" t="str">
        <x:v>SIP</x:v>
      </x:c>
    </x:row>
    <x:row r="2705">
      <x:c r="A2705" s="50" t="str">
        <x:v>019fde74-7dd5-705b-bb43-23668417334a</x:v>
      </x:c>
      <x:c r="B2705" s="50" t="str">
        <x:v>SE</x:v>
      </x:c>
      <x:c r="C2705" s="70" t="n">
        <x:v>46241.95838172454</x:v>
      </x:c>
      <x:c r="D2705" s="50" t="str">
        <x:v>SWING_SETUP</x:v>
      </x:c>
      <x:c r="E2705" s="50" t="str">
        <x:v>SE SWING SETUP</x:v>
      </x:c>
      <x:c r="F2705" s="50" t="str">
        <x:v>WATCH</x:v>
      </x:c>
      <x:c r="G2705" s="50"/>
      <x:c r="H2705" s="50" t="str">
        <x:v>LONG</x:v>
      </x:c>
      <x:c r="I2705" s="71" t="n">
        <x:v>113.43</x:v>
      </x:c>
      <x:c r="J2705" s="76" t="str">
        <x:v>SIP</x:v>
      </x:c>
    </x:row>
    <x:row r="2706">
      <x:c r="A2706" s="50" t="str">
        <x:v>019fde74-7df8-7878-9e0d-736a4114c44b</x:v>
      </x:c>
      <x:c r="B2706" s="50" t="str">
        <x:v>ABNB</x:v>
      </x:c>
      <x:c r="C2706" s="70" t="n">
        <x:v>46241.95838212963</x:v>
      </x:c>
      <x:c r="D2706" s="50" t="str">
        <x:v>SWING_SETUP</x:v>
      </x:c>
      <x:c r="E2706" s="50" t="str">
        <x:v>ABNB SWING SETUP</x:v>
      </x:c>
      <x:c r="F2706" s="50" t="str">
        <x:v>WATCH</x:v>
      </x:c>
      <x:c r="G2706" s="50"/>
      <x:c r="H2706" s="50" t="str">
        <x:v>LONG</x:v>
      </x:c>
      <x:c r="I2706" s="71" t="n">
        <x:v>177.7</x:v>
      </x:c>
      <x:c r="J2706" s="76" t="str">
        <x:v>SIP</x:v>
      </x:c>
    </x:row>
    <x:row r="2707">
      <x:c r="A2707" s="50" t="str">
        <x:v>019fde74-7eab-7b48-ba62-47623417da00</x:v>
      </x:c>
      <x:c r="B2707" s="50" t="str">
        <x:v>DE</x:v>
      </x:c>
      <x:c r="C2707" s="70" t="n">
        <x:v>46241.95838418981</x:v>
      </x:c>
      <x:c r="D2707" s="50" t="str">
        <x:v>SWING_SETUP</x:v>
      </x:c>
      <x:c r="E2707" s="50" t="str">
        <x:v>DE SWING SETUP</x:v>
      </x:c>
      <x:c r="F2707" s="50" t="str">
        <x:v>WATCH</x:v>
      </x:c>
      <x:c r="G2707" s="50"/>
      <x:c r="H2707" s="50" t="str">
        <x:v>LONG</x:v>
      </x:c>
      <x:c r="I2707" s="71" t="n">
        <x:v>620.83</x:v>
      </x:c>
      <x:c r="J2707" s="76" t="str">
        <x:v>SIP</x:v>
      </x:c>
    </x:row>
    <x:row r="2708">
      <x:c r="A2708" s="50" t="str">
        <x:v>019fde75-6549-7cee-a661-847a5d564f4d</x:v>
      </x:c>
      <x:c r="B2708" s="50" t="str">
        <x:v>SNOW</x:v>
      </x:c>
      <x:c r="C2708" s="70" t="n">
        <x:v>46241.959067511576</x:v>
      </x:c>
      <x:c r="D2708" s="50" t="str">
        <x:v>SWING_SETUP</x:v>
      </x:c>
      <x:c r="E2708" s="50" t="str">
        <x:v>SNOW SWING SETUP</x:v>
      </x:c>
      <x:c r="F2708" s="50" t="str">
        <x:v>WATCH</x:v>
      </x:c>
      <x:c r="G2708" s="50"/>
      <x:c r="H2708" s="50" t="str">
        <x:v>LONG</x:v>
      </x:c>
      <x:c r="I2708" s="71" t="n">
        <x:v>330.1</x:v>
      </x:c>
      <x:c r="J2708" s="76" t="str">
        <x:v>SIP</x:v>
      </x:c>
    </x:row>
    <x:row r="2709">
      <x:c r="A2709" s="50" t="str">
        <x:v>019fde75-6598-783a-945e-aafafe707adc</x:v>
      </x:c>
      <x:c r="B2709" s="50" t="str">
        <x:v>PLTR</x:v>
      </x:c>
      <x:c r="C2709" s="70" t="n">
        <x:v>46241.959068425924</x:v>
      </x:c>
      <x:c r="D2709" s="50" t="str">
        <x:v>SWING_SETUP</x:v>
      </x:c>
      <x:c r="E2709" s="50" t="str">
        <x:v>PLTR SWING SETUP</x:v>
      </x:c>
      <x:c r="F2709" s="50" t="str">
        <x:v>WATCH</x:v>
      </x:c>
      <x:c r="G2709" s="50"/>
      <x:c r="H2709" s="50" t="str">
        <x:v>LONG</x:v>
      </x:c>
      <x:c r="I2709" s="71" t="n">
        <x:v>171.33</x:v>
      </x:c>
      <x:c r="J2709" s="76" t="str">
        <x:v>SIP</x:v>
      </x:c>
    </x:row>
    <x:row r="2710">
      <x:c r="A2710" s="50" t="str">
        <x:v>019fde75-66fc-74dd-b377-b07e3168ca69</x:v>
      </x:c>
      <x:c r="B2710" s="50" t="str">
        <x:v>ABT</x:v>
      </x:c>
      <x:c r="C2710" s="70" t="n">
        <x:v>46241.9590725463</x:v>
      </x:c>
      <x:c r="D2710" s="50" t="str">
        <x:v>SWING_SETUP</x:v>
      </x:c>
      <x:c r="E2710" s="50" t="str">
        <x:v>ABT SWING SETUP</x:v>
      </x:c>
      <x:c r="F2710" s="50" t="str">
        <x:v>WATCH</x:v>
      </x:c>
      <x:c r="G2710" s="50"/>
      <x:c r="H2710" s="50" t="str">
        <x:v>LONG</x:v>
      </x:c>
      <x:c r="I2710" s="71" t="n">
        <x:v>107.81</x:v>
      </x:c>
      <x:c r="J2710" s="76" t="str">
        <x:v>SIP</x:v>
      </x:c>
    </x:row>
    <x:row r="2711">
      <x:c r="A2711" s="50" t="str">
        <x:v>019fde76-5054-70aa-9c1e-9759c678e9b8</x:v>
      </x:c>
      <x:c r="B2711" s="50" t="str">
        <x:v>TGT</x:v>
      </x:c>
      <x:c r="C2711" s="70" t="n">
        <x:v>46241.959763935185</x:v>
      </x:c>
      <x:c r="D2711" s="50" t="str">
        <x:v>SWING_SETUP</x:v>
      </x:c>
      <x:c r="E2711" s="50" t="str">
        <x:v>TGT SWING SETUP</x:v>
      </x:c>
      <x:c r="F2711" s="50" t="str">
        <x:v>WATCH</x:v>
      </x:c>
      <x:c r="G2711" s="50"/>
      <x:c r="H2711" s="50" t="str">
        <x:v>LONG</x:v>
      </x:c>
      <x:c r="I2711" s="71" t="n">
        <x:v>149.6</x:v>
      </x:c>
      <x:c r="J2711" s="76" t="str">
        <x:v>SIP</x:v>
      </x:c>
    </x:row>
    <x:row r="2712">
      <x:c r="A2712" s="50" t="str">
        <x:v>019fde76-512c-7213-8aee-2d6b60e6df94</x:v>
      </x:c>
      <x:c r="B2712" s="50" t="str">
        <x:v>AMZN</x:v>
      </x:c>
      <x:c r="C2712" s="70" t="n">
        <x:v>46241.95976643518</x:v>
      </x:c>
      <x:c r="D2712" s="50" t="str">
        <x:v>SWING_SETUP</x:v>
      </x:c>
      <x:c r="E2712" s="50" t="str">
        <x:v>AMZN SWING SETUP</x:v>
      </x:c>
      <x:c r="F2712" s="50" t="str">
        <x:v>WATCH</x:v>
      </x:c>
      <x:c r="G2712" s="50"/>
      <x:c r="H2712" s="50" t="str">
        <x:v>LONG</x:v>
      </x:c>
      <x:c r="I2712" s="71" t="n">
        <x:v>274.4</x:v>
      </x:c>
      <x:c r="J2712" s="76" t="str">
        <x:v>SIP</x:v>
      </x:c>
    </x:row>
    <x:row r="2713">
      <x:c r="A2713" s="50" t="str">
        <x:v>019fde76-5211-710d-8045-24db0da63f51</x:v>
      </x:c>
      <x:c r="B2713" s="50" t="str">
        <x:v>MMM</x:v>
      </x:c>
      <x:c r="C2713" s="70" t="n">
        <x:v>46241.959769085646</x:v>
      </x:c>
      <x:c r="D2713" s="50" t="str">
        <x:v>SWING_SETUP</x:v>
      </x:c>
      <x:c r="E2713" s="50" t="str">
        <x:v>MMM SWING SETUP</x:v>
      </x:c>
      <x:c r="F2713" s="50" t="str">
        <x:v>WATCH</x:v>
      </x:c>
      <x:c r="G2713" s="50"/>
      <x:c r="H2713" s="50" t="str">
        <x:v>LONG</x:v>
      </x:c>
      <x:c r="I2713" s="71" t="n">
        <x:v>182.89</x:v>
      </x:c>
      <x:c r="J2713" s="76" t="str">
        <x:v>SIP</x:v>
      </x:c>
    </x:row>
    <x:row r="2714">
      <x:c r="A2714" s="50" t="str">
        <x:v>019fde77-3955-743b-9803-f1fc09e6bf9a</x:v>
      </x:c>
      <x:c r="B2714" s="50" t="str">
        <x:v>DLR</x:v>
      </x:c>
      <x:c r="C2714" s="70" t="n">
        <x:v>46241.96045431713</x:v>
      </x:c>
      <x:c r="D2714" s="50" t="str">
        <x:v>SWING_SETUP</x:v>
      </x:c>
      <x:c r="E2714" s="50" t="str">
        <x:v>DLR SWING SETUP</x:v>
      </x:c>
      <x:c r="F2714" s="50" t="str">
        <x:v>WATCH</x:v>
      </x:c>
      <x:c r="G2714" s="50"/>
      <x:c r="H2714" s="50" t="str">
        <x:v>LONG</x:v>
      </x:c>
      <x:c r="I2714" s="71" t="n">
        <x:v>193.8</x:v>
      </x:c>
      <x:c r="J2714" s="76" t="str">
        <x:v>SIP</x:v>
      </x:c>
    </x:row>
    <x:row r="2715">
      <x:c r="A2715" s="50" t="str">
        <x:v>019fde77-39a3-71fe-a50b-eda240b458b1</x:v>
      </x:c>
      <x:c r="B2715" s="50" t="str">
        <x:v>NUE</x:v>
      </x:c>
      <x:c r="C2715" s="70" t="n">
        <x:v>46241.96045521991</x:v>
      </x:c>
      <x:c r="D2715" s="50" t="str">
        <x:v>SWING_SETUP</x:v>
      </x:c>
      <x:c r="E2715" s="50" t="str">
        <x:v>NUE SWING SETUP</x:v>
      </x:c>
      <x:c r="F2715" s="50" t="str">
        <x:v>WATCH</x:v>
      </x:c>
      <x:c r="G2715" s="50"/>
      <x:c r="H2715" s="50" t="str">
        <x:v>LONG</x:v>
      </x:c>
      <x:c r="I2715" s="71" t="n">
        <x:v>272.57</x:v>
      </x:c>
      <x:c r="J2715" s="76" t="str">
        <x:v>SIP</x:v>
      </x:c>
    </x:row>
    <x:row r="2716">
      <x:c r="A2716" s="50" t="str">
        <x:v>019fde77-3a98-7efc-829a-58550817cea4</x:v>
      </x:c>
      <x:c r="B2716" s="50" t="str">
        <x:v>BLK</x:v>
      </x:c>
      <x:c r="C2716" s="70" t="n">
        <x:v>46241.96045805555</x:v>
      </x:c>
      <x:c r="D2716" s="50" t="str">
        <x:v>SWING_SETUP</x:v>
      </x:c>
      <x:c r="E2716" s="50" t="str">
        <x:v>BLK SWING SETUP</x:v>
      </x:c>
      <x:c r="F2716" s="50" t="str">
        <x:v>WATCH</x:v>
      </x:c>
      <x:c r="G2716" s="50"/>
      <x:c r="H2716" s="50" t="str">
        <x:v>LONG</x:v>
      </x:c>
      <x:c r="I2716" s="71" t="n">
        <x:v>1136.4</x:v>
      </x:c>
      <x:c r="J2716" s="76" t="str">
        <x:v>SIP</x:v>
      </x:c>
    </x:row>
    <x:row r="2717">
      <x:c r="A2717" s="50" t="str">
        <x:v>019fde77-3ac5-7732-a44c-27444cc54ec3</x:v>
      </x:c>
      <x:c r="B2717" s="50" t="str">
        <x:v>RTX</x:v>
      </x:c>
      <x:c r="C2717" s="70" t="n">
        <x:v>46241.96045857639</x:v>
      </x:c>
      <x:c r="D2717" s="50" t="str">
        <x:v>SWING_SETUP</x:v>
      </x:c>
      <x:c r="E2717" s="50" t="str">
        <x:v>RTX SWING SETUP</x:v>
      </x:c>
      <x:c r="F2717" s="50" t="str">
        <x:v>WATCH</x:v>
      </x:c>
      <x:c r="G2717" s="50"/>
      <x:c r="H2717" s="50" t="str">
        <x:v>LONG</x:v>
      </x:c>
      <x:c r="I2717" s="71" t="n">
        <x:v>223.65</x:v>
      </x:c>
      <x:c r="J2717" s="76" t="str">
        <x:v>SIP</x:v>
      </x:c>
    </x:row>
    <x:row r="2718">
      <x:c r="A2718" s="50" t="str">
        <x:v>019fde77-3b0a-735d-a9be-bb61e587ab20</x:v>
      </x:c>
      <x:c r="B2718" s="50" t="str">
        <x:v>WFC</x:v>
      </x:c>
      <x:c r="C2718" s="70" t="n">
        <x:v>46241.960459375</x:v>
      </x:c>
      <x:c r="D2718" s="50" t="str">
        <x:v>SWING_SETUP</x:v>
      </x:c>
      <x:c r="E2718" s="50" t="str">
        <x:v>WFC SWING SETUP</x:v>
      </x:c>
      <x:c r="F2718" s="50" t="str">
        <x:v>WATCH</x:v>
      </x:c>
      <x:c r="G2718" s="50"/>
      <x:c r="H2718" s="50" t="str">
        <x:v>LONG</x:v>
      </x:c>
      <x:c r="I2718" s="71" t="n">
        <x:v>87.235</x:v>
      </x:c>
      <x:c r="J2718" s="76" t="str">
        <x:v>SIP</x:v>
      </x:c>
    </x:row>
    <x:row r="2719">
      <x:c r="A2719" s="50" t="str">
        <x:v>019fde77-3b3f-73cc-9b1d-d72d49423012</x:v>
      </x:c>
      <x:c r="B2719" s="50" t="str">
        <x:v>UEC</x:v>
      </x:c>
      <x:c r="C2719" s="70" t="n">
        <x:v>46241.96045997685</x:v>
      </x:c>
      <x:c r="D2719" s="50" t="str">
        <x:v>SWING_SETUP</x:v>
      </x:c>
      <x:c r="E2719" s="50" t="str">
        <x:v>UEC SWING SETUP</x:v>
      </x:c>
      <x:c r="F2719" s="50" t="str">
        <x:v>WATCH</x:v>
      </x:c>
      <x:c r="G2719" s="50"/>
      <x:c r="H2719" s="50" t="str">
        <x:v>LONG</x:v>
      </x:c>
      <x:c r="I2719" s="71" t="n">
        <x:v>11.2707</x:v>
      </x:c>
      <x:c r="J2719" s="76" t="str">
        <x:v>SIP</x:v>
      </x:c>
    </x:row>
    <x:row r="2720">
      <x:c r="A2720" s="50" t="str">
        <x:v>019fde78-24b8-7d6f-8d2d-70dcce3149c3</x:v>
      </x:c>
      <x:c r="B2720" s="50" t="str">
        <x:v>PM</x:v>
      </x:c>
      <x:c r="C2720" s="70" t="n">
        <x:v>46241.96115175926</x:v>
      </x:c>
      <x:c r="D2720" s="50" t="str">
        <x:v>SWING_SETUP</x:v>
      </x:c>
      <x:c r="E2720" s="50" t="str">
        <x:v>PM SWING SETUP</x:v>
      </x:c>
      <x:c r="F2720" s="50" t="str">
        <x:v>WATCH</x:v>
      </x:c>
      <x:c r="G2720" s="50"/>
      <x:c r="H2720" s="50" t="str">
        <x:v>LONG</x:v>
      </x:c>
      <x:c r="I2720" s="71" t="n">
        <x:v>189.57</x:v>
      </x:c>
      <x:c r="J2720" s="76" t="str">
        <x:v>SIP</x:v>
      </x:c>
    </x:row>
    <x:row r="2721">
      <x:c r="A2721" s="50" t="str">
        <x:v>019fde78-25c6-7866-bb2e-3a9ddaf5bf6d</x:v>
      </x:c>
      <x:c r="B2721" s="50" t="str">
        <x:v>BABA</x:v>
      </x:c>
      <x:c r="C2721" s="70" t="n">
        <x:v>46241.96115488426</x:v>
      </x:c>
      <x:c r="D2721" s="50" t="str">
        <x:v>SWING_SETUP</x:v>
      </x:c>
      <x:c r="E2721" s="50" t="str">
        <x:v>BABA SWING SETUP</x:v>
      </x:c>
      <x:c r="F2721" s="50" t="str">
        <x:v>WATCH</x:v>
      </x:c>
      <x:c r="G2721" s="50"/>
      <x:c r="H2721" s="50" t="str">
        <x:v>LONG</x:v>
      </x:c>
      <x:c r="I2721" s="71" t="n">
        <x:v>128.3</x:v>
      </x:c>
      <x:c r="J2721" s="76" t="str">
        <x:v>SIP</x:v>
      </x:c>
    </x:row>
    <x:row r="2722">
      <x:c r="A2722" s="50" t="str">
        <x:v>019fde78-26c9-7972-8679-e6fcaa357feb</x:v>
      </x:c>
      <x:c r="B2722" s="50" t="str">
        <x:v>BBWI</x:v>
      </x:c>
      <x:c r="C2722" s="70" t="n">
        <x:v>46241.96115787037</x:v>
      </x:c>
      <x:c r="D2722" s="50" t="str">
        <x:v>ENTRY_WATCH</x:v>
      </x:c>
      <x:c r="E2722" s="50" t="str">
        <x:v>BBWI ENTRY IN_ZONE EARLY WATCH</x:v>
      </x:c>
      <x:c r="F2722" s="50" t="str">
        <x:v>WATCH</x:v>
      </x:c>
      <x:c r="G2722" s="50"/>
      <x:c r="H2722" s="50" t="str">
        <x:v>LONG</x:v>
      </x:c>
      <x:c r="I2722" s="71" t="n">
        <x:v>20.1976</x:v>
      </x:c>
      <x:c r="J2722" s="76" t="str">
        <x:v>SIP</x:v>
      </x:c>
    </x:row>
    <x:row r="2723">
      <x:c r="A2723" s="50" t="str">
        <x:v>019fde79-0efc-7204-bc6e-e5d08b7e72cd</x:v>
      </x:c>
      <x:c r="B2723" s="50" t="str">
        <x:v>SHW</x:v>
      </x:c>
      <x:c r="C2723" s="70" t="n">
        <x:v>46241.961845868056</x:v>
      </x:c>
      <x:c r="D2723" s="50" t="str">
        <x:v>SWING_SETUP</x:v>
      </x:c>
      <x:c r="E2723" s="50" t="str">
        <x:v>SHW SWING SETUP</x:v>
      </x:c>
      <x:c r="F2723" s="50" t="str">
        <x:v>WATCH</x:v>
      </x:c>
      <x:c r="G2723" s="50"/>
      <x:c r="H2723" s="50" t="str">
        <x:v>LONG</x:v>
      </x:c>
      <x:c r="I2723" s="71" t="n">
        <x:v>369.73</x:v>
      </x:c>
      <x:c r="J2723" s="76" t="str">
        <x:v>SIP</x:v>
      </x:c>
    </x:row>
    <x:row r="2724">
      <x:c r="A2724" s="50" t="str">
        <x:v>019fde79-1008-7c79-a3c4-6bf08cd85895</x:v>
      </x:c>
      <x:c r="B2724" s="50" t="str">
        <x:v>MRK</x:v>
      </x:c>
      <x:c r="C2724" s="70" t="n">
        <x:v>46241.96184898148</x:v>
      </x:c>
      <x:c r="D2724" s="50" t="str">
        <x:v>SWING_SETUP</x:v>
      </x:c>
      <x:c r="E2724" s="50" t="str">
        <x:v>MRK SWING SETUP</x:v>
      </x:c>
      <x:c r="F2724" s="50" t="str">
        <x:v>WATCH</x:v>
      </x:c>
      <x:c r="G2724" s="50"/>
      <x:c r="H2724" s="50" t="str">
        <x:v>LONG</x:v>
      </x:c>
      <x:c r="I2724" s="71" t="n">
        <x:v>128.57</x:v>
      </x:c>
      <x:c r="J2724" s="76" t="str">
        <x:v>SIP</x:v>
      </x:c>
    </x:row>
    <x:row r="2725">
      <x:c r="A2725" s="50" t="str">
        <x:v>019fde79-113e-72a9-b897-77312fb54a09</x:v>
      </x:c>
      <x:c r="B2725" s="50" t="str">
        <x:v>NXE</x:v>
      </x:c>
      <x:c r="C2725" s="70" t="n">
        <x:v>46241.96185255787</x:v>
      </x:c>
      <x:c r="D2725" s="50" t="str">
        <x:v>SWING_SETUP</x:v>
      </x:c>
      <x:c r="E2725" s="50" t="str">
        <x:v>NXE SWING SETUP</x:v>
      </x:c>
      <x:c r="F2725" s="50" t="str">
        <x:v>WATCH</x:v>
      </x:c>
      <x:c r="G2725" s="50"/>
      <x:c r="H2725" s="50" t="str">
        <x:v>LONG</x:v>
      </x:c>
      <x:c r="I2725" s="71" t="n">
        <x:v>10.4899</x:v>
      </x:c>
      <x:c r="J2725" s="76" t="str">
        <x:v>SIP</x:v>
      </x:c>
    </x:row>
    <x:row r="2726">
      <x:c r="A2726" s="50" t="str">
        <x:v>019fde79-11d7-7107-b6cb-ea17a396019d</x:v>
      </x:c>
      <x:c r="B2726" s="50" t="str">
        <x:v>AMGN</x:v>
      </x:c>
      <x:c r="C2726" s="70" t="n">
        <x:v>46241.96185432871</x:v>
      </x:c>
      <x:c r="D2726" s="50" t="str">
        <x:v>SWING_SETUP</x:v>
      </x:c>
      <x:c r="E2726" s="50" t="str">
        <x:v>AMGN SWING SETUP</x:v>
      </x:c>
      <x:c r="F2726" s="50" t="str">
        <x:v>WATCH</x:v>
      </x:c>
      <x:c r="G2726" s="50"/>
      <x:c r="H2726" s="50" t="str">
        <x:v>LONG</x:v>
      </x:c>
      <x:c r="I2726" s="71" t="n">
        <x:v>410.35</x:v>
      </x:c>
      <x:c r="J2726" s="76" t="str">
        <x:v>SIP</x:v>
      </x:c>
    </x:row>
    <x:row r="2727">
      <x:c r="A2727" s="50" t="str">
        <x:v>019fde79-127b-7822-853e-72c3108f8fe5</x:v>
      </x:c>
      <x:c r="B2727" s="50" t="str">
        <x:v>TMO</x:v>
      </x:c>
      <x:c r="C2727" s="70" t="n">
        <x:v>46241.96185623843</x:v>
      </x:c>
      <x:c r="D2727" s="50" t="str">
        <x:v>SWING_SETUP</x:v>
      </x:c>
      <x:c r="E2727" s="50" t="str">
        <x:v>TMO SWING SETUP</x:v>
      </x:c>
      <x:c r="F2727" s="50" t="str">
        <x:v>WATCH</x:v>
      </x:c>
      <x:c r="G2727" s="50"/>
      <x:c r="H2727" s="50" t="str">
        <x:v>LONG</x:v>
      </x:c>
      <x:c r="I2727" s="71" t="n">
        <x:v>594</x:v>
      </x:c>
      <x:c r="J2727" s="76" t="str">
        <x:v>SIP</x:v>
      </x:c>
    </x:row>
    <x:row r="2728">
      <x:c r="A2728" s="50" t="str">
        <x:v>019fde79-f8eb-7f3a-9cfe-be2d0f1151bb</x:v>
      </x:c>
      <x:c r="B2728" s="50" t="str">
        <x:v>CROX</x:v>
      </x:c>
      <x:c r="C2728" s="70" t="n">
        <x:v>46241.962539016204</x:v>
      </x:c>
      <x:c r="D2728" s="50" t="str">
        <x:v>SWING_SETUP</x:v>
      </x:c>
      <x:c r="E2728" s="50" t="str">
        <x:v>CROX SWING SETUP</x:v>
      </x:c>
      <x:c r="F2728" s="50" t="str">
        <x:v>WATCH</x:v>
      </x:c>
      <x:c r="G2728" s="50"/>
      <x:c r="H2728" s="50" t="str">
        <x:v>LONG</x:v>
      </x:c>
      <x:c r="I2728" s="71" t="n">
        <x:v>136.56</x:v>
      </x:c>
      <x:c r="J2728" s="76" t="str">
        <x:v>SIP</x:v>
      </x:c>
    </x:row>
    <x:row r="2729">
      <x:c r="A2729" s="50" t="str">
        <x:v>019fde79-fa39-72e9-88d7-457e437c5bff</x:v>
      </x:c>
      <x:c r="B2729" s="50" t="str">
        <x:v>VZ</x:v>
      </x:c>
      <x:c r="C2729" s="70" t="n">
        <x:v>46241.96254288194</x:v>
      </x:c>
      <x:c r="D2729" s="50" t="str">
        <x:v>SWING_SETUP</x:v>
      </x:c>
      <x:c r="E2729" s="50" t="str">
        <x:v>VZ SWING SETUP</x:v>
      </x:c>
      <x:c r="F2729" s="50" t="str">
        <x:v>WATCH</x:v>
      </x:c>
      <x:c r="G2729" s="50"/>
      <x:c r="H2729" s="50" t="str">
        <x:v>LONG</x:v>
      </x:c>
      <x:c r="I2729" s="71" t="n">
        <x:v>47.01</x:v>
      </x:c>
      <x:c r="J2729" s="76" t="str">
        <x:v>SIP</x:v>
      </x:c>
    </x:row>
    <x:row r="2730">
      <x:c r="A2730" s="50" t="str">
        <x:v>019fde7b-cd42-718b-97cb-19f49496df6d</x:v>
      </x:c>
      <x:c r="B2730" s="50" t="str">
        <x:v>VZ</x:v>
      </x:c>
      <x:c r="C2730" s="70" t="n">
        <x:v>46241.96392667824</x:v>
      </x:c>
      <x:c r="D2730" s="50" t="str">
        <x:v>LONG_BUY_ZONE</x:v>
      </x:c>
      <x:c r="E2730" s="50" t="str">
        <x:v>VZ LONG BUY ZONE</x:v>
      </x:c>
      <x:c r="F2730" s="50" t="str">
        <x:v>WATCH</x:v>
      </x:c>
      <x:c r="G2730" s="50"/>
      <x:c r="H2730" s="50" t="str">
        <x:v>LONG</x:v>
      </x:c>
      <x:c r="I2730" s="71" t="n">
        <x:v>46.99</x:v>
      </x:c>
      <x:c r="J2730" s="76" t="str">
        <x:v>SIP</x:v>
      </x:c>
    </x:row>
    <x:row r="2731">
      <x:c r="A2731" s="50" t="str">
        <x:v>019fde7b-cdde-7af4-9141-7a796af59217</x:v>
      </x:c>
      <x:c r="B2731" s="50" t="str">
        <x:v>PFE</x:v>
      </x:c>
      <x:c r="C2731" s="70" t="n">
        <x:v>46241.963928495374</x:v>
      </x:c>
      <x:c r="D2731" s="50" t="str">
        <x:v>SWING_SETUP</x:v>
      </x:c>
      <x:c r="E2731" s="50" t="str">
        <x:v>PFE SWING SETUP</x:v>
      </x:c>
      <x:c r="F2731" s="50" t="str">
        <x:v>WATCH</x:v>
      </x:c>
      <x:c r="G2731" s="50"/>
      <x:c r="H2731" s="50" t="str">
        <x:v>LONG</x:v>
      </x:c>
      <x:c r="I2731" s="71" t="n">
        <x:v>26.61</x:v>
      </x:c>
      <x:c r="J2731" s="76" t="str">
        <x:v>SIP</x:v>
      </x:c>
    </x:row>
    <x:row r="2732">
      <x:c r="A2732" s="50" t="str">
        <x:v>019fde7b-ce0e-71e0-b1cd-c27069bff602</x:v>
      </x:c>
      <x:c r="B2732" s="50" t="str">
        <x:v>ETHA</x:v>
      </x:c>
      <x:c r="C2732" s="70" t="n">
        <x:v>46241.96392905093</x:v>
      </x:c>
      <x:c r="D2732" s="50" t="str">
        <x:v>SWING_SETUP</x:v>
      </x:c>
      <x:c r="E2732" s="50" t="str">
        <x:v>ETHA SWING SETUP</x:v>
      </x:c>
      <x:c r="F2732" s="50" t="str">
        <x:v>WATCH</x:v>
      </x:c>
      <x:c r="G2732" s="50"/>
      <x:c r="H2732" s="50" t="str">
        <x:v>LONG</x:v>
      </x:c>
      <x:c r="I2732" s="71" t="n">
        <x:v>14.48</x:v>
      </x:c>
      <x:c r="J2732" s="76" t="str">
        <x:v>SIP</x:v>
      </x:c>
    </x:row>
    <x:row r="2733">
      <x:c r="A2733" s="50" t="str">
        <x:v>019fde7b-ceb4-707d-8a23-25799f776f1e</x:v>
      </x:c>
      <x:c r="B2733" s="50" t="str">
        <x:v>NOC</x:v>
      </x:c>
      <x:c r="C2733" s="70" t="n">
        <x:v>46241.96393097222</x:v>
      </x:c>
      <x:c r="D2733" s="50" t="str">
        <x:v>SWING_SETUP</x:v>
      </x:c>
      <x:c r="E2733" s="50" t="str">
        <x:v>NOC SWING SETUP</x:v>
      </x:c>
      <x:c r="F2733" s="50" t="str">
        <x:v>WATCH</x:v>
      </x:c>
      <x:c r="G2733" s="50"/>
      <x:c r="H2733" s="50" t="str">
        <x:v>LONG</x:v>
      </x:c>
      <x:c r="I2733" s="71" t="n">
        <x:v>571.58</x:v>
      </x:c>
      <x:c r="J2733" s="76" t="str">
        <x:v>SIP</x:v>
      </x:c>
    </x:row>
    <x:row r="2734">
      <x:c r="A2734" s="50" t="str">
        <x:v>019fde7d-a263-72c3-b9f4-d22a5baf38ac</x:v>
      </x:c>
      <x:c r="B2734" s="50" t="str">
        <x:v>PYPL</x:v>
      </x:c>
      <x:c r="C2734" s="70" t="n">
        <x:v>46241.96531668981</x:v>
      </x:c>
      <x:c r="D2734" s="50" t="str">
        <x:v>SWING_SETUP</x:v>
      </x:c>
      <x:c r="E2734" s="50" t="str">
        <x:v>PYPL SWING SETUP</x:v>
      </x:c>
      <x:c r="F2734" s="50" t="str">
        <x:v>WATCH</x:v>
      </x:c>
      <x:c r="G2734" s="50"/>
      <x:c r="H2734" s="50" t="str">
        <x:v>LONG</x:v>
      </x:c>
      <x:c r="I2734" s="71" t="n">
        <x:v>59.095</x:v>
      </x:c>
      <x:c r="J2734" s="76" t="str">
        <x:v>SIP</x:v>
      </x:c>
    </x:row>
    <x:row r="2735">
      <x:c r="A2735" s="50" t="str">
        <x:v>019fde7d-a2fc-7d85-a342-7d12105f4bb2</x:v>
      </x:c>
      <x:c r="B2735" s="50" t="str">
        <x:v>BMY</x:v>
      </x:c>
      <x:c r="C2735" s="70" t="n">
        <x:v>46241.96531847222</x:v>
      </x:c>
      <x:c r="D2735" s="50" t="str">
        <x:v>SWING_SETUP</x:v>
      </x:c>
      <x:c r="E2735" s="50" t="str">
        <x:v>BMY SWING SETUP</x:v>
      </x:c>
      <x:c r="F2735" s="50" t="str">
        <x:v>WATCH</x:v>
      </x:c>
      <x:c r="G2735" s="50"/>
      <x:c r="H2735" s="50" t="str">
        <x:v>LONG</x:v>
      </x:c>
      <x:c r="I2735" s="71" t="n">
        <x:v>64.69</x:v>
      </x:c>
      <x:c r="J2735" s="76" t="str">
        <x:v>SIP</x:v>
      </x:c>
    </x:row>
    <x:row r="2736">
      <x:c r="A2736" s="50" t="str">
        <x:v>019fde7d-a474-75d8-a90a-1d76911e5920</x:v>
      </x:c>
      <x:c r="B2736" s="50" t="str">
        <x:v>WELL</x:v>
      </x:c>
      <x:c r="C2736" s="70" t="n">
        <x:v>46241.9653228125</x:v>
      </x:c>
      <x:c r="D2736" s="50" t="str">
        <x:v>SWING_SETUP</x:v>
      </x:c>
      <x:c r="E2736" s="50" t="str">
        <x:v>WELL SWING SETUP</x:v>
      </x:c>
      <x:c r="F2736" s="50" t="str">
        <x:v>WATCH</x:v>
      </x:c>
      <x:c r="G2736" s="50"/>
      <x:c r="H2736" s="50" t="str">
        <x:v>LONG</x:v>
      </x:c>
      <x:c r="I2736" s="71" t="n">
        <x:v>236.92</x:v>
      </x:c>
      <x:c r="J2736" s="76" t="str">
        <x:v>SIP</x:v>
      </x:c>
    </x:row>
    <x:row r="2737">
      <x:c r="A2737" s="50" t="str">
        <x:v>019fde7e-8c39-798a-af7f-06d63ae1a333</x:v>
      </x:c>
      <x:c r="B2737" s="50" t="str">
        <x:v>BBWI</x:v>
      </x:c>
      <x:c r="C2737" s="70" t="n">
        <x:v>46241.96600954861</x:v>
      </x:c>
      <x:c r="D2737" s="50" t="str">
        <x:v>ENTRY_WATCH</x:v>
      </x:c>
      <x:c r="E2737" s="50" t="str">
        <x:v>BBWI ENTRY BREAKAWAY WATCH</x:v>
      </x:c>
      <x:c r="F2737" s="50" t="str">
        <x:v>WATCH</x:v>
      </x:c>
      <x:c r="G2737" s="50"/>
      <x:c r="H2737" s="50" t="str">
        <x:v>LONG</x:v>
      </x:c>
      <x:c r="I2737" s="71" t="n">
        <x:v>20.4</x:v>
      </x:c>
      <x:c r="J2737" s="76" t="str">
        <x:v>SIP</x:v>
      </x:c>
    </x:row>
    <x:row r="2738">
      <x:c r="A2738" s="50" t="str">
        <x:v>019fde7e-8d4c-7583-b948-d88fdc133e13</x:v>
      </x:c>
      <x:c r="B2738" s="50" t="str">
        <x:v>ANET</x:v>
      </x:c>
      <x:c r="C2738" s="70" t="n">
        <x:v>46241.96601271991</x:v>
      </x:c>
      <x:c r="D2738" s="50" t="str">
        <x:v>SWING_SETUP</x:v>
      </x:c>
      <x:c r="E2738" s="50" t="str">
        <x:v>ANET SWING SETUP</x:v>
      </x:c>
      <x:c r="F2738" s="50" t="str">
        <x:v>WATCH</x:v>
      </x:c>
      <x:c r="G2738" s="50"/>
      <x:c r="H2738" s="50" t="str">
        <x:v>LONG</x:v>
      </x:c>
      <x:c r="I2738" s="71" t="n">
        <x:v>188.86</x:v>
      </x:c>
      <x:c r="J2738" s="76" t="str">
        <x:v>SIP</x:v>
      </x:c>
    </x:row>
    <x:row r="2739">
      <x:c r="A2739" s="50" t="str">
        <x:v>019fde7e-8d98-7ab4-b1f0-9bdfcdb0e6ec</x:v>
      </x:c>
      <x:c r="B2739" s="50" t="str">
        <x:v>SBUX</x:v>
      </x:c>
      <x:c r="C2739" s="70" t="n">
        <x:v>46241.96601361111</x:v>
      </x:c>
      <x:c r="D2739" s="50" t="str">
        <x:v>SWING_SETUP</x:v>
      </x:c>
      <x:c r="E2739" s="50" t="str">
        <x:v>SBUX SWING SETUP</x:v>
      </x:c>
      <x:c r="F2739" s="50" t="str">
        <x:v>WATCH</x:v>
      </x:c>
      <x:c r="G2739" s="50"/>
      <x:c r="H2739" s="50" t="str">
        <x:v>LONG</x:v>
      </x:c>
      <x:c r="I2739" s="71" t="n">
        <x:v>105.58</x:v>
      </x:c>
      <x:c r="J2739" s="76" t="str">
        <x:v>SIP</x:v>
      </x:c>
    </x:row>
    <x:row r="2740">
      <x:c r="A2740" s="50" t="str">
        <x:v>019fde7e-8db5-7d3d-9714-dd3b0525d6cd</x:v>
      </x:c>
      <x:c r="B2740" s="50" t="str">
        <x:v>UNP</x:v>
      </x:c>
      <x:c r="C2740" s="70" t="n">
        <x:v>46241.96601394676</x:v>
      </x:c>
      <x:c r="D2740" s="50" t="str">
        <x:v>SWING_SETUP</x:v>
      </x:c>
      <x:c r="E2740" s="50" t="str">
        <x:v>UNP SWING SETUP</x:v>
      </x:c>
      <x:c r="F2740" s="50" t="str">
        <x:v>WATCH</x:v>
      </x:c>
      <x:c r="G2740" s="50"/>
      <x:c r="H2740" s="50" t="str">
        <x:v>LONG</x:v>
      </x:c>
      <x:c r="I2740" s="71" t="n">
        <x:v>293.13</x:v>
      </x:c>
      <x:c r="J2740" s="76" t="str">
        <x:v>SIP</x:v>
      </x:c>
    </x:row>
    <x:row r="2741">
      <x:c r="A2741" s="50" t="str">
        <x:v>019fde7e-8dc1-7aeb-b1be-b865f1bfb443</x:v>
      </x:c>
      <x:c r="B2741" s="50" t="str">
        <x:v>OXY</x:v>
      </x:c>
      <x:c r="C2741" s="70" t="n">
        <x:v>46241.96601408565</x:v>
      </x:c>
      <x:c r="D2741" s="50" t="str">
        <x:v>SWING_SETUP</x:v>
      </x:c>
      <x:c r="E2741" s="50" t="str">
        <x:v>OXY SWING SETUP</x:v>
      </x:c>
      <x:c r="F2741" s="50" t="str">
        <x:v>WATCH</x:v>
      </x:c>
      <x:c r="G2741" s="50"/>
      <x:c r="H2741" s="50" t="str">
        <x:v>LONG</x:v>
      </x:c>
      <x:c r="I2741" s="71" t="n">
        <x:v>56.03</x:v>
      </x:c>
      <x:c r="J2741" s="76" t="str">
        <x:v>SIP</x:v>
      </x:c>
    </x:row>
    <x:row r="2742">
      <x:c r="A2742" s="50" t="str">
        <x:v>019fde7e-8f4e-7c78-af2c-aea3e76ddbcc</x:v>
      </x:c>
      <x:c r="B2742" s="50" t="str">
        <x:v>JPM</x:v>
      </x:c>
      <x:c r="C2742" s="70" t="n">
        <x:v>46241.966018680556</x:v>
      </x:c>
      <x:c r="D2742" s="50" t="str">
        <x:v>SWING_SETUP</x:v>
      </x:c>
      <x:c r="E2742" s="50" t="str">
        <x:v>JPM SWING SETUP</x:v>
      </x:c>
      <x:c r="F2742" s="50" t="str">
        <x:v>WATCH</x:v>
      </x:c>
      <x:c r="G2742" s="50"/>
      <x:c r="H2742" s="50" t="str">
        <x:v>LONG</x:v>
      </x:c>
      <x:c r="I2742" s="71" t="n">
        <x:v>357.4511</x:v>
      </x:c>
      <x:c r="J2742" s="76" t="str">
        <x:v>SIP</x:v>
      </x:c>
    </x:row>
    <x:row r="2743">
      <x:c r="A2743" s="50" t="str">
        <x:v>019fde7f-7733-7394-8c05-7dd5c595c301</x:v>
      </x:c>
      <x:c r="B2743" s="50" t="str">
        <x:v>APA</x:v>
      </x:c>
      <x:c r="C2743" s="70" t="n">
        <x:v>46241.96670576389</x:v>
      </x:c>
      <x:c r="D2743" s="50" t="str">
        <x:v>SWING_SETUP</x:v>
      </x:c>
      <x:c r="E2743" s="50" t="str">
        <x:v>APA SWING SETUP</x:v>
      </x:c>
      <x:c r="F2743" s="50" t="str">
        <x:v>WATCH</x:v>
      </x:c>
      <x:c r="G2743" s="50"/>
      <x:c r="H2743" s="50" t="str">
        <x:v>LONG</x:v>
      </x:c>
      <x:c r="I2743" s="71" t="n">
        <x:v>37.648</x:v>
      </x:c>
      <x:c r="J2743" s="76" t="str">
        <x:v>SIP</x:v>
      </x:c>
    </x:row>
    <x:row r="2744">
      <x:c r="A2744" s="50" t="str">
        <x:v>019fde7f-785d-78ec-bd45-88bcd284548f</x:v>
      </x:c>
      <x:c r="B2744" s="50" t="str">
        <x:v>COP</x:v>
      </x:c>
      <x:c r="C2744" s="70" t="n">
        <x:v>46241.966709224536</x:v>
      </x:c>
      <x:c r="D2744" s="50" t="str">
        <x:v>SWING_SETUP</x:v>
      </x:c>
      <x:c r="E2744" s="50" t="str">
        <x:v>COP SWING SETUP</x:v>
      </x:c>
      <x:c r="F2744" s="50" t="str">
        <x:v>WATCH</x:v>
      </x:c>
      <x:c r="G2744" s="50"/>
      <x:c r="H2744" s="50" t="str">
        <x:v>LONG</x:v>
      </x:c>
      <x:c r="I2744" s="71" t="n">
        <x:v>117.6</x:v>
      </x:c>
      <x:c r="J2744" s="76" t="str">
        <x:v>SIP</x:v>
      </x:c>
    </x:row>
    <x:row r="2745">
      <x:c r="A2745" s="50" t="str">
        <x:v>019fde7f-7a12-7386-8ed2-1b3750fda486</x:v>
      </x:c>
      <x:c r="B2745" s="50" t="str">
        <x:v>TMDX</x:v>
      </x:c>
      <x:c r="C2745" s="70" t="n">
        <x:v>46241.96671428241</x:v>
      </x:c>
      <x:c r="D2745" s="50" t="str">
        <x:v>SWING_SETUP</x:v>
      </x:c>
      <x:c r="E2745" s="50" t="str">
        <x:v>TMDX SWING SETUP</x:v>
      </x:c>
      <x:c r="F2745" s="50" t="str">
        <x:v>WATCH</x:v>
      </x:c>
      <x:c r="G2745" s="50"/>
      <x:c r="H2745" s="50" t="str">
        <x:v>LONG</x:v>
      </x:c>
      <x:c r="I2745" s="71" t="n">
        <x:v>83.5</x:v>
      </x:c>
      <x:c r="J2745" s="76" t="str">
        <x:v>SIP</x:v>
      </x:c>
    </x:row>
    <x:row r="2746">
      <x:c r="A2746" s="50" t="str">
        <x:v>019fde80-61c4-7ce1-bf70-ba6b53348774</x:v>
      </x:c>
      <x:c r="B2746" s="50" t="str">
        <x:v>KO</x:v>
      </x:c>
      <x:c r="C2746" s="70" t="n">
        <x:v>46241.967400787034</x:v>
      </x:c>
      <x:c r="D2746" s="50" t="str">
        <x:v>SWING_SETUP</x:v>
      </x:c>
      <x:c r="E2746" s="50" t="str">
        <x:v>KO SWING SETUP</x:v>
      </x:c>
      <x:c r="F2746" s="50" t="str">
        <x:v>WATCH</x:v>
      </x:c>
      <x:c r="G2746" s="50"/>
      <x:c r="H2746" s="50" t="str">
        <x:v>LONG</x:v>
      </x:c>
      <x:c r="I2746" s="71" t="n">
        <x:v>86.9514</x:v>
      </x:c>
      <x:c r="J2746" s="76" t="str">
        <x:v>SIP</x:v>
      </x:c>
    </x:row>
    <x:row r="2747">
      <x:c r="A2747" s="50" t="str">
        <x:v>019fde80-61ed-7399-8d76-25450c49394b</x:v>
      </x:c>
      <x:c r="B2747" s="50" t="str">
        <x:v>CEG</x:v>
      </x:c>
      <x:c r="C2747" s="70" t="n">
        <x:v>46241.96740126157</x:v>
      </x:c>
      <x:c r="D2747" s="50" t="str">
        <x:v>SWING_SETUP</x:v>
      </x:c>
      <x:c r="E2747" s="50" t="str">
        <x:v>CEG SWING SETUP</x:v>
      </x:c>
      <x:c r="F2747" s="50" t="str">
        <x:v>WATCH</x:v>
      </x:c>
      <x:c r="G2747" s="50"/>
      <x:c r="H2747" s="50" t="str">
        <x:v>LONG</x:v>
      </x:c>
      <x:c r="I2747" s="71" t="n">
        <x:v>269.9</x:v>
      </x:c>
      <x:c r="J2747" s="76" t="str">
        <x:v>SIP</x:v>
      </x:c>
    </x:row>
    <x:row r="2748">
      <x:c r="A2748" s="50" t="str">
        <x:v>019fde80-6246-70d7-be7c-fbff289a772f</x:v>
      </x:c>
      <x:c r="B2748" s="50" t="str">
        <x:v>ETN</x:v>
      </x:c>
      <x:c r="C2748" s="70" t="n">
        <x:v>46241.967402291666</x:v>
      </x:c>
      <x:c r="D2748" s="50" t="str">
        <x:v>SWING_SETUP</x:v>
      </x:c>
      <x:c r="E2748" s="50" t="str">
        <x:v>ETN SWING SETUP</x:v>
      </x:c>
      <x:c r="F2748" s="50" t="str">
        <x:v>WATCH</x:v>
      </x:c>
      <x:c r="G2748" s="50"/>
      <x:c r="H2748" s="50" t="str">
        <x:v>LONG</x:v>
      </x:c>
      <x:c r="I2748" s="71" t="n">
        <x:v>448.67</x:v>
      </x:c>
      <x:c r="J2748" s="76" t="str">
        <x:v>SIP</x:v>
      </x:c>
    </x:row>
    <x:row r="2749">
      <x:c r="A2749" s="50" t="str">
        <x:v>019fde80-6297-7ebf-90b4-0612ad05b46e</x:v>
      </x:c>
      <x:c r="B2749" s="50" t="str">
        <x:v>INTU</x:v>
      </x:c>
      <x:c r="C2749" s="70" t="n">
        <x:v>46241.967403229166</x:v>
      </x:c>
      <x:c r="D2749" s="50" t="str">
        <x:v>SWING_SETUP</x:v>
      </x:c>
      <x:c r="E2749" s="50" t="str">
        <x:v>INTU SWING SETUP</x:v>
      </x:c>
      <x:c r="F2749" s="50" t="str">
        <x:v>WATCH</x:v>
      </x:c>
      <x:c r="G2749" s="50"/>
      <x:c r="H2749" s="50" t="str">
        <x:v>LONG</x:v>
      </x:c>
      <x:c r="I2749" s="71" t="n">
        <x:v>325.25</x:v>
      </x:c>
      <x:c r="J2749" s="76" t="str">
        <x:v>SIP</x:v>
      </x:c>
    </x:row>
    <x:row r="2750">
      <x:c r="A2750" s="50" t="str">
        <x:v>019fde82-35fd-7794-a90a-6ada7b1b1ddf</x:v>
      </x:c>
      <x:c r="B2750" s="50" t="str">
        <x:v>PSX</x:v>
      </x:c>
      <x:c r="C2750" s="70" t="n">
        <x:v>46241.968788101854</x:v>
      </x:c>
      <x:c r="D2750" s="50" t="str">
        <x:v>SWING_SETUP</x:v>
      </x:c>
      <x:c r="E2750" s="50" t="str">
        <x:v>PSX SWING SETUP</x:v>
      </x:c>
      <x:c r="F2750" s="50" t="str">
        <x:v>WATCH</x:v>
      </x:c>
      <x:c r="G2750" s="50"/>
      <x:c r="H2750" s="50" t="str">
        <x:v>LONG</x:v>
      </x:c>
      <x:c r="I2750" s="71" t="n">
        <x:v>203.91</x:v>
      </x:c>
      <x:c r="J2750" s="76" t="str">
        <x:v>SIP</x:v>
      </x:c>
    </x:row>
    <x:row r="2751">
      <x:c r="A2751" s="50" t="str">
        <x:v>019fde82-36de-7025-a0bf-93604bdd45d4</x:v>
      </x:c>
      <x:c r="B2751" s="50" t="str">
        <x:v>ACHV</x:v>
      </x:c>
      <x:c r="C2751" s="70" t="n">
        <x:v>46241.96879070602</x:v>
      </x:c>
      <x:c r="D2751" s="50" t="str">
        <x:v>SWING_SETUP</x:v>
      </x:c>
      <x:c r="E2751" s="50" t="str">
        <x:v>ACHV SWING SETUP</x:v>
      </x:c>
      <x:c r="F2751" s="50" t="str">
        <x:v>WATCH</x:v>
      </x:c>
      <x:c r="G2751" s="50"/>
      <x:c r="H2751" s="50" t="str">
        <x:v>LONG</x:v>
      </x:c>
      <x:c r="I2751" s="71" t="n">
        <x:v>6.65</x:v>
      </x:c>
      <x:c r="J2751" s="76" t="str">
        <x:v>SIP</x:v>
      </x:c>
    </x:row>
    <x:row r="2752">
      <x:c r="A2752" s="50" t="str">
        <x:v>019fde82-386f-7f16-a5f6-1e1c4e40ba0e</x:v>
      </x:c>
      <x:c r="B2752" s="50" t="str">
        <x:v>JD</x:v>
      </x:c>
      <x:c r="C2752" s="70" t="n">
        <x:v>46241.96879535879</x:v>
      </x:c>
      <x:c r="D2752" s="50" t="str">
        <x:v>SWING_SETUP</x:v>
      </x:c>
      <x:c r="E2752" s="50" t="str">
        <x:v>JD SWING SETUP</x:v>
      </x:c>
      <x:c r="F2752" s="50" t="str">
        <x:v>WATCH</x:v>
      </x:c>
      <x:c r="G2752" s="50"/>
      <x:c r="H2752" s="50" t="str">
        <x:v>LONG</x:v>
      </x:c>
      <x:c r="I2752" s="71" t="n">
        <x:v>33</x:v>
      </x:c>
      <x:c r="J2752" s="76" t="str">
        <x:v>SIP</x:v>
      </x:c>
    </x:row>
    <x:row r="2753">
      <x:c r="A2753" s="50" t="str">
        <x:v>019fde82-3892-70f7-9a4d-217486f71001</x:v>
      </x:c>
      <x:c r="B2753" s="50" t="str">
        <x:v>BAC</x:v>
      </x:c>
      <x:c r="C2753" s="70" t="n">
        <x:v>46241.96879576389</x:v>
      </x:c>
      <x:c r="D2753" s="50" t="str">
        <x:v>SWING_SETUP</x:v>
      </x:c>
      <x:c r="E2753" s="50" t="str">
        <x:v>BAC SWING SETUP</x:v>
      </x:c>
      <x:c r="F2753" s="50" t="str">
        <x:v>WATCH</x:v>
      </x:c>
      <x:c r="G2753" s="50"/>
      <x:c r="H2753" s="50" t="str">
        <x:v>LONG</x:v>
      </x:c>
      <x:c r="I2753" s="71" t="n">
        <x:v>63.19</x:v>
      </x:c>
      <x:c r="J2753" s="76" t="str">
        <x:v>SIP</x:v>
      </x:c>
    </x:row>
    <x:row r="2754">
      <x:c r="A2754" s="50" t="str">
        <x:v>019fde82-38a6-78a8-b87a-6d3823089b25</x:v>
      </x:c>
      <x:c r="B2754" s="50" t="str">
        <x:v>ECL</x:v>
      </x:c>
      <x:c r="C2754" s="70" t="n">
        <x:v>46241.96879599537</x:v>
      </x:c>
      <x:c r="D2754" s="50" t="str">
        <x:v>SWING_SETUP</x:v>
      </x:c>
      <x:c r="E2754" s="50" t="str">
        <x:v>ECL SWING SETUP</x:v>
      </x:c>
      <x:c r="F2754" s="50" t="str">
        <x:v>WATCH</x:v>
      </x:c>
      <x:c r="G2754" s="50"/>
      <x:c r="H2754" s="50" t="str">
        <x:v>LONG</x:v>
      </x:c>
      <x:c r="I2754" s="71" t="n">
        <x:v>285.17</x:v>
      </x:c>
      <x:c r="J2754" s="76" t="str">
        <x:v>SIP</x:v>
      </x:c>
    </x:row>
    <x:row r="2755">
      <x:c r="A2755" s="50" t="str">
        <x:v>019fde82-38e3-7f2a-be08-424955eb8471</x:v>
      </x:c>
      <x:c r="B2755" s="50" t="str">
        <x:v>SCHW</x:v>
      </x:c>
      <x:c r="C2755" s="70" t="n">
        <x:v>46241.96879670139</x:v>
      </x:c>
      <x:c r="D2755" s="50" t="str">
        <x:v>SWING_SETUP</x:v>
      </x:c>
      <x:c r="E2755" s="50" t="str">
        <x:v>SCHW SWING SETUP</x:v>
      </x:c>
      <x:c r="F2755" s="50" t="str">
        <x:v>WATCH</x:v>
      </x:c>
      <x:c r="G2755" s="50"/>
      <x:c r="H2755" s="50" t="str">
        <x:v>LONG</x:v>
      </x:c>
      <x:c r="I2755" s="71" t="n">
        <x:v>107.6</x:v>
      </x:c>
      <x:c r="J2755" s="76" t="str">
        <x:v>SIP</x:v>
      </x:c>
    </x:row>
    <x:row r="2756">
      <x:c r="A2756" s="50" t="str">
        <x:v>019fde82-3902-714f-aea0-91991476cb70</x:v>
      </x:c>
      <x:c r="B2756" s="50" t="str">
        <x:v>BKNG</x:v>
      </x:c>
      <x:c r="C2756" s="70" t="n">
        <x:v>46241.96879704861</x:v>
      </x:c>
      <x:c r="D2756" s="50" t="str">
        <x:v>SWING_SETUP</x:v>
      </x:c>
      <x:c r="E2756" s="50" t="str">
        <x:v>BKNG SWING SETUP</x:v>
      </x:c>
      <x:c r="F2756" s="50" t="str">
        <x:v>WATCH</x:v>
      </x:c>
      <x:c r="G2756" s="50"/>
      <x:c r="H2756" s="50" t="str">
        <x:v>LONG</x:v>
      </x:c>
      <x:c r="I2756" s="71" t="n">
        <x:v>213.08</x:v>
      </x:c>
      <x:c r="J2756" s="76" t="str">
        <x:v>SIP</x:v>
      </x:c>
    </x:row>
    <x:row r="2757">
      <x:c r="A2757" s="50" t="str">
        <x:v>019fde82-3916-7366-856c-7971fe6c3f07</x:v>
      </x:c>
      <x:c r="B2757" s="50" t="str">
        <x:v>RDW</x:v>
      </x:c>
      <x:c r="C2757" s="70" t="n">
        <x:v>46241.968797291665</x:v>
      </x:c>
      <x:c r="D2757" s="50" t="str">
        <x:v>SWING_SETUP</x:v>
      </x:c>
      <x:c r="E2757" s="50" t="str">
        <x:v>RDW SWING SETUP</x:v>
      </x:c>
      <x:c r="F2757" s="50" t="str">
        <x:v>WATCH</x:v>
      </x:c>
      <x:c r="G2757" s="50"/>
      <x:c r="H2757" s="50" t="str">
        <x:v>LONG</x:v>
      </x:c>
      <x:c r="I2757" s="71" t="n">
        <x:v>13.5859</x:v>
      </x:c>
      <x:c r="J2757" s="76" t="str">
        <x:v>SIP</x:v>
      </x:c>
    </x:row>
    <x:row r="2758">
      <x:c r="A2758" s="50" t="str">
        <x:v>019fde83-1fb7-72fd-abf4-a92bc30329a7</x:v>
      </x:c>
      <x:c r="B2758" s="50" t="str">
        <x:v>NVDA</x:v>
      </x:c>
      <x:c r="C2758" s="70" t="n">
        <x:v>46241.96948063657</x:v>
      </x:c>
      <x:c r="D2758" s="50" t="str">
        <x:v>SWING_SETUP</x:v>
      </x:c>
      <x:c r="E2758" s="50" t="str">
        <x:v>NVDA SWING SETUP</x:v>
      </x:c>
      <x:c r="F2758" s="50" t="str">
        <x:v>WATCH</x:v>
      </x:c>
      <x:c r="G2758" s="50"/>
      <x:c r="H2758" s="50" t="str">
        <x:v>LONG</x:v>
      </x:c>
      <x:c r="I2758" s="71" t="n">
        <x:v>223.74</x:v>
      </x:c>
      <x:c r="J2758" s="76" t="str">
        <x:v>SIP</x:v>
      </x:c>
    </x:row>
    <x:row r="2759">
      <x:c r="A2759" s="50" t="str">
        <x:v>019fde83-2056-7996-9aa4-177b71a498cd</x:v>
      </x:c>
      <x:c r="B2759" s="50" t="str">
        <x:v>APH</x:v>
      </x:c>
      <x:c r="C2759" s="70" t="n">
        <x:v>46241.96948247685</x:v>
      </x:c>
      <x:c r="D2759" s="50" t="str">
        <x:v>SWING_SETUP</x:v>
      </x:c>
      <x:c r="E2759" s="50" t="str">
        <x:v>APH SWING SETUP</x:v>
      </x:c>
      <x:c r="F2759" s="50" t="str">
        <x:v>WATCH</x:v>
      </x:c>
      <x:c r="G2759" s="50"/>
      <x:c r="H2759" s="50" t="str">
        <x:v>LONG</x:v>
      </x:c>
      <x:c r="I2759" s="71" t="n">
        <x:v>169.18</x:v>
      </x:c>
      <x:c r="J2759" s="76" t="str">
        <x:v>SIP</x:v>
      </x:c>
    </x:row>
    <x:row r="2760">
      <x:c r="A2760" s="50" t="str">
        <x:v>019fde83-20c4-7261-b13c-fb6e918b8909</x:v>
      </x:c>
      <x:c r="B2760" s="50" t="str">
        <x:v>MDLZ</x:v>
      </x:c>
      <x:c r="C2760" s="70" t="n">
        <x:v>46241.96948375</x:v>
      </x:c>
      <x:c r="D2760" s="50" t="str">
        <x:v>SWING_SETUP</x:v>
      </x:c>
      <x:c r="E2760" s="50" t="str">
        <x:v>MDLZ SWING SETUP</x:v>
      </x:c>
      <x:c r="F2760" s="50" t="str">
        <x:v>WATCH</x:v>
      </x:c>
      <x:c r="G2760" s="50"/>
      <x:c r="H2760" s="50" t="str">
        <x:v>LONG</x:v>
      </x:c>
      <x:c r="I2760" s="71" t="n">
        <x:v>62.61</x:v>
      </x:c>
      <x:c r="J2760" s="76" t="str">
        <x:v>SIP</x:v>
      </x:c>
    </x:row>
    <x:row r="2761">
      <x:c r="A2761" s="50" t="str">
        <x:v>019fde83-21fd-7225-8b64-d600b64f8776</x:v>
      </x:c>
      <x:c r="B2761" s="50" t="str">
        <x:v>SNOW</x:v>
      </x:c>
      <x:c r="C2761" s="70" t="n">
        <x:v>46241.969487372684</x:v>
      </x:c>
      <x:c r="D2761" s="50" t="str">
        <x:v>SWING_SETUP</x:v>
      </x:c>
      <x:c r="E2761" s="50" t="str">
        <x:v>SNOW SWING SETUP</x:v>
      </x:c>
      <x:c r="F2761" s="50" t="str">
        <x:v>WATCH</x:v>
      </x:c>
      <x:c r="G2761" s="50"/>
      <x:c r="H2761" s="50" t="str">
        <x:v>LONG</x:v>
      </x:c>
      <x:c r="I2761" s="71" t="n">
        <x:v>330.1</x:v>
      </x:c>
      <x:c r="J2761" s="76" t="str">
        <x:v>SIP</x:v>
      </x:c>
    </x:row>
    <x:row r="2762">
      <x:c r="A2762" s="50" t="str">
        <x:v>019fde83-2281-70ba-9e3d-89d2f1c67cc9</x:v>
      </x:c>
      <x:c r="B2762" s="50" t="str">
        <x:v>PLTR</x:v>
      </x:c>
      <x:c r="C2762" s="70" t="n">
        <x:v>46241.96948890046</x:v>
      </x:c>
      <x:c r="D2762" s="50" t="str">
        <x:v>SWING_SETUP</x:v>
      </x:c>
      <x:c r="E2762" s="50" t="str">
        <x:v>PLTR SWING SETUP</x:v>
      </x:c>
      <x:c r="F2762" s="50" t="str">
        <x:v>WATCH</x:v>
      </x:c>
      <x:c r="G2762" s="50"/>
      <x:c r="H2762" s="50" t="str">
        <x:v>LONG</x:v>
      </x:c>
      <x:c r="I2762" s="71" t="n">
        <x:v>171.44</x:v>
      </x:c>
      <x:c r="J2762" s="76" t="str">
        <x:v>SIP</x:v>
      </x:c>
    </x:row>
    <x:row r="2763">
      <x:c r="A2763" s="50" t="str">
        <x:v>019fde83-2308-72aa-90b2-43de8911e932</x:v>
      </x:c>
      <x:c r="B2763" s="50" t="str">
        <x:v>LMT</x:v>
      </x:c>
      <x:c r="C2763" s="70" t="n">
        <x:v>46241.969490462965</x:v>
      </x:c>
      <x:c r="D2763" s="50" t="str">
        <x:v>SWING_SETUP</x:v>
      </x:c>
      <x:c r="E2763" s="50" t="str">
        <x:v>LMT SWING SETUP</x:v>
      </x:c>
      <x:c r="F2763" s="50" t="str">
        <x:v>WATCH</x:v>
      </x:c>
      <x:c r="G2763" s="50"/>
      <x:c r="H2763" s="50" t="str">
        <x:v>LONG</x:v>
      </x:c>
      <x:c r="I2763" s="71" t="n">
        <x:v>587.92</x:v>
      </x:c>
      <x:c r="J2763" s="76" t="str">
        <x:v>SIP</x:v>
      </x:c>
    </x:row>
    <x:row r="2764">
      <x:c r="A2764" s="50" t="str">
        <x:v>019fde83-2342-7b77-8cb7-82e59e67dfd6</x:v>
      </x:c>
      <x:c r="B2764" s="50" t="str">
        <x:v>ABNB</x:v>
      </x:c>
      <x:c r="C2764" s="70" t="n">
        <x:v>46241.96949113426</x:v>
      </x:c>
      <x:c r="D2764" s="50" t="str">
        <x:v>SWING_SETUP</x:v>
      </x:c>
      <x:c r="E2764" s="50" t="str">
        <x:v>ABNB SWING SETUP</x:v>
      </x:c>
      <x:c r="F2764" s="50" t="str">
        <x:v>WATCH</x:v>
      </x:c>
      <x:c r="G2764" s="50"/>
      <x:c r="H2764" s="50" t="str">
        <x:v>LONG</x:v>
      </x:c>
      <x:c r="I2764" s="71" t="n">
        <x:v>177.7</x:v>
      </x:c>
      <x:c r="J2764" s="76" t="str">
        <x:v>SIP</x:v>
      </x:c>
    </x:row>
    <x:row r="2765">
      <x:c r="A2765" s="50" t="str">
        <x:v>019fde84-0c47-7222-8f39-6146235f5342</x:v>
      </x:c>
      <x:c r="B2765" s="50" t="str">
        <x:v>SE</x:v>
      </x:c>
      <x:c r="C2765" s="70" t="n">
        <x:v>46241.9701815625</x:v>
      </x:c>
      <x:c r="D2765" s="50" t="str">
        <x:v>SWING_SETUP</x:v>
      </x:c>
      <x:c r="E2765" s="50" t="str">
        <x:v>SE SWING SETUP</x:v>
      </x:c>
      <x:c r="F2765" s="50" t="str">
        <x:v>WATCH</x:v>
      </x:c>
      <x:c r="G2765" s="50"/>
      <x:c r="H2765" s="50" t="str">
        <x:v>LONG</x:v>
      </x:c>
      <x:c r="I2765" s="71" t="n">
        <x:v>113.43</x:v>
      </x:c>
      <x:c r="J2765" s="76" t="str">
        <x:v>SIP</x:v>
      </x:c>
    </x:row>
    <x:row r="2766">
      <x:c r="A2766" s="50" t="str">
        <x:v>019fde84-0cb7-7eff-98f5-a37282831e88</x:v>
      </x:c>
      <x:c r="B2766" s="50" t="str">
        <x:v>DE</x:v>
      </x:c>
      <x:c r="C2766" s="70" t="n">
        <x:v>46241.97018285879</x:v>
      </x:c>
      <x:c r="D2766" s="50" t="str">
        <x:v>SWING_SETUP</x:v>
      </x:c>
      <x:c r="E2766" s="50" t="str">
        <x:v>DE SWING SETUP</x:v>
      </x:c>
      <x:c r="F2766" s="50" t="str">
        <x:v>WATCH</x:v>
      </x:c>
      <x:c r="G2766" s="50"/>
      <x:c r="H2766" s="50" t="str">
        <x:v>LONG</x:v>
      </x:c>
      <x:c r="I2766" s="71" t="n">
        <x:v>620.83</x:v>
      </x:c>
      <x:c r="J2766" s="76" t="str">
        <x:v>SIP</x:v>
      </x:c>
    </x:row>
    <x:row r="2767">
      <x:c r="A2767" s="50" t="str">
        <x:v>019fde84-0d53-7362-a8fb-87bfed88f81f</x:v>
      </x:c>
      <x:c r="B2767" s="50" t="str">
        <x:v>ABT</x:v>
      </x:c>
      <x:c r="C2767" s="70" t="n">
        <x:v>46241.97018466435</x:v>
      </x:c>
      <x:c r="D2767" s="50" t="str">
        <x:v>SWING_SETUP</x:v>
      </x:c>
      <x:c r="E2767" s="50" t="str">
        <x:v>ABT SWING SETUP</x:v>
      </x:c>
      <x:c r="F2767" s="50" t="str">
        <x:v>WATCH</x:v>
      </x:c>
      <x:c r="G2767" s="50"/>
      <x:c r="H2767" s="50" t="str">
        <x:v>LONG</x:v>
      </x:c>
      <x:c r="I2767" s="71" t="n">
        <x:v>107.81</x:v>
      </x:c>
      <x:c r="J2767" s="76" t="str">
        <x:v>SIP</x:v>
      </x:c>
    </x:row>
    <x:row r="2768">
      <x:c r="A2768" s="50" t="str">
        <x:v>019fde84-f571-7685-880a-b182a363bd0b</x:v>
      </x:c>
      <x:c r="B2768" s="50" t="str">
        <x:v>RCL</x:v>
      </x:c>
      <x:c r="C2768" s="70" t="n">
        <x:v>46241.970872418984</x:v>
      </x:c>
      <x:c r="D2768" s="50" t="str">
        <x:v>SWING_SETUP</x:v>
      </x:c>
      <x:c r="E2768" s="50" t="str">
        <x:v>RCL SWING SETUP</x:v>
      </x:c>
      <x:c r="F2768" s="50" t="str">
        <x:v>WATCH</x:v>
      </x:c>
      <x:c r="G2768" s="50"/>
      <x:c r="H2768" s="50" t="str">
        <x:v>LONG</x:v>
      </x:c>
      <x:c r="I2768" s="71" t="n">
        <x:v>320</x:v>
      </x:c>
      <x:c r="J2768" s="76" t="str">
        <x:v>SIP</x:v>
      </x:c>
    </x:row>
    <x:row r="2769">
      <x:c r="A2769" s="50" t="str">
        <x:v>019fde84-f5cb-7340-abbe-9fb01c3644df</x:v>
      </x:c>
      <x:c r="B2769" s="50" t="str">
        <x:v>BLFS</x:v>
      </x:c>
      <x:c r="C2769" s="70" t="n">
        <x:v>46241.97087346065</x:v>
      </x:c>
      <x:c r="D2769" s="50" t="str">
        <x:v>SWING_SETUP</x:v>
      </x:c>
      <x:c r="E2769" s="50" t="str">
        <x:v>BLFS SWING SETUP</x:v>
      </x:c>
      <x:c r="F2769" s="50" t="str">
        <x:v>WATCH</x:v>
      </x:c>
      <x:c r="G2769" s="50"/>
      <x:c r="H2769" s="50" t="str">
        <x:v>LONG</x:v>
      </x:c>
      <x:c r="I2769" s="71" t="n">
        <x:v>34.645</x:v>
      </x:c>
      <x:c r="J2769" s="76" t="str">
        <x:v>SIP</x:v>
      </x:c>
    </x:row>
    <x:row r="2770">
      <x:c r="A2770" s="50" t="str">
        <x:v>019fde84-f626-7142-82fa-8fc83caaa1d8</x:v>
      </x:c>
      <x:c r="B2770" s="50" t="str">
        <x:v>TGT</x:v>
      </x:c>
      <x:c r="C2770" s="70" t="n">
        <x:v>46241.97087451389</x:v>
      </x:c>
      <x:c r="D2770" s="50" t="str">
        <x:v>SWING_SETUP</x:v>
      </x:c>
      <x:c r="E2770" s="50" t="str">
        <x:v>TGT SWING SETUP</x:v>
      </x:c>
      <x:c r="F2770" s="50" t="str">
        <x:v>WATCH</x:v>
      </x:c>
      <x:c r="G2770" s="50"/>
      <x:c r="H2770" s="50" t="str">
        <x:v>LONG</x:v>
      </x:c>
      <x:c r="I2770" s="71" t="n">
        <x:v>149.5</x:v>
      </x:c>
      <x:c r="J2770" s="76" t="str">
        <x:v>SIP</x:v>
      </x:c>
    </x:row>
    <x:row r="2771">
      <x:c r="A2771" s="50" t="str">
        <x:v>019fde84-f79a-7008-b29e-51f9d2e127b0</x:v>
      </x:c>
      <x:c r="B2771" s="50" t="str">
        <x:v>MMM</x:v>
      </x:c>
      <x:c r="C2771" s="70" t="n">
        <x:v>46241.97087881945</x:v>
      </x:c>
      <x:c r="D2771" s="50" t="str">
        <x:v>SWING_SETUP</x:v>
      </x:c>
      <x:c r="E2771" s="50" t="str">
        <x:v>MMM SWING SETUP</x:v>
      </x:c>
      <x:c r="F2771" s="50" t="str">
        <x:v>WATCH</x:v>
      </x:c>
      <x:c r="G2771" s="50"/>
      <x:c r="H2771" s="50" t="str">
        <x:v>LONG</x:v>
      </x:c>
      <x:c r="I2771" s="71" t="n">
        <x:v>182.89</x:v>
      </x:c>
      <x:c r="J2771" s="76" t="str">
        <x:v>SIP</x:v>
      </x:c>
    </x:row>
    <x:row r="2772">
      <x:c r="A2772" s="50" t="str">
        <x:v>019fde85-df50-7641-8251-a70fe9324996</x:v>
      </x:c>
      <x:c r="B2772" s="50" t="str">
        <x:v>NUE</x:v>
      </x:c>
      <x:c r="C2772" s="70" t="n">
        <x:v>46241.97156537037</x:v>
      </x:c>
      <x:c r="D2772" s="50" t="str">
        <x:v>SWING_SETUP</x:v>
      </x:c>
      <x:c r="E2772" s="50" t="str">
        <x:v>NUE SWING SETUP</x:v>
      </x:c>
      <x:c r="F2772" s="50" t="str">
        <x:v>WATCH</x:v>
      </x:c>
      <x:c r="G2772" s="50"/>
      <x:c r="H2772" s="50" t="str">
        <x:v>LONG</x:v>
      </x:c>
      <x:c r="I2772" s="71" t="n">
        <x:v>272.57</x:v>
      </x:c>
      <x:c r="J2772" s="76" t="str">
        <x:v>SIP</x:v>
      </x:c>
    </x:row>
    <x:row r="2773">
      <x:c r="A2773" s="50" t="str">
        <x:v>019fde85-e05f-7b81-83df-64fd48fdd07d</x:v>
      </x:c>
      <x:c r="B2773" s="50" t="str">
        <x:v>BLK</x:v>
      </x:c>
      <x:c r="C2773" s="70" t="n">
        <x:v>46241.971568506946</x:v>
      </x:c>
      <x:c r="D2773" s="50" t="str">
        <x:v>SWING_SETUP</x:v>
      </x:c>
      <x:c r="E2773" s="50" t="str">
        <x:v>BLK SWING SETUP</x:v>
      </x:c>
      <x:c r="F2773" s="50" t="str">
        <x:v>WATCH</x:v>
      </x:c>
      <x:c r="G2773" s="50"/>
      <x:c r="H2773" s="50" t="str">
        <x:v>LONG</x:v>
      </x:c>
      <x:c r="I2773" s="71" t="n">
        <x:v>1136.4</x:v>
      </x:c>
      <x:c r="J2773" s="76" t="str">
        <x:v>SIP</x:v>
      </x:c>
    </x:row>
    <x:row r="2774">
      <x:c r="A2774" s="50" t="str">
        <x:v>019fde85-e0e0-7d81-8837-06118ca69a47</x:v>
      </x:c>
      <x:c r="B2774" s="50" t="str">
        <x:v>WFC</x:v>
      </x:c>
      <x:c r="C2774" s="70" t="n">
        <x:v>46241.97157</x:v>
      </x:c>
      <x:c r="D2774" s="50" t="str">
        <x:v>SWING_SETUP</x:v>
      </x:c>
      <x:c r="E2774" s="50" t="str">
        <x:v>WFC SWING SETUP</x:v>
      </x:c>
      <x:c r="F2774" s="50" t="str">
        <x:v>WATCH</x:v>
      </x:c>
      <x:c r="G2774" s="50"/>
      <x:c r="H2774" s="50" t="str">
        <x:v>LONG</x:v>
      </x:c>
      <x:c r="I2774" s="71" t="n">
        <x:v>87.235</x:v>
      </x:c>
      <x:c r="J2774" s="76" t="str">
        <x:v>SIP</x:v>
      </x:c>
    </x:row>
    <x:row r="2775">
      <x:c r="A2775" s="50" t="str">
        <x:v>019fde85-e142-74c4-a600-f2aea042a741</x:v>
      </x:c>
      <x:c r="B2775" s="50" t="str">
        <x:v>UEC</x:v>
      </x:c>
      <x:c r="C2775" s="70" t="n">
        <x:v>46241.97157113426</x:v>
      </x:c>
      <x:c r="D2775" s="50" t="str">
        <x:v>SWING_SETUP</x:v>
      </x:c>
      <x:c r="E2775" s="50" t="str">
        <x:v>UEC SWING SETUP</x:v>
      </x:c>
      <x:c r="F2775" s="50" t="str">
        <x:v>WATCH</x:v>
      </x:c>
      <x:c r="G2775" s="50"/>
      <x:c r="H2775" s="50" t="str">
        <x:v>LONG</x:v>
      </x:c>
      <x:c r="I2775" s="71" t="n">
        <x:v>11.2707</x:v>
      </x:c>
      <x:c r="J2775" s="76" t="str">
        <x:v>SIP</x:v>
      </x:c>
    </x:row>
    <x:row r="2776">
      <x:c r="A2776" s="50" t="str">
        <x:v>019fde86-c9fc-7c4e-9acc-3403f8e1d535</x:v>
      </x:c>
      <x:c r="B2776" s="50" t="str">
        <x:v>DLR</x:v>
      </x:c>
      <x:c r="C2776" s="70" t="n">
        <x:v>46241.97226069444</x:v>
      </x:c>
      <x:c r="D2776" s="50" t="str">
        <x:v>SWING_SETUP</x:v>
      </x:c>
      <x:c r="E2776" s="50" t="str">
        <x:v>DLR SWING SETUP</x:v>
      </x:c>
      <x:c r="F2776" s="50" t="str">
        <x:v>WATCH</x:v>
      </x:c>
      <x:c r="G2776" s="50"/>
      <x:c r="H2776" s="50" t="str">
        <x:v>LONG</x:v>
      </x:c>
      <x:c r="I2776" s="71" t="n">
        <x:v>193.8</x:v>
      </x:c>
      <x:c r="J2776" s="76" t="str">
        <x:v>SIP</x:v>
      </x:c>
    </x:row>
    <x:row r="2777">
      <x:c r="A2777" s="50" t="str">
        <x:v>019fde86-cad2-714d-ad46-d0e11d82750b</x:v>
      </x:c>
      <x:c r="B2777" s="50" t="str">
        <x:v>PM</x:v>
      </x:c>
      <x:c r="C2777" s="70" t="n">
        <x:v>46241.972263171294</x:v>
      </x:c>
      <x:c r="D2777" s="50" t="str">
        <x:v>SWING_SETUP</x:v>
      </x:c>
      <x:c r="E2777" s="50" t="str">
        <x:v>PM SWING SETUP</x:v>
      </x:c>
      <x:c r="F2777" s="50" t="str">
        <x:v>WATCH</x:v>
      </x:c>
      <x:c r="G2777" s="50"/>
      <x:c r="H2777" s="50" t="str">
        <x:v>LONG</x:v>
      </x:c>
      <x:c r="I2777" s="71" t="n">
        <x:v>189.57</x:v>
      </x:c>
      <x:c r="J2777" s="76" t="str">
        <x:v>SIP</x:v>
      </x:c>
    </x:row>
    <x:row r="2778">
      <x:c r="A2778" s="50" t="str">
        <x:v>019fde86-cb84-7c0e-8f43-af4e82873fcb</x:v>
      </x:c>
      <x:c r="B2778" s="50" t="str">
        <x:v>RTX</x:v>
      </x:c>
      <x:c r="C2778" s="70" t="n">
        <x:v>46241.97226523148</x:v>
      </x:c>
      <x:c r="D2778" s="50" t="str">
        <x:v>SWING_SETUP</x:v>
      </x:c>
      <x:c r="E2778" s="50" t="str">
        <x:v>RTX SWING SETUP</x:v>
      </x:c>
      <x:c r="F2778" s="50" t="str">
        <x:v>WATCH</x:v>
      </x:c>
      <x:c r="G2778" s="50"/>
      <x:c r="H2778" s="50" t="str">
        <x:v>LONG</x:v>
      </x:c>
      <x:c r="I2778" s="71" t="n">
        <x:v>223.65</x:v>
      </x:c>
      <x:c r="J2778" s="76" t="str">
        <x:v>SIP</x:v>
      </x:c>
    </x:row>
    <x:row r="2779">
      <x:c r="A2779" s="50" t="str">
        <x:v>019fde86-cc23-76e9-b9c7-ebbe8b5c1726</x:v>
      </x:c>
      <x:c r="B2779" s="50" t="str">
        <x:v>BABA</x:v>
      </x:c>
      <x:c r="C2779" s="70" t="n">
        <x:v>46241.97226707176</x:v>
      </x:c>
      <x:c r="D2779" s="50" t="str">
        <x:v>SWING_SETUP</x:v>
      </x:c>
      <x:c r="E2779" s="50" t="str">
        <x:v>BABA SWING SETUP</x:v>
      </x:c>
      <x:c r="F2779" s="50" t="str">
        <x:v>WATCH</x:v>
      </x:c>
      <x:c r="G2779" s="50"/>
      <x:c r="H2779" s="50" t="str">
        <x:v>LONG</x:v>
      </x:c>
      <x:c r="I2779" s="71" t="n">
        <x:v>128.3</x:v>
      </x:c>
      <x:c r="J2779" s="76" t="str">
        <x:v>SIP</x:v>
      </x:c>
    </x:row>
    <x:row r="2780">
      <x:c r="A2780" s="50" t="str">
        <x:v>019fde88-9ee5-78b4-a13d-79e207fdb46b</x:v>
      </x:c>
      <x:c r="B2780" s="50" t="str">
        <x:v>TMO</x:v>
      </x:c>
      <x:c r="C2780" s="70" t="n">
        <x:v>46241.9736500463</x:v>
      </x:c>
      <x:c r="D2780" s="50" t="str">
        <x:v>SWING_SETUP</x:v>
      </x:c>
      <x:c r="E2780" s="50" t="str">
        <x:v>TMO SWING SETUP</x:v>
      </x:c>
      <x:c r="F2780" s="50" t="str">
        <x:v>WATCH</x:v>
      </x:c>
      <x:c r="G2780" s="50"/>
      <x:c r="H2780" s="50" t="str">
        <x:v>LONG</x:v>
      </x:c>
      <x:c r="I2780" s="71" t="n">
        <x:v>594</x:v>
      </x:c>
      <x:c r="J2780" s="76" t="str">
        <x:v>SIP</x:v>
      </x:c>
    </x:row>
    <x:row r="2781">
      <x:c r="A2781" s="50" t="str">
        <x:v>019fde88-9fd7-7f5b-8c99-2c514b9d35ea</x:v>
      </x:c>
      <x:c r="B2781" s="50" t="str">
        <x:v>OXY</x:v>
      </x:c>
      <x:c r="C2781" s="70" t="n">
        <x:v>46241.9736528588</x:v>
      </x:c>
      <x:c r="D2781" s="50" t="str">
        <x:v>LONG_BUY_ZONE</x:v>
      </x:c>
      <x:c r="E2781" s="50" t="str">
        <x:v>OXY LONG BUY ZONE</x:v>
      </x:c>
      <x:c r="F2781" s="50" t="str">
        <x:v>WATCH</x:v>
      </x:c>
      <x:c r="G2781" s="50"/>
      <x:c r="H2781" s="50" t="str">
        <x:v>LONG</x:v>
      </x:c>
      <x:c r="I2781" s="71" t="n">
        <x:v>55.9324</x:v>
      </x:c>
      <x:c r="J2781" s="76" t="str">
        <x:v>SIP</x:v>
      </x:c>
    </x:row>
    <x:row r="2782">
      <x:c r="A2782" s="50" t="str">
        <x:v>019fde88-a060-70b3-8731-71e3d5ee53ca</x:v>
      </x:c>
      <x:c r="B2782" s="50" t="str">
        <x:v>CROX</x:v>
      </x:c>
      <x:c r="C2782" s="70" t="n">
        <x:v>46241.973654444446</x:v>
      </x:c>
      <x:c r="D2782" s="50" t="str">
        <x:v>SWING_SETUP</x:v>
      </x:c>
      <x:c r="E2782" s="50" t="str">
        <x:v>CROX SWING SETUP</x:v>
      </x:c>
      <x:c r="F2782" s="50" t="str">
        <x:v>WATCH</x:v>
      </x:c>
      <x:c r="G2782" s="50"/>
      <x:c r="H2782" s="50" t="str">
        <x:v>LONG</x:v>
      </x:c>
      <x:c r="I2782" s="71" t="n">
        <x:v>136.56</x:v>
      </x:c>
      <x:c r="J2782" s="76" t="str">
        <x:v>SIP</x:v>
      </x:c>
    </x:row>
    <x:row r="2783">
      <x:c r="A2783" s="50" t="str">
        <x:v>019fde88-a10b-7246-bda4-6ad169b13b54</x:v>
      </x:c>
      <x:c r="B2783" s="50" t="str">
        <x:v>SHW</x:v>
      </x:c>
      <x:c r="C2783" s="70" t="n">
        <x:v>46241.97365642361</x:v>
      </x:c>
      <x:c r="D2783" s="50" t="str">
        <x:v>SWING_SETUP</x:v>
      </x:c>
      <x:c r="E2783" s="50" t="str">
        <x:v>SHW SWING SETUP</x:v>
      </x:c>
      <x:c r="F2783" s="50" t="str">
        <x:v>WATCH</x:v>
      </x:c>
      <x:c r="G2783" s="50"/>
      <x:c r="H2783" s="50" t="str">
        <x:v>LONG</x:v>
      </x:c>
      <x:c r="I2783" s="71" t="n">
        <x:v>369.73</x:v>
      </x:c>
      <x:c r="J2783" s="76" t="str">
        <x:v>SIP</x:v>
      </x:c>
    </x:row>
    <x:row r="2784">
      <x:c r="A2784" s="50" t="str">
        <x:v>019fde88-a1c1-75c5-8504-d4be5041a81d</x:v>
      </x:c>
      <x:c r="B2784" s="50" t="str">
        <x:v>MRK</x:v>
      </x:c>
      <x:c r="C2784" s="70" t="n">
        <x:v>46241.97365853009</x:v>
      </x:c>
      <x:c r="D2784" s="50" t="str">
        <x:v>SWING_SETUP</x:v>
      </x:c>
      <x:c r="E2784" s="50" t="str">
        <x:v>MRK SWING SETUP</x:v>
      </x:c>
      <x:c r="F2784" s="50" t="str">
        <x:v>WATCH</x:v>
      </x:c>
      <x:c r="G2784" s="50"/>
      <x:c r="H2784" s="50" t="str">
        <x:v>LONG</x:v>
      </x:c>
      <x:c r="I2784" s="71" t="n">
        <x:v>128.57</x:v>
      </x:c>
      <x:c r="J2784" s="76" t="str">
        <x:v>SIP</x:v>
      </x:c>
    </x:row>
    <x:row r="2785">
      <x:c r="A2785" s="50" t="str">
        <x:v>019fde88-a2d5-75e1-a70b-3b1b6eb71caa</x:v>
      </x:c>
      <x:c r="B2785" s="50" t="str">
        <x:v>VZ</x:v>
      </x:c>
      <x:c r="C2785" s="70" t="n">
        <x:v>46241.973661724536</x:v>
      </x:c>
      <x:c r="D2785" s="50" t="str">
        <x:v>SWING_SETUP</x:v>
      </x:c>
      <x:c r="E2785" s="50" t="str">
        <x:v>VZ SWING SETUP</x:v>
      </x:c>
      <x:c r="F2785" s="50" t="str">
        <x:v>WATCH</x:v>
      </x:c>
      <x:c r="G2785" s="50"/>
      <x:c r="H2785" s="50" t="str">
        <x:v>LONG</x:v>
      </x:c>
      <x:c r="I2785" s="71" t="n">
        <x:v>47.01</x:v>
      </x:c>
      <x:c r="J2785" s="76" t="str">
        <x:v>SIP</x:v>
      </x:c>
    </x:row>
    <x:row r="2786">
      <x:c r="A2786" s="50" t="str">
        <x:v>019fde88-a32a-7dfe-8ab3-50a543eb173b</x:v>
      </x:c>
      <x:c r="B2786" s="50" t="str">
        <x:v>NXE</x:v>
      </x:c>
      <x:c r="C2786" s="70" t="n">
        <x:v>46241.97366270833</x:v>
      </x:c>
      <x:c r="D2786" s="50" t="str">
        <x:v>SWING_SETUP</x:v>
      </x:c>
      <x:c r="E2786" s="50" t="str">
        <x:v>NXE SWING SETUP</x:v>
      </x:c>
      <x:c r="F2786" s="50" t="str">
        <x:v>WATCH</x:v>
      </x:c>
      <x:c r="G2786" s="50"/>
      <x:c r="H2786" s="50" t="str">
        <x:v>LONG</x:v>
      </x:c>
      <x:c r="I2786" s="71" t="n">
        <x:v>10.4899</x:v>
      </x:c>
      <x:c r="J2786" s="76" t="str">
        <x:v>SIP</x:v>
      </x:c>
    </x:row>
    <x:row r="2787">
      <x:c r="A2787" s="50" t="str">
        <x:v>019fde88-a3bb-7321-9ffc-3793f6d12659</x:v>
      </x:c>
      <x:c r="B2787" s="50" t="str">
        <x:v>AMGN</x:v>
      </x:c>
      <x:c r="C2787" s="70" t="n">
        <x:v>46241.973664386576</x:v>
      </x:c>
      <x:c r="D2787" s="50" t="str">
        <x:v>SWING_SETUP</x:v>
      </x:c>
      <x:c r="E2787" s="50" t="str">
        <x:v>AMGN SWING SETUP</x:v>
      </x:c>
      <x:c r="F2787" s="50" t="str">
        <x:v>WATCH</x:v>
      </x:c>
      <x:c r="G2787" s="50"/>
      <x:c r="H2787" s="50" t="str">
        <x:v>LONG</x:v>
      </x:c>
      <x:c r="I2787" s="71" t="n">
        <x:v>410.35</x:v>
      </x:c>
      <x:c r="J2787" s="76" t="str">
        <x:v>SIP</x:v>
      </x:c>
    </x:row>
    <x:row r="2788">
      <x:c r="A2788" s="50" t="str">
        <x:v>019fde8a-74c1-7aff-93b1-963fa62048e6</x:v>
      </x:c>
      <x:c r="B2788" s="50" t="str">
        <x:v>PFE</x:v>
      </x:c>
      <x:c r="C2788" s="70" t="n">
        <x:v>46241.9750422338</x:v>
      </x:c>
      <x:c r="D2788" s="50" t="str">
        <x:v>SWING_SETUP</x:v>
      </x:c>
      <x:c r="E2788" s="50" t="str">
        <x:v>PFE SWING SETUP</x:v>
      </x:c>
      <x:c r="F2788" s="50" t="str">
        <x:v>WATCH</x:v>
      </x:c>
      <x:c r="G2788" s="50"/>
      <x:c r="H2788" s="50" t="str">
        <x:v>LONG</x:v>
      </x:c>
      <x:c r="I2788" s="71" t="n">
        <x:v>26.61</x:v>
      </x:c>
      <x:c r="J2788" s="76" t="str">
        <x:v>SIP</x:v>
      </x:c>
    </x:row>
    <x:row r="2789">
      <x:c r="A2789" s="50" t="str">
        <x:v>019fde8d-32bb-7fc3-8381-f813be63b255</x:v>
      </x:c>
      <x:c r="B2789" s="50" t="str">
        <x:v>BMY</x:v>
      </x:c>
      <x:c r="C2789" s="70" t="n">
        <x:v>46241.97712216435</x:v>
      </x:c>
      <x:c r="D2789" s="50" t="str">
        <x:v>SWING_SETUP</x:v>
      </x:c>
      <x:c r="E2789" s="50" t="str">
        <x:v>BMY SWING SETUP</x:v>
      </x:c>
      <x:c r="F2789" s="50" t="str">
        <x:v>WATCH</x:v>
      </x:c>
      <x:c r="G2789" s="50"/>
      <x:c r="H2789" s="50" t="str">
        <x:v>LONG</x:v>
      </x:c>
      <x:c r="I2789" s="71" t="n">
        <x:v>64.69</x:v>
      </x:c>
      <x:c r="J2789" s="76" t="str">
        <x:v>SIP</x:v>
      </x:c>
    </x:row>
    <x:row r="2790">
      <x:c r="A2790" s="50" t="str">
        <x:v>019fde8d-338b-7baf-b7e6-13dea5226b85</x:v>
      </x:c>
      <x:c r="B2790" s="50" t="str">
        <x:v>JPM</x:v>
      </x:c>
      <x:c r="C2790" s="70" t="n">
        <x:v>46241.97712456019</x:v>
      </x:c>
      <x:c r="D2790" s="50" t="str">
        <x:v>SWING_SETUP</x:v>
      </x:c>
      <x:c r="E2790" s="50" t="str">
        <x:v>JPM SWING SETUP</x:v>
      </x:c>
      <x:c r="F2790" s="50" t="str">
        <x:v>WATCH</x:v>
      </x:c>
      <x:c r="G2790" s="50"/>
      <x:c r="H2790" s="50" t="str">
        <x:v>LONG</x:v>
      </x:c>
      <x:c r="I2790" s="71" t="n">
        <x:v>357.4511</x:v>
      </x:c>
      <x:c r="J2790" s="76" t="str">
        <x:v>SIP</x:v>
      </x:c>
    </x:row>
    <x:row r="2791">
      <x:c r="A2791" s="50" t="str">
        <x:v>019fde8d-33e7-7fff-80cd-15355b1a4348</x:v>
      </x:c>
      <x:c r="B2791" s="50" t="str">
        <x:v>ETHA</x:v>
      </x:c>
      <x:c r="C2791" s="70" t="n">
        <x:v>46241.97712563657</x:v>
      </x:c>
      <x:c r="D2791" s="50" t="str">
        <x:v>SWING_SETUP</x:v>
      </x:c>
      <x:c r="E2791" s="50" t="str">
        <x:v>ETHA SWING SETUP</x:v>
      </x:c>
      <x:c r="F2791" s="50" t="str">
        <x:v>WATCH</x:v>
      </x:c>
      <x:c r="G2791" s="50"/>
      <x:c r="H2791" s="50" t="str">
        <x:v>LONG</x:v>
      </x:c>
      <x:c r="I2791" s="71" t="n">
        <x:v>14.48</x:v>
      </x:c>
      <x:c r="J2791" s="76" t="str">
        <x:v>SIP</x:v>
      </x:c>
    </x:row>
    <x:row r="2792">
      <x:c r="A2792" s="50" t="str">
        <x:v>019fde8d-352e-7e14-9df6-488aa6b7fa71</x:v>
      </x:c>
      <x:c r="B2792" s="50" t="str">
        <x:v>NOC</x:v>
      </x:c>
      <x:c r="C2792" s="70" t="n">
        <x:v>46241.9771294213</x:v>
      </x:c>
      <x:c r="D2792" s="50" t="str">
        <x:v>SWING_SETUP</x:v>
      </x:c>
      <x:c r="E2792" s="50" t="str">
        <x:v>NOC SWING SETUP</x:v>
      </x:c>
      <x:c r="F2792" s="50" t="str">
        <x:v>WATCH</x:v>
      </x:c>
      <x:c r="G2792" s="50"/>
      <x:c r="H2792" s="50" t="str">
        <x:v>LONG</x:v>
      </x:c>
      <x:c r="I2792" s="71" t="n">
        <x:v>571.58</x:v>
      </x:c>
      <x:c r="J2792" s="76" t="str">
        <x:v>SIP</x:v>
      </x:c>
    </x:row>
    <x:row r="2793">
      <x:c r="A2793" s="50" t="str">
        <x:v>019fde8d-3579-7c5a-a638-aeac1376d17f</x:v>
      </x:c>
      <x:c r="B2793" s="50" t="str">
        <x:v>APA</x:v>
      </x:c>
      <x:c r="C2793" s="70" t="n">
        <x:v>46241.97713028935</x:v>
      </x:c>
      <x:c r="D2793" s="50" t="str">
        <x:v>SWING_SETUP</x:v>
      </x:c>
      <x:c r="E2793" s="50" t="str">
        <x:v>APA SWING SETUP</x:v>
      </x:c>
      <x:c r="F2793" s="50" t="str">
        <x:v>WATCH</x:v>
      </x:c>
      <x:c r="G2793" s="50"/>
      <x:c r="H2793" s="50" t="str">
        <x:v>LONG</x:v>
      </x:c>
      <x:c r="I2793" s="71" t="n">
        <x:v>37.648</x:v>
      </x:c>
      <x:c r="J2793" s="76" t="str">
        <x:v>SIP</x:v>
      </x:c>
    </x:row>
    <x:row r="2794">
      <x:c r="A2794" s="50" t="str">
        <x:v>019fde8d-3581-7ef5-b67d-26b477876bde</x:v>
      </x:c>
      <x:c r="B2794" s="50" t="str">
        <x:v>WELL</x:v>
      </x:c>
      <x:c r="C2794" s="70" t="n">
        <x:v>46241.97713038194</x:v>
      </x:c>
      <x:c r="D2794" s="50" t="str">
        <x:v>SWING_SETUP</x:v>
      </x:c>
      <x:c r="E2794" s="50" t="str">
        <x:v>WELL SWING SETUP</x:v>
      </x:c>
      <x:c r="F2794" s="50" t="str">
        <x:v>WATCH</x:v>
      </x:c>
      <x:c r="G2794" s="50"/>
      <x:c r="H2794" s="50" t="str">
        <x:v>LONG</x:v>
      </x:c>
      <x:c r="I2794" s="71" t="n">
        <x:v>236.92</x:v>
      </x:c>
      <x:c r="J2794" s="76" t="str">
        <x:v>SIP</x:v>
      </x:c>
    </x:row>
    <x:row r="2795">
      <x:c r="A2795" s="50" t="str">
        <x:v>019fde8d-36e6-7803-9574-fcdf49b180f6</x:v>
      </x:c>
      <x:c r="B2795" s="50" t="str">
        <x:v>ANET</x:v>
      </x:c>
      <x:c r="C2795" s="70" t="n">
        <x:v>46241.97713451389</x:v>
      </x:c>
      <x:c r="D2795" s="50" t="str">
        <x:v>SWING_SETUP</x:v>
      </x:c>
      <x:c r="E2795" s="50" t="str">
        <x:v>ANET SWING SETUP</x:v>
      </x:c>
      <x:c r="F2795" s="50" t="str">
        <x:v>WATCH</x:v>
      </x:c>
      <x:c r="G2795" s="50"/>
      <x:c r="H2795" s="50" t="str">
        <x:v>LONG</x:v>
      </x:c>
      <x:c r="I2795" s="71" t="n">
        <x:v>189.14</x:v>
      </x:c>
      <x:c r="J2795" s="76" t="str">
        <x:v>SIP</x:v>
      </x:c>
    </x:row>
    <x:row r="2796">
      <x:c r="A2796" s="50" t="str">
        <x:v>019fde8d-3718-7750-96b4-94dcc0a235b3</x:v>
      </x:c>
      <x:c r="B2796" s="50" t="str">
        <x:v>OXY</x:v>
      </x:c>
      <x:c r="C2796" s="70" t="n">
        <x:v>46241.977135092595</x:v>
      </x:c>
      <x:c r="D2796" s="50" t="str">
        <x:v>SWING_SETUP</x:v>
      </x:c>
      <x:c r="E2796" s="50" t="str">
        <x:v>OXY SWING SETUP</x:v>
      </x:c>
      <x:c r="F2796" s="50" t="str">
        <x:v>WATCH</x:v>
      </x:c>
      <x:c r="G2796" s="50"/>
      <x:c r="H2796" s="50" t="str">
        <x:v>LONG</x:v>
      </x:c>
      <x:c r="I2796" s="71" t="n">
        <x:v>56.03</x:v>
      </x:c>
      <x:c r="J2796" s="76" t="str">
        <x:v>SIP</x:v>
      </x:c>
    </x:row>
    <x:row r="2797">
      <x:c r="A2797" s="50" t="str">
        <x:v>019fde8d-372f-77fa-90cc-07542e725061</x:v>
      </x:c>
      <x:c r="B2797" s="50" t="str">
        <x:v>COP</x:v>
      </x:c>
      <x:c r="C2797" s="70" t="n">
        <x:v>46241.97713535879</x:v>
      </x:c>
      <x:c r="D2797" s="50" t="str">
        <x:v>SWING_SETUP</x:v>
      </x:c>
      <x:c r="E2797" s="50" t="str">
        <x:v>COP SWING SETUP</x:v>
      </x:c>
      <x:c r="F2797" s="50" t="str">
        <x:v>WATCH</x:v>
      </x:c>
      <x:c r="G2797" s="50"/>
      <x:c r="H2797" s="50" t="str">
        <x:v>LONG</x:v>
      </x:c>
      <x:c r="I2797" s="71" t="n">
        <x:v>117.6</x:v>
      </x:c>
      <x:c r="J2797" s="76" t="str">
        <x:v>SIP</x:v>
      </x:c>
    </x:row>
    <x:row r="2798">
      <x:c r="A2798" s="50" t="str">
        <x:v>019fde8d-374b-72c4-b725-77b56dca34d0</x:v>
      </x:c>
      <x:c r="B2798" s="50" t="str">
        <x:v>SBUX</x:v>
      </x:c>
      <x:c r="C2798" s="70" t="n">
        <x:v>46241.97713568287</x:v>
      </x:c>
      <x:c r="D2798" s="50" t="str">
        <x:v>SWING_SETUP</x:v>
      </x:c>
      <x:c r="E2798" s="50" t="str">
        <x:v>SBUX SWING SETUP</x:v>
      </x:c>
      <x:c r="F2798" s="50" t="str">
        <x:v>WATCH</x:v>
      </x:c>
      <x:c r="G2798" s="50"/>
      <x:c r="H2798" s="50" t="str">
        <x:v>LONG</x:v>
      </x:c>
      <x:c r="I2798" s="71" t="n">
        <x:v>105.58</x:v>
      </x:c>
      <x:c r="J2798" s="76" t="str">
        <x:v>SIP</x:v>
      </x:c>
    </x:row>
    <x:row r="2799">
      <x:c r="A2799" s="50" t="str">
        <x:v>019fde8d-3772-7946-8931-1316824c11eb</x:v>
      </x:c>
      <x:c r="B2799" s="50" t="str">
        <x:v>UNP</x:v>
      </x:c>
      <x:c r="C2799" s="70" t="n">
        <x:v>46241.97713613426</x:v>
      </x:c>
      <x:c r="D2799" s="50" t="str">
        <x:v>SWING_SETUP</x:v>
      </x:c>
      <x:c r="E2799" s="50" t="str">
        <x:v>UNP SWING SETUP</x:v>
      </x:c>
      <x:c r="F2799" s="50" t="str">
        <x:v>WATCH</x:v>
      </x:c>
      <x:c r="G2799" s="50"/>
      <x:c r="H2799" s="50" t="str">
        <x:v>LONG</x:v>
      </x:c>
      <x:c r="I2799" s="71" t="n">
        <x:v>293.13</x:v>
      </x:c>
      <x:c r="J2799" s="76" t="str">
        <x:v>SIP</x:v>
      </x:c>
    </x:row>
    <x:row r="2800">
      <x:c r="A2800" s="50" t="str">
        <x:v>019fde8d-382f-7e2d-97b7-8b53c87deffc</x:v>
      </x:c>
      <x:c r="B2800" s="50" t="str">
        <x:v>PYPL</x:v>
      </x:c>
      <x:c r="C2800" s="70" t="n">
        <x:v>46241.97713832176</x:v>
      </x:c>
      <x:c r="D2800" s="50" t="str">
        <x:v>SWING_SETUP</x:v>
      </x:c>
      <x:c r="E2800" s="50" t="str">
        <x:v>PYPL SWING SETUP</x:v>
      </x:c>
      <x:c r="F2800" s="50" t="str">
        <x:v>WATCH</x:v>
      </x:c>
      <x:c r="G2800" s="50"/>
      <x:c r="H2800" s="50" t="str">
        <x:v>LONG</x:v>
      </x:c>
      <x:c r="I2800" s="71" t="n">
        <x:v>59.095</x:v>
      </x:c>
      <x:c r="J2800" s="76" t="str">
        <x:v>SIP</x:v>
      </x:c>
    </x:row>
    <x:row r="2801">
      <x:c r="A2801" s="50" t="str">
        <x:v>019fde8f-07b1-762a-af17-f1513d75c28f</x:v>
      </x:c>
      <x:c r="B2801" s="50" t="str">
        <x:v>KO</x:v>
      </x:c>
      <x:c r="C2801" s="70" t="n">
        <x:v>46241.978511678244</x:v>
      </x:c>
      <x:c r="D2801" s="50" t="str">
        <x:v>SWING_SETUP</x:v>
      </x:c>
      <x:c r="E2801" s="50" t="str">
        <x:v>KO SWING SETUP</x:v>
      </x:c>
      <x:c r="F2801" s="50" t="str">
        <x:v>WATCH</x:v>
      </x:c>
      <x:c r="G2801" s="50"/>
      <x:c r="H2801" s="50" t="str">
        <x:v>LONG</x:v>
      </x:c>
      <x:c r="I2801" s="71" t="n">
        <x:v>86.9514</x:v>
      </x:c>
      <x:c r="J2801" s="76" t="str">
        <x:v>SIP</x:v>
      </x:c>
    </x:row>
    <x:row r="2802">
      <x:c r="A2802" s="50" t="str">
        <x:v>019fde8f-07d3-74a0-8030-8d6cf8e08f0e</x:v>
      </x:c>
      <x:c r="B2802" s="50" t="str">
        <x:v>CEG</x:v>
      </x:c>
      <x:c r="C2802" s="70" t="n">
        <x:v>46241.97851207176</x:v>
      </x:c>
      <x:c r="D2802" s="50" t="str">
        <x:v>SWING_SETUP</x:v>
      </x:c>
      <x:c r="E2802" s="50" t="str">
        <x:v>CEG SWING SETUP</x:v>
      </x:c>
      <x:c r="F2802" s="50" t="str">
        <x:v>WATCH</x:v>
      </x:c>
      <x:c r="G2802" s="50"/>
      <x:c r="H2802" s="50" t="str">
        <x:v>LONG</x:v>
      </x:c>
      <x:c r="I2802" s="71" t="n">
        <x:v>269.9</x:v>
      </x:c>
      <x:c r="J2802" s="76" t="str">
        <x:v>SIP</x:v>
      </x:c>
    </x:row>
    <x:row r="2803">
      <x:c r="A2803" s="50" t="str">
        <x:v>019fde8f-0843-7883-9fd4-d64ebbd0aad7</x:v>
      </x:c>
      <x:c r="B2803" s="50" t="str">
        <x:v>INTU</x:v>
      </x:c>
      <x:c r="C2803" s="70" t="n">
        <x:v>46241.978513368056</x:v>
      </x:c>
      <x:c r="D2803" s="50" t="str">
        <x:v>SWING_SETUP</x:v>
      </x:c>
      <x:c r="E2803" s="50" t="str">
        <x:v>INTU SWING SETUP</x:v>
      </x:c>
      <x:c r="F2803" s="50" t="str">
        <x:v>WATCH</x:v>
      </x:c>
      <x:c r="G2803" s="50"/>
      <x:c r="H2803" s="50" t="str">
        <x:v>LONG</x:v>
      </x:c>
      <x:c r="I2803" s="71" t="n">
        <x:v>325.25</x:v>
      </x:c>
      <x:c r="J2803" s="76" t="str">
        <x:v>SIP</x:v>
      </x:c>
    </x:row>
    <x:row r="2804">
      <x:c r="A2804" s="50" t="str">
        <x:v>019fde8f-08aa-783c-bbec-2c71f965fea4</x:v>
      </x:c>
      <x:c r="B2804" s="50" t="str">
        <x:v>APH</x:v>
      </x:c>
      <x:c r="C2804" s="70" t="n">
        <x:v>46241.97851454861</x:v>
      </x:c>
      <x:c r="D2804" s="50" t="str">
        <x:v>LONG_BUY_ZONE</x:v>
      </x:c>
      <x:c r="E2804" s="50" t="str">
        <x:v>APH LONG BUY ZONE</x:v>
      </x:c>
      <x:c r="F2804" s="50" t="str">
        <x:v>WATCH</x:v>
      </x:c>
      <x:c r="G2804" s="50"/>
      <x:c r="H2804" s="50" t="str">
        <x:v>LONG</x:v>
      </x:c>
      <x:c r="I2804" s="71" t="n">
        <x:v>169.34</x:v>
      </x:c>
      <x:c r="J2804" s="76" t="str">
        <x:v>SIP</x:v>
      </x:c>
    </x:row>
    <x:row r="2805">
      <x:c r="A2805" s="50" t="str">
        <x:v>019fde90-dd2c-77b9-a982-9236e2a1c4b1</x:v>
      </x:c>
      <x:c r="B2805" s="50" t="str">
        <x:v>RDW</x:v>
      </x:c>
      <x:c r="C2805" s="70" t="n">
        <x:v>46241.97990273148</x:v>
      </x:c>
      <x:c r="D2805" s="50" t="str">
        <x:v>SWING_SETUP</x:v>
      </x:c>
      <x:c r="E2805" s="50" t="str">
        <x:v>RDW SWING SETUP</x:v>
      </x:c>
      <x:c r="F2805" s="50" t="str">
        <x:v>WATCH</x:v>
      </x:c>
      <x:c r="G2805" s="50"/>
      <x:c r="H2805" s="50" t="str">
        <x:v>LONG</x:v>
      </x:c>
      <x:c r="I2805" s="71" t="n">
        <x:v>13.6154</x:v>
      </x:c>
      <x:c r="J2805" s="76" t="str">
        <x:v>SIP</x:v>
      </x:c>
    </x:row>
    <x:row r="2806">
      <x:c r="A2806" s="50" t="str">
        <x:v>019fde90-dd57-722f-b63a-358643309121</x:v>
      </x:c>
      <x:c r="B2806" s="50" t="str">
        <x:v>ECL</x:v>
      </x:c>
      <x:c r="C2806" s="70" t="n">
        <x:v>46241.979903217594</x:v>
      </x:c>
      <x:c r="D2806" s="50" t="str">
        <x:v>SWING_SETUP</x:v>
      </x:c>
      <x:c r="E2806" s="50" t="str">
        <x:v>ECL SWING SETUP</x:v>
      </x:c>
      <x:c r="F2806" s="50" t="str">
        <x:v>WATCH</x:v>
      </x:c>
      <x:c r="G2806" s="50"/>
      <x:c r="H2806" s="50" t="str">
        <x:v>LONG</x:v>
      </x:c>
      <x:c r="I2806" s="71" t="n">
        <x:v>285.17</x:v>
      </x:c>
      <x:c r="J2806" s="76" t="str">
        <x:v>SIP</x:v>
      </x:c>
    </x:row>
    <x:row r="2807">
      <x:c r="A2807" s="50" t="str">
        <x:v>019fde90-dd90-7b7c-97c2-6a243ff4eddd</x:v>
      </x:c>
      <x:c r="B2807" s="50" t="str">
        <x:v>JD</x:v>
      </x:c>
      <x:c r="C2807" s="70" t="n">
        <x:v>46241.97990388889</x:v>
      </x:c>
      <x:c r="D2807" s="50" t="str">
        <x:v>SWING_SETUP</x:v>
      </x:c>
      <x:c r="E2807" s="50" t="str">
        <x:v>JD SWING SETUP</x:v>
      </x:c>
      <x:c r="F2807" s="50" t="str">
        <x:v>WATCH</x:v>
      </x:c>
      <x:c r="G2807" s="50"/>
      <x:c r="H2807" s="50" t="str">
        <x:v>LONG</x:v>
      </x:c>
      <x:c r="I2807" s="71" t="n">
        <x:v>33</x:v>
      </x:c>
      <x:c r="J2807" s="76" t="str">
        <x:v>SIP</x:v>
      </x:c>
    </x:row>
    <x:row r="2808">
      <x:c r="A2808" s="50" t="str">
        <x:v>019fde90-ddba-7de0-b341-ad8d0ab7b3e3</x:v>
      </x:c>
      <x:c r="B2808" s="50" t="str">
        <x:v>BAC</x:v>
      </x:c>
      <x:c r="C2808" s="70" t="n">
        <x:v>46241.979904375</x:v>
      </x:c>
      <x:c r="D2808" s="50" t="str">
        <x:v>SWING_SETUP</x:v>
      </x:c>
      <x:c r="E2808" s="50" t="str">
        <x:v>BAC SWING SETUP</x:v>
      </x:c>
      <x:c r="F2808" s="50" t="str">
        <x:v>WATCH</x:v>
      </x:c>
      <x:c r="G2808" s="50"/>
      <x:c r="H2808" s="50" t="str">
        <x:v>LONG</x:v>
      </x:c>
      <x:c r="I2808" s="71" t="n">
        <x:v>63.19</x:v>
      </x:c>
      <x:c r="J2808" s="76" t="str">
        <x:v>SIP</x:v>
      </x:c>
    </x:row>
    <x:row r="2809">
      <x:c r="A2809" s="50" t="str">
        <x:v>019fde90-de1f-777b-8f96-7eb3ae57a6c8</x:v>
      </x:c>
      <x:c r="B2809" s="50" t="str">
        <x:v>TMDX</x:v>
      </x:c>
      <x:c r="C2809" s="70" t="n">
        <x:v>46241.97990554398</x:v>
      </x:c>
      <x:c r="D2809" s="50" t="str">
        <x:v>SWING_SETUP</x:v>
      </x:c>
      <x:c r="E2809" s="50" t="str">
        <x:v>TMDX SWING SETUP</x:v>
      </x:c>
      <x:c r="F2809" s="50" t="str">
        <x:v>WATCH</x:v>
      </x:c>
      <x:c r="G2809" s="50"/>
      <x:c r="H2809" s="50" t="str">
        <x:v>LONG</x:v>
      </x:c>
      <x:c r="I2809" s="71" t="n">
        <x:v>83.5</x:v>
      </x:c>
      <x:c r="J2809" s="76" t="str">
        <x:v>SIP</x:v>
      </x:c>
    </x:row>
    <x:row r="2810">
      <x:c r="A2810" s="50" t="str">
        <x:v>019fde90-de28-7294-9c00-f1f2a51df52b</x:v>
      </x:c>
      <x:c r="B2810" s="50" t="str">
        <x:v>SCHW</x:v>
      </x:c>
      <x:c r="C2810" s="70" t="n">
        <x:v>46241.97990564815</x:v>
      </x:c>
      <x:c r="D2810" s="50" t="str">
        <x:v>SWING_SETUP</x:v>
      </x:c>
      <x:c r="E2810" s="50" t="str">
        <x:v>SCHW SWING SETUP</x:v>
      </x:c>
      <x:c r="F2810" s="50" t="str">
        <x:v>WATCH</x:v>
      </x:c>
      <x:c r="G2810" s="50"/>
      <x:c r="H2810" s="50" t="str">
        <x:v>LONG</x:v>
      </x:c>
      <x:c r="I2810" s="71" t="n">
        <x:v>107.6</x:v>
      </x:c>
      <x:c r="J2810" s="76" t="str">
        <x:v>SIP</x:v>
      </x:c>
    </x:row>
    <x:row r="2811">
      <x:c r="A2811" s="50" t="str">
        <x:v>019fde90-de3b-7d60-a43f-e6d51684a017</x:v>
      </x:c>
      <x:c r="B2811" s="50" t="str">
        <x:v>PLTR</x:v>
      </x:c>
      <x:c r="C2811" s="70" t="n">
        <x:v>46241.97990586806</x:v>
      </x:c>
      <x:c r="D2811" s="50" t="str">
        <x:v>SWING_SETUP</x:v>
      </x:c>
      <x:c r="E2811" s="50" t="str">
        <x:v>PLTR SWING SETUP</x:v>
      </x:c>
      <x:c r="F2811" s="50" t="str">
        <x:v>WATCH</x:v>
      </x:c>
      <x:c r="G2811" s="50"/>
      <x:c r="H2811" s="50" t="str">
        <x:v>LONG</x:v>
      </x:c>
      <x:c r="I2811" s="71" t="n">
        <x:v>171.46</x:v>
      </x:c>
      <x:c r="J2811" s="76" t="str">
        <x:v>SIP</x:v>
      </x:c>
    </x:row>
    <x:row r="2812">
      <x:c r="A2812" s="50" t="str">
        <x:v>019fde90-df47-7af6-adc1-0daf42d195a1</x:v>
      </x:c>
      <x:c r="B2812" s="50" t="str">
        <x:v>LMT</x:v>
      </x:c>
      <x:c r="C2812" s="70" t="n">
        <x:v>46241.97990896991</x:v>
      </x:c>
      <x:c r="D2812" s="50" t="str">
        <x:v>SWING_SETUP</x:v>
      </x:c>
      <x:c r="E2812" s="50" t="str">
        <x:v>LMT SWING SETUP</x:v>
      </x:c>
      <x:c r="F2812" s="50" t="str">
        <x:v>WATCH</x:v>
      </x:c>
      <x:c r="G2812" s="50"/>
      <x:c r="H2812" s="50" t="str">
        <x:v>LONG</x:v>
      </x:c>
      <x:c r="I2812" s="71" t="n">
        <x:v>587.92</x:v>
      </x:c>
      <x:c r="J2812" s="76" t="str">
        <x:v>SIP</x:v>
      </x:c>
    </x:row>
    <x:row r="2813">
      <x:c r="A2813" s="50" t="str">
        <x:v>019fde90-df61-7f9e-ae30-75bbdbbd20ec</x:v>
      </x:c>
      <x:c r="B2813" s="50" t="str">
        <x:v>PSX</x:v>
      </x:c>
      <x:c r="C2813" s="70" t="n">
        <x:v>46241.979909270834</x:v>
      </x:c>
      <x:c r="D2813" s="50" t="str">
        <x:v>SWING_SETUP</x:v>
      </x:c>
      <x:c r="E2813" s="50" t="str">
        <x:v>PSX SWING SETUP</x:v>
      </x:c>
      <x:c r="F2813" s="50" t="str">
        <x:v>WATCH</x:v>
      </x:c>
      <x:c r="G2813" s="50"/>
      <x:c r="H2813" s="50" t="str">
        <x:v>LONG</x:v>
      </x:c>
      <x:c r="I2813" s="71" t="n">
        <x:v>203.91</x:v>
      </x:c>
      <x:c r="J2813" s="76" t="str">
        <x:v>SIP</x:v>
      </x:c>
    </x:row>
    <x:row r="2814">
      <x:c r="A2814" s="50" t="str">
        <x:v>019fde90-df6a-77cf-993f-968b249f0eeb</x:v>
      </x:c>
      <x:c r="B2814" s="50" t="str">
        <x:v>ETN</x:v>
      </x:c>
      <x:c r="C2814" s="70" t="n">
        <x:v>46241.979909375</x:v>
      </x:c>
      <x:c r="D2814" s="50" t="str">
        <x:v>SWING_SETUP</x:v>
      </x:c>
      <x:c r="E2814" s="50" t="str">
        <x:v>ETN SWING SETUP</x:v>
      </x:c>
      <x:c r="F2814" s="50" t="str">
        <x:v>WATCH</x:v>
      </x:c>
      <x:c r="G2814" s="50"/>
      <x:c r="H2814" s="50" t="str">
        <x:v>LONG</x:v>
      </x:c>
      <x:c r="I2814" s="71" t="n">
        <x:v>448.67</x:v>
      </x:c>
      <x:c r="J2814" s="76" t="str">
        <x:v>SIP</x:v>
      </x:c>
    </x:row>
    <x:row r="2815">
      <x:c r="A2815" s="50" t="str">
        <x:v>019fde90-dfb8-72cc-9e4a-25eb26dc03ac</x:v>
      </x:c>
      <x:c r="B2815" s="50" t="str">
        <x:v>ABNB</x:v>
      </x:c>
      <x:c r="C2815" s="70" t="n">
        <x:v>46241.979910277776</x:v>
      </x:c>
      <x:c r="D2815" s="50" t="str">
        <x:v>SWING_SETUP</x:v>
      </x:c>
      <x:c r="E2815" s="50" t="str">
        <x:v>ABNB SWING SETUP</x:v>
      </x:c>
      <x:c r="F2815" s="50" t="str">
        <x:v>WATCH</x:v>
      </x:c>
      <x:c r="G2815" s="50"/>
      <x:c r="H2815" s="50" t="str">
        <x:v>LONG</x:v>
      </x:c>
      <x:c r="I2815" s="71" t="n">
        <x:v>177.7</x:v>
      </x:c>
      <x:c r="J2815" s="76" t="str">
        <x:v>SIP</x:v>
      </x:c>
    </x:row>
    <x:row r="2816">
      <x:c r="A2816" s="50" t="str">
        <x:v>019fde90-e080-71b0-87cb-3a5760772e41</x:v>
      </x:c>
      <x:c r="B2816" s="50" t="str">
        <x:v>APH</x:v>
      </x:c>
      <x:c r="C2816" s="70" t="n">
        <x:v>46241.97991259259</x:v>
      </x:c>
      <x:c r="D2816" s="50" t="str">
        <x:v>SWING_SETUP</x:v>
      </x:c>
      <x:c r="E2816" s="50" t="str">
        <x:v>APH SWING SETUP</x:v>
      </x:c>
      <x:c r="F2816" s="50" t="str">
        <x:v>WATCH</x:v>
      </x:c>
      <x:c r="G2816" s="50"/>
      <x:c r="H2816" s="50" t="str">
        <x:v>LONG</x:v>
      </x:c>
      <x:c r="I2816" s="71" t="n">
        <x:v>169.18</x:v>
      </x:c>
      <x:c r="J2816" s="76" t="str">
        <x:v>SIP</x:v>
      </x:c>
    </x:row>
    <x:row r="2817">
      <x:c r="A2817" s="50" t="str">
        <x:v>019fde90-e0a9-7e71-b1e3-864e8060f3cb</x:v>
      </x:c>
      <x:c r="B2817" s="50" t="str">
        <x:v>ACHV</x:v>
      </x:c>
      <x:c r="C2817" s="70" t="n">
        <x:v>46241.97991306713</x:v>
      </x:c>
      <x:c r="D2817" s="50" t="str">
        <x:v>SWING_SETUP</x:v>
      </x:c>
      <x:c r="E2817" s="50" t="str">
        <x:v>ACHV SWING SETUP</x:v>
      </x:c>
      <x:c r="F2817" s="50" t="str">
        <x:v>WATCH</x:v>
      </x:c>
      <x:c r="G2817" s="50"/>
      <x:c r="H2817" s="50" t="str">
        <x:v>LONG</x:v>
      </x:c>
      <x:c r="I2817" s="71" t="n">
        <x:v>6.65</x:v>
      </x:c>
      <x:c r="J2817" s="76" t="str">
        <x:v>SIP</x:v>
      </x:c>
    </x:row>
    <x:row r="2818">
      <x:c r="A2818" s="50" t="str">
        <x:v>019fde90-e105-7ccb-92fe-e538a3ca9e1b</x:v>
      </x:c>
      <x:c r="B2818" s="50" t="str">
        <x:v>MDLZ</x:v>
      </x:c>
      <x:c r="C2818" s="70" t="n">
        <x:v>46241.979914131945</x:v>
      </x:c>
      <x:c r="D2818" s="50" t="str">
        <x:v>SWING_SETUP</x:v>
      </x:c>
      <x:c r="E2818" s="50" t="str">
        <x:v>MDLZ SWING SETUP</x:v>
      </x:c>
      <x:c r="F2818" s="50" t="str">
        <x:v>WATCH</x:v>
      </x:c>
      <x:c r="G2818" s="50"/>
      <x:c r="H2818" s="50" t="str">
        <x:v>LONG</x:v>
      </x:c>
      <x:c r="I2818" s="71" t="n">
        <x:v>62.61</x:v>
      </x:c>
      <x:c r="J2818" s="76" t="str">
        <x:v>SIP</x:v>
      </x:c>
    </x:row>
    <x:row r="2819">
      <x:c r="A2819" s="50" t="str">
        <x:v>019fde91-c819-784a-abae-f5cb8eac32ec</x:v>
      </x:c>
      <x:c r="B2819" s="50" t="str">
        <x:v>VZ</x:v>
      </x:c>
      <x:c r="C2819" s="70" t="n">
        <x:v>46241.98059880787</x:v>
      </x:c>
      <x:c r="D2819" s="50" t="str">
        <x:v>LONG_BUY_ZONE</x:v>
      </x:c>
      <x:c r="E2819" s="50" t="str">
        <x:v>VZ LONG BUY ZONE</x:v>
      </x:c>
      <x:c r="F2819" s="50" t="str">
        <x:v>WATCH</x:v>
      </x:c>
      <x:c r="G2819" s="50"/>
      <x:c r="H2819" s="50" t="str">
        <x:v>LONG</x:v>
      </x:c>
      <x:c r="I2819" s="71" t="n">
        <x:v>46.998</x:v>
      </x:c>
      <x:c r="J2819" s="76" t="str">
        <x:v>SIP</x:v>
      </x:c>
    </x:row>
    <x:row r="2820">
      <x:c r="A2820" s="50" t="str">
        <x:v>019fde91-c889-7c9a-977c-07acfdaf7c61</x:v>
      </x:c>
      <x:c r="B2820" s="50" t="str">
        <x:v>SNOW</x:v>
      </x:c>
      <x:c r="C2820" s="70" t="n">
        <x:v>46241.980600104165</x:v>
      </x:c>
      <x:c r="D2820" s="50" t="str">
        <x:v>SWING_SETUP</x:v>
      </x:c>
      <x:c r="E2820" s="50" t="str">
        <x:v>SNOW SWING SETUP</x:v>
      </x:c>
      <x:c r="F2820" s="50" t="str">
        <x:v>WATCH</x:v>
      </x:c>
      <x:c r="G2820" s="50"/>
      <x:c r="H2820" s="50" t="str">
        <x:v>LONG</x:v>
      </x:c>
      <x:c r="I2820" s="71" t="n">
        <x:v>330.1</x:v>
      </x:c>
      <x:c r="J2820" s="76" t="str">
        <x:v>SIP</x:v>
      </x:c>
    </x:row>
    <x:row r="2821">
      <x:c r="A2821" s="50" t="str">
        <x:v>019fde91-c907-752f-843b-1422b4117e66</x:v>
      </x:c>
      <x:c r="B2821" s="50" t="str">
        <x:v>BKNG</x:v>
      </x:c>
      <x:c r="C2821" s="70" t="n">
        <x:v>46241.9806015625</x:v>
      </x:c>
      <x:c r="D2821" s="50" t="str">
        <x:v>SWING_SETUP</x:v>
      </x:c>
      <x:c r="E2821" s="50" t="str">
        <x:v>BKNG SWING SETUP</x:v>
      </x:c>
      <x:c r="F2821" s="50" t="str">
        <x:v>WATCH</x:v>
      </x:c>
      <x:c r="G2821" s="50"/>
      <x:c r="H2821" s="50" t="str">
        <x:v>LONG</x:v>
      </x:c>
      <x:c r="I2821" s="71" t="n">
        <x:v>213.08</x:v>
      </x:c>
      <x:c r="J2821" s="76" t="str">
        <x:v>SIP</x:v>
      </x:c>
    </x:row>
    <x:row r="2822">
      <x:c r="A2822" s="50" t="str">
        <x:v>019fde91-c99e-77f5-9dc6-8d6618fb1ae1</x:v>
      </x:c>
      <x:c r="B2822" s="50" t="str">
        <x:v>CLPT</x:v>
      </x:c>
      <x:c r="C2822" s="70" t="n">
        <x:v>46241.980603310185</x:v>
      </x:c>
      <x:c r="D2822" s="50" t="str">
        <x:v>ENTRY_WATCH</x:v>
      </x:c>
      <x:c r="E2822" s="50" t="str">
        <x:v>CLPT ENTRY BREAKAWAY WATCH</x:v>
      </x:c>
      <x:c r="F2822" s="50" t="str">
        <x:v>WATCH</x:v>
      </x:c>
      <x:c r="G2822" s="50"/>
      <x:c r="H2822" s="50" t="str">
        <x:v>LONG</x:v>
      </x:c>
      <x:c r="I2822" s="71" t="n">
        <x:v>14.3</x:v>
      </x:c>
      <x:c r="J2822" s="76" t="str">
        <x:v>SIP</x:v>
      </x:c>
    </x:row>
    <x:row r="2823">
      <x:c r="A2823" s="50" t="str">
        <x:v>019fde92-b23c-72d2-b250-ce3bc0450135</x:v>
      </x:c>
      <x:c r="B2823" s="50" t="str">
        <x:v>SBUX</x:v>
      </x:c>
      <x:c r="C2823" s="70" t="n">
        <x:v>46241.9812925463</x:v>
      </x:c>
      <x:c r="D2823" s="50" t="str">
        <x:v>LONG_BUY_ZONE</x:v>
      </x:c>
      <x:c r="E2823" s="50" t="str">
        <x:v>SBUX LONG BUY ZONE</x:v>
      </x:c>
      <x:c r="F2823" s="50" t="str">
        <x:v>WATCH</x:v>
      </x:c>
      <x:c r="G2823" s="50"/>
      <x:c r="H2823" s="50" t="str">
        <x:v>LONG</x:v>
      </x:c>
      <x:c r="I2823" s="71" t="n">
        <x:v>105.7</x:v>
      </x:c>
      <x:c r="J2823" s="76" t="str">
        <x:v>SIP</x:v>
      </x:c>
    </x:row>
    <x:row r="2824">
      <x:c r="A2824" s="50" t="str">
        <x:v>019fde92-b2ef-7273-a39c-c3c03468ebec</x:v>
      </x:c>
      <x:c r="B2824" s="50" t="str">
        <x:v>TGT</x:v>
      </x:c>
      <x:c r="C2824" s="70" t="n">
        <x:v>46241.981294618054</x:v>
      </x:c>
      <x:c r="D2824" s="50" t="str">
        <x:v>SWING_SETUP</x:v>
      </x:c>
      <x:c r="E2824" s="50" t="str">
        <x:v>TGT SWING SETUP</x:v>
      </x:c>
      <x:c r="F2824" s="50" t="str">
        <x:v>WATCH</x:v>
      </x:c>
      <x:c r="G2824" s="50"/>
      <x:c r="H2824" s="50" t="str">
        <x:v>LONG</x:v>
      </x:c>
      <x:c r="I2824" s="71" t="n">
        <x:v>149.5</x:v>
      </x:c>
      <x:c r="J2824" s="76" t="str">
        <x:v>SIP</x:v>
      </x:c>
    </x:row>
    <x:row r="2825">
      <x:c r="A2825" s="50" t="str">
        <x:v>019fde93-9c27-7c83-8704-07c8b0c6ea57</x:v>
      </x:c>
      <x:c r="B2825" s="50" t="str">
        <x:v>RCL</x:v>
      </x:c>
      <x:c r="C2825" s="70" t="n">
        <x:v>46241.981985625</x:v>
      </x:c>
      <x:c r="D2825" s="50" t="str">
        <x:v>SWING_SETUP</x:v>
      </x:c>
      <x:c r="E2825" s="50" t="str">
        <x:v>RCL SWING SETUP</x:v>
      </x:c>
      <x:c r="F2825" s="50" t="str">
        <x:v>WATCH</x:v>
      </x:c>
      <x:c r="G2825" s="50"/>
      <x:c r="H2825" s="50" t="str">
        <x:v>LONG</x:v>
      </x:c>
      <x:c r="I2825" s="71" t="n">
        <x:v>320</x:v>
      </x:c>
      <x:c r="J2825" s="76" t="str">
        <x:v>SIP</x:v>
      </x:c>
    </x:row>
    <x:row r="2826">
      <x:c r="A2826" s="50" t="str">
        <x:v>019fde93-9dc0-7a40-bbb7-3f2dca4b8f65</x:v>
      </x:c>
      <x:c r="B2826" s="50" t="str">
        <x:v>SE</x:v>
      </x:c>
      <x:c r="C2826" s="70" t="n">
        <x:v>46241.98199037037</x:v>
      </x:c>
      <x:c r="D2826" s="50" t="str">
        <x:v>SWING_SETUP</x:v>
      </x:c>
      <x:c r="E2826" s="50" t="str">
        <x:v>SE SWING SETUP</x:v>
      </x:c>
      <x:c r="F2826" s="50" t="str">
        <x:v>WATCH</x:v>
      </x:c>
      <x:c r="G2826" s="50"/>
      <x:c r="H2826" s="50" t="str">
        <x:v>LONG</x:v>
      </x:c>
      <x:c r="I2826" s="71" t="n">
        <x:v>113.43</x:v>
      </x:c>
      <x:c r="J2826" s="76" t="str">
        <x:v>SIP</x:v>
      </x:c>
    </x:row>
    <x:row r="2827">
      <x:c r="A2827" s="50" t="str">
        <x:v>019fde93-9e28-701d-935a-fbef3a60353b</x:v>
      </x:c>
      <x:c r="B2827" s="50" t="str">
        <x:v>NUE</x:v>
      </x:c>
      <x:c r="C2827" s="70" t="n">
        <x:v>46241.9819915625</x:v>
      </x:c>
      <x:c r="D2827" s="50" t="str">
        <x:v>SWING_SETUP</x:v>
      </x:c>
      <x:c r="E2827" s="50" t="str">
        <x:v>NUE SWING SETUP</x:v>
      </x:c>
      <x:c r="F2827" s="50" t="str">
        <x:v>WATCH</x:v>
      </x:c>
      <x:c r="G2827" s="50"/>
      <x:c r="H2827" s="50" t="str">
        <x:v>LONG</x:v>
      </x:c>
      <x:c r="I2827" s="71" t="n">
        <x:v>272.57</x:v>
      </x:c>
      <x:c r="J2827" s="76" t="str">
        <x:v>SIP</x:v>
      </x:c>
    </x:row>
    <x:row r="2828">
      <x:c r="A2828" s="50" t="str">
        <x:v>019fde93-9e47-73e6-b920-e0cd8d127e0b</x:v>
      </x:c>
      <x:c r="B2828" s="50" t="str">
        <x:v>DE</x:v>
      </x:c>
      <x:c r="C2828" s="70" t="n">
        <x:v>46241.98199193287</x:v>
      </x:c>
      <x:c r="D2828" s="50" t="str">
        <x:v>SWING_SETUP</x:v>
      </x:c>
      <x:c r="E2828" s="50" t="str">
        <x:v>DE SWING SETUP</x:v>
      </x:c>
      <x:c r="F2828" s="50" t="str">
        <x:v>WATCH</x:v>
      </x:c>
      <x:c r="G2828" s="50"/>
      <x:c r="H2828" s="50" t="str">
        <x:v>LONG</x:v>
      </x:c>
      <x:c r="I2828" s="71" t="n">
        <x:v>620.83</x:v>
      </x:c>
      <x:c r="J2828" s="76" t="str">
        <x:v>SIP</x:v>
      </x:c>
    </x:row>
    <x:row r="2829">
      <x:c r="A2829" s="50" t="str">
        <x:v>019fde93-9ef9-7f03-b177-e70ddbac7dda</x:v>
      </x:c>
      <x:c r="B2829" s="50" t="str">
        <x:v>MMM</x:v>
      </x:c>
      <x:c r="C2829" s="70" t="n">
        <x:v>46241.98199399305</x:v>
      </x:c>
      <x:c r="D2829" s="50" t="str">
        <x:v>SWING_SETUP</x:v>
      </x:c>
      <x:c r="E2829" s="50" t="str">
        <x:v>MMM SWING SETUP</x:v>
      </x:c>
      <x:c r="F2829" s="50" t="str">
        <x:v>WATCH</x:v>
      </x:c>
      <x:c r="G2829" s="50"/>
      <x:c r="H2829" s="50" t="str">
        <x:v>LONG</x:v>
      </x:c>
      <x:c r="I2829" s="71" t="n">
        <x:v>182.89</x:v>
      </x:c>
      <x:c r="J2829" s="76" t="str">
        <x:v>SIP</x:v>
      </x:c>
    </x:row>
    <x:row r="2830">
      <x:c r="A2830" s="50" t="str">
        <x:v>019fde93-9f00-79d1-9f84-ee9add84a8be</x:v>
      </x:c>
      <x:c r="B2830" s="50" t="str">
        <x:v>ABT</x:v>
      </x:c>
      <x:c r="C2830" s="70" t="n">
        <x:v>46241.98199407407</x:v>
      </x:c>
      <x:c r="D2830" s="50" t="str">
        <x:v>SWING_SETUP</x:v>
      </x:c>
      <x:c r="E2830" s="50" t="str">
        <x:v>ABT SWING SETUP</x:v>
      </x:c>
      <x:c r="F2830" s="50" t="str">
        <x:v>WATCH</x:v>
      </x:c>
      <x:c r="G2830" s="50"/>
      <x:c r="H2830" s="50" t="str">
        <x:v>LONG</x:v>
      </x:c>
      <x:c r="I2830" s="71" t="n">
        <x:v>107.81</x:v>
      </x:c>
      <x:c r="J2830" s="76" t="str">
        <x:v>SIP</x:v>
      </x:c>
    </x:row>
    <x:row r="2831">
      <x:c r="A2831" s="50" t="str">
        <x:v>019fde94-862b-73e3-9c99-9323bf0d62f4</x:v>
      </x:c>
      <x:c r="B2831" s="50" t="str">
        <x:v>BLK</x:v>
      </x:c>
      <x:c r="C2831" s="70" t="n">
        <x:v>46241.98267900463</x:v>
      </x:c>
      <x:c r="D2831" s="50" t="str">
        <x:v>SWING_SETUP</x:v>
      </x:c>
      <x:c r="E2831" s="50" t="str">
        <x:v>BLK SWING SETUP</x:v>
      </x:c>
      <x:c r="F2831" s="50" t="str">
        <x:v>WATCH</x:v>
      </x:c>
      <x:c r="G2831" s="50"/>
      <x:c r="H2831" s="50" t="str">
        <x:v>LONG</x:v>
      </x:c>
      <x:c r="I2831" s="71" t="n">
        <x:v>1136.4</x:v>
      </x:c>
      <x:c r="J2831" s="76" t="str">
        <x:v>SIP</x:v>
      </x:c>
    </x:row>
    <x:row r="2832">
      <x:c r="A2832" s="50" t="str">
        <x:v>019fde94-86ab-7728-ad49-cbd60036cf78</x:v>
      </x:c>
      <x:c r="B2832" s="50" t="str">
        <x:v>WFC</x:v>
      </x:c>
      <x:c r="C2832" s="70" t="n">
        <x:v>46241.982680497684</x:v>
      </x:c>
      <x:c r="D2832" s="50" t="str">
        <x:v>SWING_SETUP</x:v>
      </x:c>
      <x:c r="E2832" s="50" t="str">
        <x:v>WFC SWING SETUP</x:v>
      </x:c>
      <x:c r="F2832" s="50" t="str">
        <x:v>WATCH</x:v>
      </x:c>
      <x:c r="G2832" s="50"/>
      <x:c r="H2832" s="50" t="str">
        <x:v>LONG</x:v>
      </x:c>
      <x:c r="I2832" s="71" t="n">
        <x:v>87.235</x:v>
      </x:c>
      <x:c r="J2832" s="76" t="str">
        <x:v>SIP</x:v>
      </x:c>
    </x:row>
    <x:row r="2833">
      <x:c r="A2833" s="50" t="str">
        <x:v>019fde94-8747-763c-8956-b1f3a1c6c994</x:v>
      </x:c>
      <x:c r="B2833" s="50" t="str">
        <x:v>UEC</x:v>
      </x:c>
      <x:c r="C2833" s="70" t="n">
        <x:v>46241.982682291666</x:v>
      </x:c>
      <x:c r="D2833" s="50" t="str">
        <x:v>SWING_SETUP</x:v>
      </x:c>
      <x:c r="E2833" s="50" t="str">
        <x:v>UEC SWING SETUP</x:v>
      </x:c>
      <x:c r="F2833" s="50" t="str">
        <x:v>WATCH</x:v>
      </x:c>
      <x:c r="G2833" s="50"/>
      <x:c r="H2833" s="50" t="str">
        <x:v>LONG</x:v>
      </x:c>
      <x:c r="I2833" s="71" t="n">
        <x:v>11.2707</x:v>
      </x:c>
      <x:c r="J2833" s="76" t="str">
        <x:v>SIP</x:v>
      </x:c>
    </x:row>
    <x:row r="2834">
      <x:c r="A2834" s="50" t="str">
        <x:v>019fde94-875b-7143-aaa0-38af69547b0d</x:v>
      </x:c>
      <x:c r="B2834" s="50" t="str">
        <x:v>BLFS</x:v>
      </x:c>
      <x:c r="C2834" s="70" t="n">
        <x:v>46241.98268253472</x:v>
      </x:c>
      <x:c r="D2834" s="50" t="str">
        <x:v>SWING_SETUP</x:v>
      </x:c>
      <x:c r="E2834" s="50" t="str">
        <x:v>BLFS SWING SETUP</x:v>
      </x:c>
      <x:c r="F2834" s="50" t="str">
        <x:v>WATCH</x:v>
      </x:c>
      <x:c r="G2834" s="50"/>
      <x:c r="H2834" s="50" t="str">
        <x:v>LONG</x:v>
      </x:c>
      <x:c r="I2834" s="71" t="n">
        <x:v>34.645</x:v>
      </x:c>
      <x:c r="J2834" s="76" t="str">
        <x:v>SIP</x:v>
      </x:c>
    </x:row>
    <x:row r="2835">
      <x:c r="A2835" s="50" t="str">
        <x:v>019fde94-899c-7765-8f6a-6503e0e52b13</x:v>
      </x:c>
      <x:c r="B2835" s="50" t="str">
        <x:v>DLR</x:v>
      </x:c>
      <x:c r="C2835" s="70" t="n">
        <x:v>46241.982689212964</x:v>
      </x:c>
      <x:c r="D2835" s="50" t="str">
        <x:v>SWING_SETUP</x:v>
      </x:c>
      <x:c r="E2835" s="50" t="str">
        <x:v>DLR SWING SETUP</x:v>
      </x:c>
      <x:c r="F2835" s="50" t="str">
        <x:v>WATCH</x:v>
      </x:c>
      <x:c r="G2835" s="50"/>
      <x:c r="H2835" s="50" t="str">
        <x:v>LONG</x:v>
      </x:c>
      <x:c r="I2835" s="71" t="n">
        <x:v>193.8</x:v>
      </x:c>
      <x:c r="J2835" s="76" t="str">
        <x:v>SIP</x:v>
      </x:c>
    </x:row>
    <x:row r="2836">
      <x:c r="A2836" s="50" t="str">
        <x:v>019fde94-8a43-7988-a6a1-f4bae23a006e</x:v>
      </x:c>
      <x:c r="B2836" s="50" t="str">
        <x:v>PM</x:v>
      </x:c>
      <x:c r="C2836" s="70" t="n">
        <x:v>46241.98269114584</x:v>
      </x:c>
      <x:c r="D2836" s="50" t="str">
        <x:v>SWING_SETUP</x:v>
      </x:c>
      <x:c r="E2836" s="50" t="str">
        <x:v>PM SWING SETUP</x:v>
      </x:c>
      <x:c r="F2836" s="50" t="str">
        <x:v>WATCH</x:v>
      </x:c>
      <x:c r="G2836" s="50"/>
      <x:c r="H2836" s="50" t="str">
        <x:v>LONG</x:v>
      </x:c>
      <x:c r="I2836" s="71" t="n">
        <x:v>189.57</x:v>
      </x:c>
      <x:c r="J2836" s="76" t="str">
        <x:v>SIP</x:v>
      </x:c>
    </x:row>
    <x:row r="2837">
      <x:c r="A2837" s="50" t="str">
        <x:v>019fde95-6f9b-7ded-9a95-348a3cdb9443</x:v>
      </x:c>
      <x:c r="B2837" s="50" t="str">
        <x:v>HRL</x:v>
      </x:c>
      <x:c r="C2837" s="70" t="n">
        <x:v>46241.98337068287</x:v>
      </x:c>
      <x:c r="D2837" s="50" t="str">
        <x:v>LONG_BUY_ZONE</x:v>
      </x:c>
      <x:c r="E2837" s="50" t="str">
        <x:v>HRL LONG BUY ZONE</x:v>
      </x:c>
      <x:c r="F2837" s="50" t="str">
        <x:v>WATCH</x:v>
      </x:c>
      <x:c r="G2837" s="50"/>
      <x:c r="H2837" s="50" t="str">
        <x:v>LONG</x:v>
      </x:c>
      <x:c r="I2837" s="71" t="n">
        <x:v>25.1</x:v>
      </x:c>
      <x:c r="J2837" s="76" t="str">
        <x:v>SIP</x:v>
      </x:c>
    </x:row>
    <x:row r="2838">
      <x:c r="A2838" s="50" t="str">
        <x:v>019fde95-6fa6-7425-8b07-1cbc012e0df6</x:v>
      </x:c>
      <x:c r="B2838" s="50" t="str">
        <x:v>BABA</x:v>
      </x:c>
      <x:c r="C2838" s="70" t="n">
        <x:v>46241.98337081019</x:v>
      </x:c>
      <x:c r="D2838" s="50" t="str">
        <x:v>SWING_SETUP</x:v>
      </x:c>
      <x:c r="E2838" s="50" t="str">
        <x:v>BABA SWING SETUP</x:v>
      </x:c>
      <x:c r="F2838" s="50" t="str">
        <x:v>WATCH</x:v>
      </x:c>
      <x:c r="G2838" s="50"/>
      <x:c r="H2838" s="50" t="str">
        <x:v>LONG</x:v>
      </x:c>
      <x:c r="I2838" s="71" t="n">
        <x:v>128.3</x:v>
      </x:c>
      <x:c r="J2838" s="76" t="str">
        <x:v>SIP</x:v>
      </x:c>
    </x:row>
    <x:row r="2839">
      <x:c r="A2839" s="50" t="str">
        <x:v>019fde95-71ee-772d-9f80-48698646385b</x:v>
      </x:c>
      <x:c r="B2839" s="50" t="str">
        <x:v>RTX</x:v>
      </x:c>
      <x:c r="C2839" s="70" t="n">
        <x:v>46241.98337756944</x:v>
      </x:c>
      <x:c r="D2839" s="50" t="str">
        <x:v>SWING_SETUP</x:v>
      </x:c>
      <x:c r="E2839" s="50" t="str">
        <x:v>RTX SWING SETUP</x:v>
      </x:c>
      <x:c r="F2839" s="50" t="str">
        <x:v>WATCH</x:v>
      </x:c>
      <x:c r="G2839" s="50"/>
      <x:c r="H2839" s="50" t="str">
        <x:v>LONG</x:v>
      </x:c>
      <x:c r="I2839" s="71" t="n">
        <x:v>223.65</x:v>
      </x:c>
      <x:c r="J2839" s="76" t="str">
        <x:v>SIP</x:v>
      </x:c>
    </x:row>
    <x:row r="2840">
      <x:c r="A2840" s="50" t="str">
        <x:v>019fde96-5d72-705f-9486-16278262d72a</x:v>
      </x:c>
      <x:c r="B2840" s="50" t="str">
        <x:v>SHW</x:v>
      </x:c>
      <x:c r="C2840" s="70" t="n">
        <x:v>46241.98407539352</x:v>
      </x:c>
      <x:c r="D2840" s="50" t="str">
        <x:v>SWING_SETUP</x:v>
      </x:c>
      <x:c r="E2840" s="50" t="str">
        <x:v>SHW SWING SETUP</x:v>
      </x:c>
      <x:c r="F2840" s="50" t="str">
        <x:v>WATCH</x:v>
      </x:c>
      <x:c r="G2840" s="50"/>
      <x:c r="H2840" s="50" t="str">
        <x:v>LONG</x:v>
      </x:c>
      <x:c r="I2840" s="71" t="n">
        <x:v>369.73</x:v>
      </x:c>
      <x:c r="J2840" s="76" t="str">
        <x:v>SIP</x:v>
      </x:c>
    </x:row>
    <x:row r="2841">
      <x:c r="A2841" s="50" t="str">
        <x:v>019fde96-5df1-7973-8e4c-134978d0f1a2</x:v>
      </x:c>
      <x:c r="B2841" s="50" t="str">
        <x:v>MRK</x:v>
      </x:c>
      <x:c r="C2841" s="70" t="n">
        <x:v>46241.984076863424</x:v>
      </x:c>
      <x:c r="D2841" s="50" t="str">
        <x:v>SWING_SETUP</x:v>
      </x:c>
      <x:c r="E2841" s="50" t="str">
        <x:v>MRK SWING SETUP</x:v>
      </x:c>
      <x:c r="F2841" s="50" t="str">
        <x:v>WATCH</x:v>
      </x:c>
      <x:c r="G2841" s="50"/>
      <x:c r="H2841" s="50" t="str">
        <x:v>LONG</x:v>
      </x:c>
      <x:c r="I2841" s="71" t="n">
        <x:v>128.57</x:v>
      </x:c>
      <x:c r="J2841" s="76" t="str">
        <x:v>SIP</x:v>
      </x:c>
    </x:row>
    <x:row r="2842">
      <x:c r="A2842" s="50" t="str">
        <x:v>019fde97-45e4-7ef6-8afc-1b5851033651</x:v>
      </x:c>
      <x:c r="B2842" s="50" t="str">
        <x:v>NXE</x:v>
      </x:c>
      <x:c r="C2842" s="70" t="n">
        <x:v>46241.98476412037</x:v>
      </x:c>
      <x:c r="D2842" s="50" t="str">
        <x:v>SWING_SETUP</x:v>
      </x:c>
      <x:c r="E2842" s="50" t="str">
        <x:v>NXE SWING SETUP</x:v>
      </x:c>
      <x:c r="F2842" s="50" t="str">
        <x:v>WATCH</x:v>
      </x:c>
      <x:c r="G2842" s="50"/>
      <x:c r="H2842" s="50" t="str">
        <x:v>LONG</x:v>
      </x:c>
      <x:c r="I2842" s="71" t="n">
        <x:v>10.4899</x:v>
      </x:c>
      <x:c r="J2842" s="76" t="str">
        <x:v>SIP</x:v>
      </x:c>
    </x:row>
    <x:row r="2843">
      <x:c r="A2843" s="50" t="str">
        <x:v>019fde97-46c7-703a-96dc-011cead49222</x:v>
      </x:c>
      <x:c r="B2843" s="50" t="str">
        <x:v>TMO</x:v>
      </x:c>
      <x:c r="C2843" s="70" t="n">
        <x:v>46241.984766747686</x:v>
      </x:c>
      <x:c r="D2843" s="50" t="str">
        <x:v>SWING_SETUP</x:v>
      </x:c>
      <x:c r="E2843" s="50" t="str">
        <x:v>TMO SWING SETUP</x:v>
      </x:c>
      <x:c r="F2843" s="50" t="str">
        <x:v>WATCH</x:v>
      </x:c>
      <x:c r="G2843" s="50"/>
      <x:c r="H2843" s="50" t="str">
        <x:v>LONG</x:v>
      </x:c>
      <x:c r="I2843" s="71" t="n">
        <x:v>594</x:v>
      </x:c>
      <x:c r="J2843" s="76" t="str">
        <x:v>SIP</x:v>
      </x:c>
    </x:row>
    <x:row r="2844">
      <x:c r="A2844" s="50" t="str">
        <x:v>019fde97-47c6-79b2-a6d8-aef3b57101d7</x:v>
      </x:c>
      <x:c r="B2844" s="50" t="str">
        <x:v>CROX</x:v>
      </x:c>
      <x:c r="C2844" s="70" t="n">
        <x:v>46241.98476969908</x:v>
      </x:c>
      <x:c r="D2844" s="50" t="str">
        <x:v>SWING_SETUP</x:v>
      </x:c>
      <x:c r="E2844" s="50" t="str">
        <x:v>CROX SWING SETUP</x:v>
      </x:c>
      <x:c r="F2844" s="50" t="str">
        <x:v>WATCH</x:v>
      </x:c>
      <x:c r="G2844" s="50"/>
      <x:c r="H2844" s="50" t="str">
        <x:v>LONG</x:v>
      </x:c>
      <x:c r="I2844" s="71" t="n">
        <x:v>136.56</x:v>
      </x:c>
      <x:c r="J2844" s="76" t="str">
        <x:v>SIP</x:v>
      </x:c>
    </x:row>
    <x:row r="2845">
      <x:c r="A2845" s="50" t="str">
        <x:v>019fde98-30de-76db-9f31-7467bb8c7cd9</x:v>
      </x:c>
      <x:c r="B2845" s="50" t="str">
        <x:v>VZ</x:v>
      </x:c>
      <x:c r="C2845" s="70" t="n">
        <x:v>46241.98546034722</x:v>
      </x:c>
      <x:c r="D2845" s="50" t="str">
        <x:v>SWING_SETUP</x:v>
      </x:c>
      <x:c r="E2845" s="50" t="str">
        <x:v>VZ SWING SETUP</x:v>
      </x:c>
      <x:c r="F2845" s="50" t="str">
        <x:v>WATCH</x:v>
      </x:c>
      <x:c r="G2845" s="50"/>
      <x:c r="H2845" s="50" t="str">
        <x:v>LONG</x:v>
      </x:c>
      <x:c r="I2845" s="71" t="n">
        <x:v>47.01</x:v>
      </x:c>
      <x:c r="J2845" s="76" t="str">
        <x:v>SIP</x:v>
      </x:c>
    </x:row>
    <x:row r="2846">
      <x:c r="A2846" s="50" t="str">
        <x:v>019fde98-316d-72f5-939f-d941c95fcdd1</x:v>
      </x:c>
      <x:c r="B2846" s="50" t="str">
        <x:v>AMGN</x:v>
      </x:c>
      <x:c r="C2846" s="70" t="n">
        <x:v>46241.98546199074</x:v>
      </x:c>
      <x:c r="D2846" s="50" t="str">
        <x:v>SWING_SETUP</x:v>
      </x:c>
      <x:c r="E2846" s="50" t="str">
        <x:v>AMGN SWING SETUP</x:v>
      </x:c>
      <x:c r="F2846" s="50" t="str">
        <x:v>WATCH</x:v>
      </x:c>
      <x:c r="G2846" s="50"/>
      <x:c r="H2846" s="50" t="str">
        <x:v>LONG</x:v>
      </x:c>
      <x:c r="I2846" s="71" t="n">
        <x:v>410.35</x:v>
      </x:c>
      <x:c r="J2846" s="76" t="str">
        <x:v>SIP</x:v>
      </x:c>
    </x:row>
    <x:row r="2847">
      <x:c r="A2847" s="50" t="str">
        <x:v>019fde98-3253-7162-8e45-a13d60225f8b</x:v>
      </x:c>
      <x:c r="B2847" s="50" t="str">
        <x:v>PFE</x:v>
      </x:c>
      <x:c r="C2847" s="70" t="n">
        <x:v>46241.98546466435</x:v>
      </x:c>
      <x:c r="D2847" s="50" t="str">
        <x:v>SWING_SETUP</x:v>
      </x:c>
      <x:c r="E2847" s="50" t="str">
        <x:v>PFE SWING SETUP</x:v>
      </x:c>
      <x:c r="F2847" s="50" t="str">
        <x:v>WATCH</x:v>
      </x:c>
      <x:c r="G2847" s="50"/>
      <x:c r="H2847" s="50" t="str">
        <x:v>LONG</x:v>
      </x:c>
      <x:c r="I2847" s="71" t="n">
        <x:v>26.61</x:v>
      </x:c>
      <x:c r="J2847" s="76" t="str">
        <x:v>SIP</x:v>
      </x:c>
    </x:row>
    <x:row r="2848">
      <x:c r="A2848" s="50" t="str">
        <x:v>019fde9a-f057-7b64-804c-83fbf8cd39b0</x:v>
      </x:c>
      <x:c r="B2848" s="50" t="str">
        <x:v>BMY</x:v>
      </x:c>
      <x:c r="C2848" s="70" t="n">
        <x:v>46241.987544710646</x:v>
      </x:c>
      <x:c r="D2848" s="50" t="str">
        <x:v>SWING_SETUP</x:v>
      </x:c>
      <x:c r="E2848" s="50" t="str">
        <x:v>BMY SWING SETUP</x:v>
      </x:c>
      <x:c r="F2848" s="50" t="str">
        <x:v>WATCH</x:v>
      </x:c>
      <x:c r="G2848" s="50"/>
      <x:c r="H2848" s="50" t="str">
        <x:v>LONG</x:v>
      </x:c>
      <x:c r="I2848" s="71" t="n">
        <x:v>64.69</x:v>
      </x:c>
      <x:c r="J2848" s="76" t="str">
        <x:v>SIP</x:v>
      </x:c>
    </x:row>
    <x:row r="2849">
      <x:c r="A2849" s="50" t="str">
        <x:v>019fde9a-f0f6-7bd3-851c-4e736ad4d718</x:v>
      </x:c>
      <x:c r="B2849" s="50" t="str">
        <x:v>JPM</x:v>
      </x:c>
      <x:c r="C2849" s="70" t="n">
        <x:v>46241.987546550925</x:v>
      </x:c>
      <x:c r="D2849" s="50" t="str">
        <x:v>SWING_SETUP</x:v>
      </x:c>
      <x:c r="E2849" s="50" t="str">
        <x:v>JPM SWING SETUP</x:v>
      </x:c>
      <x:c r="F2849" s="50" t="str">
        <x:v>WATCH</x:v>
      </x:c>
      <x:c r="G2849" s="50"/>
      <x:c r="H2849" s="50" t="str">
        <x:v>LONG</x:v>
      </x:c>
      <x:c r="I2849" s="71" t="n">
        <x:v>357.4511</x:v>
      </x:c>
      <x:c r="J2849" s="76" t="str">
        <x:v>SIP</x:v>
      </x:c>
    </x:row>
    <x:row r="2850">
      <x:c r="A2850" s="50" t="str">
        <x:v>019fde9a-f1f2-7058-9998-4033a8fa1a0d</x:v>
      </x:c>
      <x:c r="B2850" s="50" t="str">
        <x:v>NOC</x:v>
      </x:c>
      <x:c r="C2850" s="70" t="n">
        <x:v>46241.987549467594</x:v>
      </x:c>
      <x:c r="D2850" s="50" t="str">
        <x:v>SWING_SETUP</x:v>
      </x:c>
      <x:c r="E2850" s="50" t="str">
        <x:v>NOC SWING SETUP</x:v>
      </x:c>
      <x:c r="F2850" s="50" t="str">
        <x:v>WATCH</x:v>
      </x:c>
      <x:c r="G2850" s="50"/>
      <x:c r="H2850" s="50" t="str">
        <x:v>LONG</x:v>
      </x:c>
      <x:c r="I2850" s="71" t="n">
        <x:v>571.58</x:v>
      </x:c>
      <x:c r="J2850" s="76" t="str">
        <x:v>SIP</x:v>
      </x:c>
    </x:row>
    <x:row r="2851">
      <x:c r="A2851" s="50" t="str">
        <x:v>019fde9a-f22b-733e-abe9-6ef1ba18806e</x:v>
      </x:c>
      <x:c r="B2851" s="50" t="str">
        <x:v>APA</x:v>
      </x:c>
      <x:c r="C2851" s="70" t="n">
        <x:v>46241.98755012731</x:v>
      </x:c>
      <x:c r="D2851" s="50" t="str">
        <x:v>SWING_SETUP</x:v>
      </x:c>
      <x:c r="E2851" s="50" t="str">
        <x:v>APA SWING SETUP</x:v>
      </x:c>
      <x:c r="F2851" s="50" t="str">
        <x:v>WATCH</x:v>
      </x:c>
      <x:c r="G2851" s="50"/>
      <x:c r="H2851" s="50" t="str">
        <x:v>LONG</x:v>
      </x:c>
      <x:c r="I2851" s="71" t="n">
        <x:v>37.648</x:v>
      </x:c>
      <x:c r="J2851" s="76" t="str">
        <x:v>SIP</x:v>
      </x:c>
    </x:row>
    <x:row r="2852">
      <x:c r="A2852" s="50" t="str">
        <x:v>019fde9a-f232-7eae-8d43-055de9d6352f</x:v>
      </x:c>
      <x:c r="B2852" s="50" t="str">
        <x:v>WELL</x:v>
      </x:c>
      <x:c r="C2852" s="70" t="n">
        <x:v>46241.98755020833</x:v>
      </x:c>
      <x:c r="D2852" s="50" t="str">
        <x:v>SWING_SETUP</x:v>
      </x:c>
      <x:c r="E2852" s="50" t="str">
        <x:v>WELL SWING SETUP</x:v>
      </x:c>
      <x:c r="F2852" s="50" t="str">
        <x:v>WATCH</x:v>
      </x:c>
      <x:c r="G2852" s="50"/>
      <x:c r="H2852" s="50" t="str">
        <x:v>LONG</x:v>
      </x:c>
      <x:c r="I2852" s="71" t="n">
        <x:v>236.92</x:v>
      </x:c>
      <x:c r="J2852" s="76" t="str">
        <x:v>SIP</x:v>
      </x:c>
    </x:row>
    <x:row r="2853">
      <x:c r="A2853" s="50" t="str">
        <x:v>019fde9b-d963-7d62-a527-21e6a4150977</x:v>
      </x:c>
      <x:c r="B2853" s="50" t="str">
        <x:v>ETHA</x:v>
      </x:c>
      <x:c r="C2853" s="70" t="n">
        <x:v>46241.98823520834</x:v>
      </x:c>
      <x:c r="D2853" s="50" t="str">
        <x:v>SWING_SETUP</x:v>
      </x:c>
      <x:c r="E2853" s="50" t="str">
        <x:v>ETHA SWING SETUP</x:v>
      </x:c>
      <x:c r="F2853" s="50" t="str">
        <x:v>WATCH</x:v>
      </x:c>
      <x:c r="G2853" s="50"/>
      <x:c r="H2853" s="50" t="str">
        <x:v>LONG</x:v>
      </x:c>
      <x:c r="I2853" s="71" t="n">
        <x:v>14.4947</x:v>
      </x:c>
      <x:c r="J2853" s="76" t="str">
        <x:v>SIP</x:v>
      </x:c>
    </x:row>
    <x:row r="2854">
      <x:c r="A2854" s="50" t="str">
        <x:v>019fde9c-c40f-76b4-98a1-856e029e8982</x:v>
      </x:c>
      <x:c r="B2854" s="50" t="str">
        <x:v>ANET</x:v>
      </x:c>
      <x:c r="C2854" s="70" t="n">
        <x:v>46241.98893054398</x:v>
      </x:c>
      <x:c r="D2854" s="50" t="str">
        <x:v>SWING_SETUP</x:v>
      </x:c>
      <x:c r="E2854" s="50" t="str">
        <x:v>ANET SWING SETUP</x:v>
      </x:c>
      <x:c r="F2854" s="50" t="str">
        <x:v>WATCH</x:v>
      </x:c>
      <x:c r="G2854" s="50"/>
      <x:c r="H2854" s="50" t="str">
        <x:v>LONG</x:v>
      </x:c>
      <x:c r="I2854" s="71" t="n">
        <x:v>189.14</x:v>
      </x:c>
      <x:c r="J2854" s="76" t="str">
        <x:v>SIP</x:v>
      </x:c>
    </x:row>
    <x:row r="2855">
      <x:c r="A2855" s="50" t="str">
        <x:v>019fde9c-c475-74bc-aced-315a63b93aef</x:v>
      </x:c>
      <x:c r="B2855" s="50" t="str">
        <x:v>UNP</x:v>
      </x:c>
      <x:c r="C2855" s="70" t="n">
        <x:v>46241.98893172454</x:v>
      </x:c>
      <x:c r="D2855" s="50" t="str">
        <x:v>SWING_SETUP</x:v>
      </x:c>
      <x:c r="E2855" s="50" t="str">
        <x:v>UNP SWING SETUP</x:v>
      </x:c>
      <x:c r="F2855" s="50" t="str">
        <x:v>WATCH</x:v>
      </x:c>
      <x:c r="G2855" s="50"/>
      <x:c r="H2855" s="50" t="str">
        <x:v>LONG</x:v>
      </x:c>
      <x:c r="I2855" s="71" t="n">
        <x:v>293.13</x:v>
      </x:c>
      <x:c r="J2855" s="76" t="str">
        <x:v>SIP</x:v>
      </x:c>
    </x:row>
    <x:row r="2856">
      <x:c r="A2856" s="50" t="str">
        <x:v>019fde9c-c47f-7eab-9ba2-efdfbf1104bc</x:v>
      </x:c>
      <x:c r="B2856" s="50" t="str">
        <x:v>OXY</x:v>
      </x:c>
      <x:c r="C2856" s="70" t="n">
        <x:v>46241.98893184028</x:v>
      </x:c>
      <x:c r="D2856" s="50" t="str">
        <x:v>SWING_SETUP</x:v>
      </x:c>
      <x:c r="E2856" s="50" t="str">
        <x:v>OXY SWING SETUP</x:v>
      </x:c>
      <x:c r="F2856" s="50" t="str">
        <x:v>WATCH</x:v>
      </x:c>
      <x:c r="G2856" s="50"/>
      <x:c r="H2856" s="50" t="str">
        <x:v>LONG</x:v>
      </x:c>
      <x:c r="I2856" s="71" t="n">
        <x:v>56.03</x:v>
      </x:c>
      <x:c r="J2856" s="76" t="str">
        <x:v>SIP</x:v>
      </x:c>
    </x:row>
    <x:row r="2857">
      <x:c r="A2857" s="50" t="str">
        <x:v>019fde9c-c503-78ef-81a9-b92570313573</x:v>
      </x:c>
      <x:c r="B2857" s="50" t="str">
        <x:v>PYPL</x:v>
      </x:c>
      <x:c r="C2857" s="70" t="n">
        <x:v>46241.988933368055</x:v>
      </x:c>
      <x:c r="D2857" s="50" t="str">
        <x:v>SWING_SETUP</x:v>
      </x:c>
      <x:c r="E2857" s="50" t="str">
        <x:v>PYPL SWING SETUP</x:v>
      </x:c>
      <x:c r="F2857" s="50" t="str">
        <x:v>WATCH</x:v>
      </x:c>
      <x:c r="G2857" s="50"/>
      <x:c r="H2857" s="50" t="str">
        <x:v>LONG</x:v>
      </x:c>
      <x:c r="I2857" s="71" t="n">
        <x:v>59.095</x:v>
      </x:c>
      <x:c r="J2857" s="76" t="str">
        <x:v>SIP</x:v>
      </x:c>
    </x:row>
    <x:row r="2858">
      <x:c r="A2858" s="50" t="str">
        <x:v>019fde9d-ad11-73d6-983b-68a799844095</x:v>
      </x:c>
      <x:c r="B2858" s="50" t="str">
        <x:v>CEG</x:v>
      </x:c>
      <x:c r="C2858" s="70" t="n">
        <x:v>46241.989620925924</x:v>
      </x:c>
      <x:c r="D2858" s="50" t="str">
        <x:v>SWING_SETUP</x:v>
      </x:c>
      <x:c r="E2858" s="50" t="str">
        <x:v>CEG SWING SETUP</x:v>
      </x:c>
      <x:c r="F2858" s="50" t="str">
        <x:v>WATCH</x:v>
      </x:c>
      <x:c r="G2858" s="50"/>
      <x:c r="H2858" s="50" t="str">
        <x:v>LONG</x:v>
      </x:c>
      <x:c r="I2858" s="71" t="n">
        <x:v>269.9</x:v>
      </x:c>
      <x:c r="J2858" s="76" t="str">
        <x:v>SIP</x:v>
      </x:c>
    </x:row>
    <x:row r="2859">
      <x:c r="A2859" s="50" t="str">
        <x:v>019fde9d-ad97-7fa1-9aa5-5e24cfd693fd</x:v>
      </x:c>
      <x:c r="B2859" s="50" t="str">
        <x:v>HRL</x:v>
      </x:c>
      <x:c r="C2859" s="70" t="n">
        <x:v>46241.98962248843</x:v>
      </x:c>
      <x:c r="D2859" s="50" t="str">
        <x:v>ENTRY_WATCH</x:v>
      </x:c>
      <x:c r="E2859" s="50" t="str">
        <x:v>HRL ENTRY BREAKAWAY WATCH</x:v>
      </x:c>
      <x:c r="F2859" s="50" t="str">
        <x:v>WATCH</x:v>
      </x:c>
      <x:c r="G2859" s="50"/>
      <x:c r="H2859" s="50" t="str">
        <x:v>LONG</x:v>
      </x:c>
      <x:c r="I2859" s="71" t="n">
        <x:v>25.328</x:v>
      </x:c>
      <x:c r="J2859" s="76" t="str">
        <x:v>SIP</x:v>
      </x:c>
    </x:row>
    <x:row r="2860">
      <x:c r="A2860" s="50" t="str">
        <x:v>019fde9d-ae6c-7f29-b253-a71633044686</x:v>
      </x:c>
      <x:c r="B2860" s="50" t="str">
        <x:v>INTU</x:v>
      </x:c>
      <x:c r="C2860" s="70" t="n">
        <x:v>46241.989624953705</x:v>
      </x:c>
      <x:c r="D2860" s="50" t="str">
        <x:v>SWING_SETUP</x:v>
      </x:c>
      <x:c r="E2860" s="50" t="str">
        <x:v>INTU SWING SETUP</x:v>
      </x:c>
      <x:c r="F2860" s="50" t="str">
        <x:v>WATCH</x:v>
      </x:c>
      <x:c r="G2860" s="50"/>
      <x:c r="H2860" s="50" t="str">
        <x:v>LONG</x:v>
      </x:c>
      <x:c r="I2860" s="71" t="n">
        <x:v>325.25</x:v>
      </x:c>
      <x:c r="J2860" s="76" t="str">
        <x:v>SIP</x:v>
      </x:c>
    </x:row>
    <x:row r="2861">
      <x:c r="A2861" s="50" t="str">
        <x:v>019fde9d-af13-7460-b395-215c43bef33b</x:v>
      </x:c>
      <x:c r="B2861" s="50" t="str">
        <x:v>COP</x:v>
      </x:c>
      <x:c r="C2861" s="70" t="n">
        <x:v>46241.98962688657</x:v>
      </x:c>
      <x:c r="D2861" s="50" t="str">
        <x:v>SWING_SETUP</x:v>
      </x:c>
      <x:c r="E2861" s="50" t="str">
        <x:v>COP SWING SETUP</x:v>
      </x:c>
      <x:c r="F2861" s="50" t="str">
        <x:v>WATCH</x:v>
      </x:c>
      <x:c r="G2861" s="50"/>
      <x:c r="H2861" s="50" t="str">
        <x:v>LONG</x:v>
      </x:c>
      <x:c r="I2861" s="71" t="n">
        <x:v>117.6</x:v>
      </x:c>
      <x:c r="J2861" s="76" t="str">
        <x:v>SIP</x:v>
      </x:c>
    </x:row>
    <x:row r="2862">
      <x:c r="A2862" s="50" t="str">
        <x:v>019fde9d-af2b-797b-8fb9-07d0dd876f99</x:v>
      </x:c>
      <x:c r="B2862" s="50" t="str">
        <x:v>SBUX</x:v>
      </x:c>
      <x:c r="C2862" s="70" t="n">
        <x:v>46241.98962716435</x:v>
      </x:c>
      <x:c r="D2862" s="50" t="str">
        <x:v>SWING_SETUP</x:v>
      </x:c>
      <x:c r="E2862" s="50" t="str">
        <x:v>SBUX SWING SETUP</x:v>
      </x:c>
      <x:c r="F2862" s="50" t="str">
        <x:v>WATCH</x:v>
      </x:c>
      <x:c r="G2862" s="50"/>
      <x:c r="H2862" s="50" t="str">
        <x:v>LONG</x:v>
      </x:c>
      <x:c r="I2862" s="71" t="n">
        <x:v>105.58</x:v>
      </x:c>
      <x:c r="J2862" s="76" t="str">
        <x:v>SIP</x:v>
      </x:c>
    </x:row>
    <x:row r="2863">
      <x:c r="A2863" s="50" t="str">
        <x:v>019fde9d-b194-7534-ad06-fd7a5ec5d7a7</x:v>
      </x:c>
      <x:c r="B2863" s="50" t="str">
        <x:v>KO</x:v>
      </x:c>
      <x:c r="C2863" s="70" t="n">
        <x:v>46241.98963430556</x:v>
      </x:c>
      <x:c r="D2863" s="50" t="str">
        <x:v>SWING_SETUP</x:v>
      </x:c>
      <x:c r="E2863" s="50" t="str">
        <x:v>KO SWING SETUP</x:v>
      </x:c>
      <x:c r="F2863" s="50" t="str">
        <x:v>WATCH</x:v>
      </x:c>
      <x:c r="G2863" s="50"/>
      <x:c r="H2863" s="50" t="str">
        <x:v>LONG</x:v>
      </x:c>
      <x:c r="I2863" s="71" t="n">
        <x:v>86.9514</x:v>
      </x:c>
      <x:c r="J2863" s="76" t="str">
        <x:v>SIP</x:v>
      </x:c>
    </x:row>
    <x:row r="2864">
      <x:c r="A2864" s="50" t="str">
        <x:v>019fde9e-97a4-73f8-abb3-e0b3e0265a37</x:v>
      </x:c>
      <x:c r="B2864" s="50" t="str">
        <x:v>NVDA</x:v>
      </x:c>
      <x:c r="C2864" s="70" t="n">
        <x:v>46241.99031597222</x:v>
      </x:c>
      <x:c r="D2864" s="50" t="str">
        <x:v>SWING_SETUP</x:v>
      </x:c>
      <x:c r="E2864" s="50" t="str">
        <x:v>NVDA SWING SETUP</x:v>
      </x:c>
      <x:c r="F2864" s="50" t="str">
        <x:v>WATCH</x:v>
      </x:c>
      <x:c r="G2864" s="50"/>
      <x:c r="H2864" s="50" t="str">
        <x:v>LONG</x:v>
      </x:c>
      <x:c r="I2864" s="71" t="n">
        <x:v>223.65</x:v>
      </x:c>
      <x:c r="J2864" s="76" t="str">
        <x:v>SIP</x:v>
      </x:c>
    </x:row>
    <x:row r="2865">
      <x:c r="A2865" s="50" t="str">
        <x:v>019fde9e-98b2-712a-9065-04d072b36939</x:v>
      </x:c>
      <x:c r="B2865" s="50" t="str">
        <x:v>OXY</x:v>
      </x:c>
      <x:c r="C2865" s="70" t="n">
        <x:v>46241.990319097225</x:v>
      </x:c>
      <x:c r="D2865" s="50" t="str">
        <x:v>LONG_BUY_ZONE</x:v>
      </x:c>
      <x:c r="E2865" s="50" t="str">
        <x:v>OXY LONG BUY ZONE</x:v>
      </x:c>
      <x:c r="F2865" s="50" t="str">
        <x:v>WATCH</x:v>
      </x:c>
      <x:c r="G2865" s="50"/>
      <x:c r="H2865" s="50" t="str">
        <x:v>LONG</x:v>
      </x:c>
      <x:c r="I2865" s="71" t="n">
        <x:v>56</x:v>
      </x:c>
      <x:c r="J2865" s="76" t="str">
        <x:v>SIP</x:v>
      </x:c>
    </x:row>
    <x:row r="2866">
      <x:c r="A2866" s="50" t="str">
        <x:v>019fde9e-997d-7b32-840e-cd0f53c1b11d</x:v>
      </x:c>
      <x:c r="B2866" s="50" t="str">
        <x:v>RDW</x:v>
      </x:c>
      <x:c r="C2866" s="70" t="n">
        <x:v>46241.99032143519</x:v>
      </x:c>
      <x:c r="D2866" s="50" t="str">
        <x:v>SWING_SETUP</x:v>
      </x:c>
      <x:c r="E2866" s="50" t="str">
        <x:v>RDW SWING SETUP</x:v>
      </x:c>
      <x:c r="F2866" s="50" t="str">
        <x:v>WATCH</x:v>
      </x:c>
      <x:c r="G2866" s="50"/>
      <x:c r="H2866" s="50" t="str">
        <x:v>LONG</x:v>
      </x:c>
      <x:c r="I2866" s="71" t="n">
        <x:v>13.56</x:v>
      </x:c>
      <x:c r="J2866" s="76" t="str">
        <x:v>SIP</x:v>
      </x:c>
    </x:row>
    <x:row r="2867">
      <x:c r="A2867" s="50" t="str">
        <x:v>019fde9f-81e0-7bb8-a4c8-6ac6acf20cef</x:v>
      </x:c>
      <x:c r="B2867" s="50" t="str">
        <x:v>XOM</x:v>
      </x:c>
      <x:c r="C2867" s="70" t="n">
        <x:v>46241.99101</x:v>
      </x:c>
      <x:c r="D2867" s="50" t="str">
        <x:v>SWING_SETUP</x:v>
      </x:c>
      <x:c r="E2867" s="50" t="str">
        <x:v>XOM SWING SETUP</x:v>
      </x:c>
      <x:c r="F2867" s="50" t="str">
        <x:v>WATCH</x:v>
      </x:c>
      <x:c r="G2867" s="50"/>
      <x:c r="H2867" s="50" t="str">
        <x:v>LONG</x:v>
      </x:c>
      <x:c r="I2867" s="71" t="n">
        <x:v>153.1</x:v>
      </x:c>
      <x:c r="J2867" s="76" t="str">
        <x:v>SIP</x:v>
      </x:c>
    </x:row>
    <x:row r="2868">
      <x:c r="A2868" s="50" t="str">
        <x:v>019fde9f-83e6-7983-9f55-2e17f7987ed6</x:v>
      </x:c>
      <x:c r="B2868" s="50" t="str">
        <x:v>PLTR</x:v>
      </x:c>
      <x:c r="C2868" s="70" t="n">
        <x:v>46241.99101599537</x:v>
      </x:c>
      <x:c r="D2868" s="50" t="str">
        <x:v>SWING_SETUP</x:v>
      </x:c>
      <x:c r="E2868" s="50" t="str">
        <x:v>PLTR SWING SETUP</x:v>
      </x:c>
      <x:c r="F2868" s="50" t="str">
        <x:v>WATCH</x:v>
      </x:c>
      <x:c r="G2868" s="50"/>
      <x:c r="H2868" s="50" t="str">
        <x:v>LONG</x:v>
      </x:c>
      <x:c r="I2868" s="71" t="n">
        <x:v>171.58</x:v>
      </x:c>
      <x:c r="J2868" s="76" t="str">
        <x:v>SIP</x:v>
      </x:c>
    </x:row>
    <x:row r="2869">
      <x:c r="A2869" s="50" t="str">
        <x:v>019fde9f-8468-725c-866a-8b5d4e376006</x:v>
      </x:c>
      <x:c r="B2869" s="50" t="str">
        <x:v>VZ</x:v>
      </x:c>
      <x:c r="C2869" s="70" t="n">
        <x:v>46241.99101748843</x:v>
      </x:c>
      <x:c r="D2869" s="50" t="str">
        <x:v>LONG_BUY_ZONE</x:v>
      </x:c>
      <x:c r="E2869" s="50" t="str">
        <x:v>VZ LONG BUY ZONE</x:v>
      </x:c>
      <x:c r="F2869" s="50" t="str">
        <x:v>WATCH</x:v>
      </x:c>
      <x:c r="G2869" s="50"/>
      <x:c r="H2869" s="50" t="str">
        <x:v>LONG</x:v>
      </x:c>
      <x:c r="I2869" s="71" t="n">
        <x:v>46.994</x:v>
      </x:c>
      <x:c r="J2869" s="76" t="str">
        <x:v>SIP</x:v>
      </x:c>
    </x:row>
    <x:row r="2870">
      <x:c r="A2870" s="50" t="str">
        <x:v>019fde9f-84b3-7943-b43e-c5861048e9b2</x:v>
      </x:c>
      <x:c r="B2870" s="50" t="str">
        <x:v>PSX</x:v>
      </x:c>
      <x:c r="C2870" s="70" t="n">
        <x:v>46241.991018368055</x:v>
      </x:c>
      <x:c r="D2870" s="50" t="str">
        <x:v>SWING_SETUP</x:v>
      </x:c>
      <x:c r="E2870" s="50" t="str">
        <x:v>PSX SWING SETUP</x:v>
      </x:c>
      <x:c r="F2870" s="50" t="str">
        <x:v>WATCH</x:v>
      </x:c>
      <x:c r="G2870" s="50"/>
      <x:c r="H2870" s="50" t="str">
        <x:v>LONG</x:v>
      </x:c>
      <x:c r="I2870" s="71" t="n">
        <x:v>203.91</x:v>
      </x:c>
      <x:c r="J2870" s="76" t="str">
        <x:v>SIP</x:v>
      </x:c>
    </x:row>
    <x:row r="2871">
      <x:c r="A2871" s="50" t="str">
        <x:v>019fde9f-84ba-7b46-987d-f765963a1edf</x:v>
      </x:c>
      <x:c r="B2871" s="50" t="str">
        <x:v>ETN</x:v>
      </x:c>
      <x:c r="C2871" s="70" t="n">
        <x:v>46241.99101844907</x:v>
      </x:c>
      <x:c r="D2871" s="50" t="str">
        <x:v>SWING_SETUP</x:v>
      </x:c>
      <x:c r="E2871" s="50" t="str">
        <x:v>ETN SWING SETUP</x:v>
      </x:c>
      <x:c r="F2871" s="50" t="str">
        <x:v>WATCH</x:v>
      </x:c>
      <x:c r="G2871" s="50"/>
      <x:c r="H2871" s="50" t="str">
        <x:v>LONG</x:v>
      </x:c>
      <x:c r="I2871" s="71" t="n">
        <x:v>448.67</x:v>
      </x:c>
      <x:c r="J2871" s="76" t="str">
        <x:v>SIP</x:v>
      </x:c>
    </x:row>
    <x:row r="2872">
      <x:c r="A2872" s="50" t="str">
        <x:v>019fde9f-84fe-71aa-9606-6a1895bcac24</x:v>
      </x:c>
      <x:c r="B2872" s="50" t="str">
        <x:v>ABNB</x:v>
      </x:c>
      <x:c r="C2872" s="70" t="n">
        <x:v>46241.99101923611</x:v>
      </x:c>
      <x:c r="D2872" s="50" t="str">
        <x:v>SWING_SETUP</x:v>
      </x:c>
      <x:c r="E2872" s="50" t="str">
        <x:v>ABNB SWING SETUP</x:v>
      </x:c>
      <x:c r="F2872" s="50" t="str">
        <x:v>WATCH</x:v>
      </x:c>
      <x:c r="G2872" s="50"/>
      <x:c r="H2872" s="50" t="str">
        <x:v>LONG</x:v>
      </x:c>
      <x:c r="I2872" s="71" t="n">
        <x:v>177.7</x:v>
      </x:c>
      <x:c r="J2872" s="76" t="str">
        <x:v>SIP</x:v>
      </x:c>
    </x:row>
    <x:row r="2873">
      <x:c r="A2873" s="50" t="str">
        <x:v>019fdea0-6daf-702f-b14f-72f400594207</x:v>
      </x:c>
      <x:c r="B2873" s="50" t="str">
        <x:v>MDLZ</x:v>
      </x:c>
      <x:c r="C2873" s="70" t="n">
        <x:v>46241.99170869213</x:v>
      </x:c>
      <x:c r="D2873" s="50" t="str">
        <x:v>SWING_SETUP</x:v>
      </x:c>
      <x:c r="E2873" s="50" t="str">
        <x:v>MDLZ SWING SETUP</x:v>
      </x:c>
      <x:c r="F2873" s="50" t="str">
        <x:v>WATCH</x:v>
      </x:c>
      <x:c r="G2873" s="50"/>
      <x:c r="H2873" s="50" t="str">
        <x:v>LONG</x:v>
      </x:c>
      <x:c r="I2873" s="71" t="n">
        <x:v>62.61</x:v>
      </x:c>
      <x:c r="J2873" s="76" t="str">
        <x:v>SIP</x:v>
      </x:c>
    </x:row>
    <x:row r="2874">
      <x:c r="A2874" s="50" t="str">
        <x:v>019fdea0-6f0b-7f5b-9df9-e7395423b18f</x:v>
      </x:c>
      <x:c r="B2874" s="50" t="str">
        <x:v>SNOW</x:v>
      </x:c>
      <x:c r="C2874" s="70" t="n">
        <x:v>46241.99171271991</x:v>
      </x:c>
      <x:c r="D2874" s="50" t="str">
        <x:v>SWING_SETUP</x:v>
      </x:c>
      <x:c r="E2874" s="50" t="str">
        <x:v>SNOW SWING SETUP</x:v>
      </x:c>
      <x:c r="F2874" s="50" t="str">
        <x:v>WATCH</x:v>
      </x:c>
      <x:c r="G2874" s="50"/>
      <x:c r="H2874" s="50" t="str">
        <x:v>LONG</x:v>
      </x:c>
      <x:c r="I2874" s="71" t="n">
        <x:v>330.1</x:v>
      </x:c>
      <x:c r="J2874" s="76" t="str">
        <x:v>SIP</x:v>
      </x:c>
    </x:row>
    <x:row r="2875">
      <x:c r="A2875" s="50" t="str">
        <x:v>019fdea0-6f59-7a0d-b302-858eaf7f6e8b</x:v>
      </x:c>
      <x:c r="B2875" s="50" t="str">
        <x:v>JD</x:v>
      </x:c>
      <x:c r="C2875" s="70" t="n">
        <x:v>46241.99171361111</x:v>
      </x:c>
      <x:c r="D2875" s="50" t="str">
        <x:v>SWING_SETUP</x:v>
      </x:c>
      <x:c r="E2875" s="50" t="str">
        <x:v>JD SWING SETUP</x:v>
      </x:c>
      <x:c r="F2875" s="50" t="str">
        <x:v>WATCH</x:v>
      </x:c>
      <x:c r="G2875" s="50"/>
      <x:c r="H2875" s="50" t="str">
        <x:v>LONG</x:v>
      </x:c>
      <x:c r="I2875" s="71" t="n">
        <x:v>33</x:v>
      </x:c>
      <x:c r="J2875" s="76" t="str">
        <x:v>SIP</x:v>
      </x:c>
    </x:row>
    <x:row r="2876">
      <x:c r="A2876" s="50" t="str">
        <x:v>019fdea0-6f73-7953-9c4e-c219b822b471</x:v>
      </x:c>
      <x:c r="B2876" s="50" t="str">
        <x:v>TGT</x:v>
      </x:c>
      <x:c r="C2876" s="70" t="n">
        <x:v>46241.99171392361</x:v>
      </x:c>
      <x:c r="D2876" s="50" t="str">
        <x:v>SWING_SETUP</x:v>
      </x:c>
      <x:c r="E2876" s="50" t="str">
        <x:v>TGT SWING SETUP</x:v>
      </x:c>
      <x:c r="F2876" s="50" t="str">
        <x:v>WATCH</x:v>
      </x:c>
      <x:c r="G2876" s="50"/>
      <x:c r="H2876" s="50" t="str">
        <x:v>LONG</x:v>
      </x:c>
      <x:c r="I2876" s="71" t="n">
        <x:v>149.5</x:v>
      </x:c>
      <x:c r="J2876" s="76" t="str">
        <x:v>SIP</x:v>
      </x:c>
    </x:row>
    <x:row r="2877">
      <x:c r="A2877" s="50" t="str">
        <x:v>019fdea0-6f79-7547-9e51-2042223306c4</x:v>
      </x:c>
      <x:c r="B2877" s="50" t="str">
        <x:v>BAC</x:v>
      </x:c>
      <x:c r="C2877" s="70" t="n">
        <x:v>46241.991713993055</x:v>
      </x:c>
      <x:c r="D2877" s="50" t="str">
        <x:v>SWING_SETUP</x:v>
      </x:c>
      <x:c r="E2877" s="50" t="str">
        <x:v>BAC SWING SETUP</x:v>
      </x:c>
      <x:c r="F2877" s="50" t="str">
        <x:v>WATCH</x:v>
      </x:c>
      <x:c r="G2877" s="50"/>
      <x:c r="H2877" s="50" t="str">
        <x:v>LONG</x:v>
      </x:c>
      <x:c r="I2877" s="71" t="n">
        <x:v>63.19</x:v>
      </x:c>
      <x:c r="J2877" s="76" t="str">
        <x:v>SIP</x:v>
      </x:c>
    </x:row>
    <x:row r="2878">
      <x:c r="A2878" s="50" t="str">
        <x:v>019fdea0-6f93-74dd-81b6-4849549753c7</x:v>
      </x:c>
      <x:c r="B2878" s="50" t="str">
        <x:v>ECL</x:v>
      </x:c>
      <x:c r="C2878" s="70" t="n">
        <x:v>46241.99171429398</x:v>
      </x:c>
      <x:c r="D2878" s="50" t="str">
        <x:v>SWING_SETUP</x:v>
      </x:c>
      <x:c r="E2878" s="50" t="str">
        <x:v>ECL SWING SETUP</x:v>
      </x:c>
      <x:c r="F2878" s="50" t="str">
        <x:v>WATCH</x:v>
      </x:c>
      <x:c r="G2878" s="50"/>
      <x:c r="H2878" s="50" t="str">
        <x:v>LONG</x:v>
      </x:c>
      <x:c r="I2878" s="71" t="n">
        <x:v>285.17</x:v>
      </x:c>
      <x:c r="J2878" s="76" t="str">
        <x:v>SIP</x:v>
      </x:c>
    </x:row>
    <x:row r="2879">
      <x:c r="A2879" s="50" t="str">
        <x:v>019fdea0-6fe1-7a05-ab03-c31a3e27410f</x:v>
      </x:c>
      <x:c r="B2879" s="50" t="str">
        <x:v>TMDX</x:v>
      </x:c>
      <x:c r="C2879" s="70" t="n">
        <x:v>46241.99171519676</x:v>
      </x:c>
      <x:c r="D2879" s="50" t="str">
        <x:v>SWING_SETUP</x:v>
      </x:c>
      <x:c r="E2879" s="50" t="str">
        <x:v>TMDX SWING SETUP</x:v>
      </x:c>
      <x:c r="F2879" s="50" t="str">
        <x:v>WATCH</x:v>
      </x:c>
      <x:c r="G2879" s="50"/>
      <x:c r="H2879" s="50" t="str">
        <x:v>LONG</x:v>
      </x:c>
      <x:c r="I2879" s="71" t="n">
        <x:v>83.5</x:v>
      </x:c>
      <x:c r="J2879" s="76" t="str">
        <x:v>SIP</x:v>
      </x:c>
    </x:row>
    <x:row r="2880">
      <x:c r="A2880" s="50" t="str">
        <x:v>019fdea0-6fe9-76bc-aafe-fae1a1de76cd</x:v>
      </x:c>
      <x:c r="B2880" s="50" t="str">
        <x:v>SCHW</x:v>
      </x:c>
      <x:c r="C2880" s="70" t="n">
        <x:v>46241.991715289354</x:v>
      </x:c>
      <x:c r="D2880" s="50" t="str">
        <x:v>SWING_SETUP</x:v>
      </x:c>
      <x:c r="E2880" s="50" t="str">
        <x:v>SCHW SWING SETUP</x:v>
      </x:c>
      <x:c r="F2880" s="50" t="str">
        <x:v>WATCH</x:v>
      </x:c>
      <x:c r="G2880" s="50"/>
      <x:c r="H2880" s="50" t="str">
        <x:v>LONG</x:v>
      </x:c>
      <x:c r="I2880" s="71" t="n">
        <x:v>107.6</x:v>
      </x:c>
      <x:c r="J2880" s="76" t="str">
        <x:v>SIP</x:v>
      </x:c>
    </x:row>
    <x:row r="2881">
      <x:c r="A2881" s="50" t="str">
        <x:v>019fdea1-58c0-7e21-a414-7eee8c738506</x:v>
      </x:c>
      <x:c r="B2881" s="50" t="str">
        <x:v>BKNG</x:v>
      </x:c>
      <x:c r="C2881" s="70" t="n">
        <x:v>46241.992405185185</x:v>
      </x:c>
      <x:c r="D2881" s="50" t="str">
        <x:v>SWING_SETUP</x:v>
      </x:c>
      <x:c r="E2881" s="50" t="str">
        <x:v>BKNG SWING SETUP</x:v>
      </x:c>
      <x:c r="F2881" s="50" t="str">
        <x:v>WATCH</x:v>
      </x:c>
      <x:c r="G2881" s="50"/>
      <x:c r="H2881" s="50" t="str">
        <x:v>LONG</x:v>
      </x:c>
      <x:c r="I2881" s="71" t="n">
        <x:v>213.08</x:v>
      </x:c>
      <x:c r="J2881" s="76" t="str">
        <x:v>SIP</x:v>
      </x:c>
    </x:row>
    <x:row r="2882">
      <x:c r="A2882" s="50" t="str">
        <x:v>019fdea1-5971-7960-b3e3-be1c1b6ac2dd</x:v>
      </x:c>
      <x:c r="B2882" s="50" t="str">
        <x:v>LMT</x:v>
      </x:c>
      <x:c r="C2882" s="70" t="n">
        <x:v>46241.992407233796</x:v>
      </x:c>
      <x:c r="D2882" s="50" t="str">
        <x:v>SWING_SETUP</x:v>
      </x:c>
      <x:c r="E2882" s="50" t="str">
        <x:v>LMT SWING SETUP</x:v>
      </x:c>
      <x:c r="F2882" s="50" t="str">
        <x:v>WATCH</x:v>
      </x:c>
      <x:c r="G2882" s="50"/>
      <x:c r="H2882" s="50" t="str">
        <x:v>LONG</x:v>
      </x:c>
      <x:c r="I2882" s="71" t="n">
        <x:v>587.92</x:v>
      </x:c>
      <x:c r="J2882" s="76" t="str">
        <x:v>SIP</x:v>
      </x:c>
    </x:row>
    <x:row r="2883">
      <x:c r="A2883" s="50" t="str">
        <x:v>019fdea1-5a1c-7203-a5ab-e90d42f95d02</x:v>
      </x:c>
      <x:c r="B2883" s="50" t="str">
        <x:v>DE</x:v>
      </x:c>
      <x:c r="C2883" s="70" t="n">
        <x:v>46241.992409212966</x:v>
      </x:c>
      <x:c r="D2883" s="50" t="str">
        <x:v>SWING_SETUP</x:v>
      </x:c>
      <x:c r="E2883" s="50" t="str">
        <x:v>DE SWING SETUP</x:v>
      </x:c>
      <x:c r="F2883" s="50" t="str">
        <x:v>WATCH</x:v>
      </x:c>
      <x:c r="G2883" s="50"/>
      <x:c r="H2883" s="50" t="str">
        <x:v>LONG</x:v>
      </x:c>
      <x:c r="I2883" s="71" t="n">
        <x:v>620.83</x:v>
      </x:c>
      <x:c r="J2883" s="76" t="str">
        <x:v>SIP</x:v>
      </x:c>
    </x:row>
    <x:row r="2884">
      <x:c r="A2884" s="50" t="str">
        <x:v>019fdea1-5a91-7ae2-8477-20a3f8529658</x:v>
      </x:c>
      <x:c r="B2884" s="50" t="str">
        <x:v>APH</x:v>
      </x:c>
      <x:c r="C2884" s="70" t="n">
        <x:v>46241.99241056713</x:v>
      </x:c>
      <x:c r="D2884" s="50" t="str">
        <x:v>SWING_SETUP</x:v>
      </x:c>
      <x:c r="E2884" s="50" t="str">
        <x:v>APH SWING SETUP</x:v>
      </x:c>
      <x:c r="F2884" s="50" t="str">
        <x:v>WATCH</x:v>
      </x:c>
      <x:c r="G2884" s="50"/>
      <x:c r="H2884" s="50" t="str">
        <x:v>LONG</x:v>
      </x:c>
      <x:c r="I2884" s="71" t="n">
        <x:v>169.18</x:v>
      </x:c>
      <x:c r="J2884" s="76" t="str">
        <x:v>SIP</x:v>
      </x:c>
    </x:row>
    <x:row r="2885">
      <x:c r="A2885" s="50" t="str">
        <x:v>019fdea1-5aab-7cad-85ad-730573862cd5</x:v>
      </x:c>
      <x:c r="B2885" s="50" t="str">
        <x:v>ACHV</x:v>
      </x:c>
      <x:c r="C2885" s="70" t="n">
        <x:v>46241.99241086806</x:v>
      </x:c>
      <x:c r="D2885" s="50" t="str">
        <x:v>SWING_SETUP</x:v>
      </x:c>
      <x:c r="E2885" s="50" t="str">
        <x:v>ACHV SWING SETUP</x:v>
      </x:c>
      <x:c r="F2885" s="50" t="str">
        <x:v>WATCH</x:v>
      </x:c>
      <x:c r="G2885" s="50"/>
      <x:c r="H2885" s="50" t="str">
        <x:v>LONG</x:v>
      </x:c>
      <x:c r="I2885" s="71" t="n">
        <x:v>6.65</x:v>
      </x:c>
      <x:c r="J2885" s="76" t="str">
        <x:v>SIP</x:v>
      </x:c>
    </x:row>
    <x:row r="2886">
      <x:c r="A2886" s="50" t="str">
        <x:v>019fdea1-5ac1-7627-8a42-8453609378c7</x:v>
      </x:c>
      <x:c r="B2886" s="50" t="str">
        <x:v>MMM</x:v>
      </x:c>
      <x:c r="C2886" s="70" t="n">
        <x:v>46241.99241112269</x:v>
      </x:c>
      <x:c r="D2886" s="50" t="str">
        <x:v>SWING_SETUP</x:v>
      </x:c>
      <x:c r="E2886" s="50" t="str">
        <x:v>MMM SWING SETUP</x:v>
      </x:c>
      <x:c r="F2886" s="50" t="str">
        <x:v>WATCH</x:v>
      </x:c>
      <x:c r="G2886" s="50"/>
      <x:c r="H2886" s="50" t="str">
        <x:v>LONG</x:v>
      </x:c>
      <x:c r="I2886" s="71" t="n">
        <x:v>182.89</x:v>
      </x:c>
      <x:c r="J2886" s="76" t="str">
        <x:v>SIP</x:v>
      </x:c>
    </x:row>
    <x:row r="2887">
      <x:c r="A2887" s="50" t="str">
        <x:v>019fdea3-2b57-766c-9f37-a299a4a0d8f8</x:v>
      </x:c>
      <x:c r="B2887" s="50" t="str">
        <x:v>SE</x:v>
      </x:c>
      <x:c r="C2887" s="70" t="n">
        <x:v>46241.99378767361</x:v>
      </x:c>
      <x:c r="D2887" s="50" t="str">
        <x:v>SWING_SETUP</x:v>
      </x:c>
      <x:c r="E2887" s="50" t="str">
        <x:v>SE SWING SETUP</x:v>
      </x:c>
      <x:c r="F2887" s="50" t="str">
        <x:v>WATCH</x:v>
      </x:c>
      <x:c r="G2887" s="50"/>
      <x:c r="H2887" s="50" t="str">
        <x:v>LONG</x:v>
      </x:c>
      <x:c r="I2887" s="71" t="n">
        <x:v>113.43</x:v>
      </x:c>
      <x:c r="J2887" s="76" t="str">
        <x:v>SIP</x:v>
      </x:c>
    </x:row>
    <x:row r="2888">
      <x:c r="A2888" s="50" t="str">
        <x:v>019fdea3-2c67-7209-be68-66e5c4f85779</x:v>
      </x:c>
      <x:c r="B2888" s="50" t="str">
        <x:v>ABT</x:v>
      </x:c>
      <x:c r="C2888" s="70" t="n">
        <x:v>46241.99379082176</x:v>
      </x:c>
      <x:c r="D2888" s="50" t="str">
        <x:v>SWING_SETUP</x:v>
      </x:c>
      <x:c r="E2888" s="50" t="str">
        <x:v>ABT SWING SETUP</x:v>
      </x:c>
      <x:c r="F2888" s="50" t="str">
        <x:v>WATCH</x:v>
      </x:c>
      <x:c r="G2888" s="50"/>
      <x:c r="H2888" s="50" t="str">
        <x:v>LONG</x:v>
      </x:c>
      <x:c r="I2888" s="71" t="n">
        <x:v>107.81</x:v>
      </x:c>
      <x:c r="J2888" s="76" t="str">
        <x:v>SIP</x:v>
      </x:c>
    </x:row>
    <x:row r="2889">
      <x:c r="A2889" s="50" t="str">
        <x:v>019fdea3-2c6f-7c1e-a8f2-6758009010a9</x:v>
      </x:c>
      <x:c r="B2889" s="50" t="str">
        <x:v>APH</x:v>
      </x:c>
      <x:c r="C2889" s="70" t="n">
        <x:v>46241.993790914355</x:v>
      </x:c>
      <x:c r="D2889" s="50" t="str">
        <x:v>LONG_BUY_ZONE</x:v>
      </x:c>
      <x:c r="E2889" s="50" t="str">
        <x:v>APH LONG BUY ZONE</x:v>
      </x:c>
      <x:c r="F2889" s="50" t="str">
        <x:v>WATCH</x:v>
      </x:c>
      <x:c r="G2889" s="50"/>
      <x:c r="H2889" s="50" t="str">
        <x:v>LONG</x:v>
      </x:c>
      <x:c r="I2889" s="71" t="n">
        <x:v>169.34</x:v>
      </x:c>
      <x:c r="J2889" s="76" t="str">
        <x:v>SIP</x:v>
      </x:c>
    </x:row>
    <x:row r="2890">
      <x:c r="A2890" s="50" t="str">
        <x:v>019fdea3-2ccf-7763-a11b-5b6eb2d3e0a2</x:v>
      </x:c>
      <x:c r="B2890" s="50" t="str">
        <x:v>BLK</x:v>
      </x:c>
      <x:c r="C2890" s="70" t="n">
        <x:v>46241.99379201389</x:v>
      </x:c>
      <x:c r="D2890" s="50" t="str">
        <x:v>SWING_SETUP</x:v>
      </x:c>
      <x:c r="E2890" s="50" t="str">
        <x:v>BLK SWING SETUP</x:v>
      </x:c>
      <x:c r="F2890" s="50" t="str">
        <x:v>WATCH</x:v>
      </x:c>
      <x:c r="G2890" s="50"/>
      <x:c r="H2890" s="50" t="str">
        <x:v>LONG</x:v>
      </x:c>
      <x:c r="I2890" s="71" t="n">
        <x:v>1136.4</x:v>
      </x:c>
      <x:c r="J2890" s="76" t="str">
        <x:v>SIP</x:v>
      </x:c>
    </x:row>
    <x:row r="2891">
      <x:c r="A2891" s="50" t="str">
        <x:v>019fdea3-2d0a-7b8f-889d-467f8022daab</x:v>
      </x:c>
      <x:c r="B2891" s="50" t="str">
        <x:v>WFC</x:v>
      </x:c>
      <x:c r="C2891" s="70" t="n">
        <x:v>46241.99379270833</x:v>
      </x:c>
      <x:c r="D2891" s="50" t="str">
        <x:v>SWING_SETUP</x:v>
      </x:c>
      <x:c r="E2891" s="50" t="str">
        <x:v>WFC SWING SETUP</x:v>
      </x:c>
      <x:c r="F2891" s="50" t="str">
        <x:v>WATCH</x:v>
      </x:c>
      <x:c r="G2891" s="50"/>
      <x:c r="H2891" s="50" t="str">
        <x:v>LONG</x:v>
      </x:c>
      <x:c r="I2891" s="71" t="n">
        <x:v>87.235</x:v>
      </x:c>
      <x:c r="J2891" s="76" t="str">
        <x:v>SIP</x:v>
      </x:c>
    </x:row>
    <x:row r="2892">
      <x:c r="A2892" s="50" t="str">
        <x:v>019fdea3-2d46-7ade-a239-a93064cae664</x:v>
      </x:c>
      <x:c r="B2892" s="50" t="str">
        <x:v>RCL</x:v>
      </x:c>
      <x:c r="C2892" s="70" t="n">
        <x:v>46241.9937933912</x:v>
      </x:c>
      <x:c r="D2892" s="50" t="str">
        <x:v>SWING_SETUP</x:v>
      </x:c>
      <x:c r="E2892" s="50" t="str">
        <x:v>RCL SWING SETUP</x:v>
      </x:c>
      <x:c r="F2892" s="50" t="str">
        <x:v>WATCH</x:v>
      </x:c>
      <x:c r="G2892" s="50"/>
      <x:c r="H2892" s="50" t="str">
        <x:v>LONG</x:v>
      </x:c>
      <x:c r="I2892" s="71" t="n">
        <x:v>320</x:v>
      </x:c>
      <x:c r="J2892" s="76" t="str">
        <x:v>SIP</x:v>
      </x:c>
    </x:row>
    <x:row r="2893">
      <x:c r="A2893" s="50" t="str">
        <x:v>019fdea3-2d74-75b5-8e08-09228c2d268c</x:v>
      </x:c>
      <x:c r="B2893" s="50" t="str">
        <x:v>UEC</x:v>
      </x:c>
      <x:c r="C2893" s="70" t="n">
        <x:v>46241.99379393519</x:v>
      </x:c>
      <x:c r="D2893" s="50" t="str">
        <x:v>SWING_SETUP</x:v>
      </x:c>
      <x:c r="E2893" s="50" t="str">
        <x:v>UEC SWING SETUP</x:v>
      </x:c>
      <x:c r="F2893" s="50" t="str">
        <x:v>WATCH</x:v>
      </x:c>
      <x:c r="G2893" s="50"/>
      <x:c r="H2893" s="50" t="str">
        <x:v>LONG</x:v>
      </x:c>
      <x:c r="I2893" s="71" t="n">
        <x:v>11.2707</x:v>
      </x:c>
      <x:c r="J2893" s="76" t="str">
        <x:v>SIP</x:v>
      </x:c>
    </x:row>
    <x:row r="2894">
      <x:c r="A2894" s="50" t="str">
        <x:v>019fdea3-2d97-7550-a2dd-9dc782294d7b</x:v>
      </x:c>
      <x:c r="B2894" s="50" t="str">
        <x:v>BABA</x:v>
      </x:c>
      <x:c r="C2894" s="70" t="n">
        <x:v>46241.99379434028</x:v>
      </x:c>
      <x:c r="D2894" s="50" t="str">
        <x:v>SWING_SETUP</x:v>
      </x:c>
      <x:c r="E2894" s="50" t="str">
        <x:v>BABA SWING SETUP</x:v>
      </x:c>
      <x:c r="F2894" s="50" t="str">
        <x:v>WATCH</x:v>
      </x:c>
      <x:c r="G2894" s="50"/>
      <x:c r="H2894" s="50" t="str">
        <x:v>LONG</x:v>
      </x:c>
      <x:c r="I2894" s="71" t="n">
        <x:v>128.3</x:v>
      </x:c>
      <x:c r="J2894" s="76" t="str">
        <x:v>SIP</x:v>
      </x:c>
    </x:row>
    <x:row r="2895">
      <x:c r="A2895" s="50" t="str">
        <x:v>019fdea4-16cd-7a8c-887e-65351c8b0d8f</x:v>
      </x:c>
      <x:c r="B2895" s="50" t="str">
        <x:v>RTX</x:v>
      </x:c>
      <x:c r="C2895" s="70" t="n">
        <x:v>46241.994485324074</x:v>
      </x:c>
      <x:c r="D2895" s="50" t="str">
        <x:v>SWING_SETUP</x:v>
      </x:c>
      <x:c r="E2895" s="50" t="str">
        <x:v>RTX SWING SETUP</x:v>
      </x:c>
      <x:c r="F2895" s="50" t="str">
        <x:v>WATCH</x:v>
      </x:c>
      <x:c r="G2895" s="50"/>
      <x:c r="H2895" s="50" t="str">
        <x:v>LONG</x:v>
      </x:c>
      <x:c r="I2895" s="71" t="n">
        <x:v>223.65</x:v>
      </x:c>
      <x:c r="J2895" s="76" t="str">
        <x:v>SIP</x:v>
      </x:c>
    </x:row>
    <x:row r="2896">
      <x:c r="A2896" s="50" t="str">
        <x:v>019fdea4-1776-7414-986a-4da546f2b6f9</x:v>
      </x:c>
      <x:c r="B2896" s="50" t="str">
        <x:v>BLFS</x:v>
      </x:c>
      <x:c r="C2896" s="70" t="n">
        <x:v>46241.99448729167</x:v>
      </x:c>
      <x:c r="D2896" s="50" t="str">
        <x:v>SWING_SETUP</x:v>
      </x:c>
      <x:c r="E2896" s="50" t="str">
        <x:v>BLFS SWING SETUP</x:v>
      </x:c>
      <x:c r="F2896" s="50" t="str">
        <x:v>WATCH</x:v>
      </x:c>
      <x:c r="G2896" s="50"/>
      <x:c r="H2896" s="50" t="str">
        <x:v>LONG</x:v>
      </x:c>
      <x:c r="I2896" s="71" t="n">
        <x:v>34.645</x:v>
      </x:c>
      <x:c r="J2896" s="76" t="str">
        <x:v>SIP</x:v>
      </x:c>
    </x:row>
    <x:row r="2897">
      <x:c r="A2897" s="50" t="str">
        <x:v>019fdea4-194b-76dc-b681-fbdc0e237e05</x:v>
      </x:c>
      <x:c r="B2897" s="50" t="str">
        <x:v>SHW</x:v>
      </x:c>
      <x:c r="C2897" s="70" t="n">
        <x:v>46241.99449271991</x:v>
      </x:c>
      <x:c r="D2897" s="50" t="str">
        <x:v>SWING_SETUP</x:v>
      </x:c>
      <x:c r="E2897" s="50" t="str">
        <x:v>SHW SWING SETUP</x:v>
      </x:c>
      <x:c r="F2897" s="50" t="str">
        <x:v>WATCH</x:v>
      </x:c>
      <x:c r="G2897" s="50"/>
      <x:c r="H2897" s="50" t="str">
        <x:v>LONG</x:v>
      </x:c>
      <x:c r="I2897" s="71" t="n">
        <x:v>369.73</x:v>
      </x:c>
      <x:c r="J2897" s="76" t="str">
        <x:v>SIP</x:v>
      </x:c>
    </x:row>
    <x:row r="2898">
      <x:c r="A2898" s="50" t="str">
        <x:v>019fdea4-1996-701d-97e5-a53cdad325bb</x:v>
      </x:c>
      <x:c r="B2898" s="50" t="str">
        <x:v>NUE</x:v>
      </x:c>
      <x:c r="C2898" s="70" t="n">
        <x:v>46241.99449358796</x:v>
      </x:c>
      <x:c r="D2898" s="50" t="str">
        <x:v>SWING_SETUP</x:v>
      </x:c>
      <x:c r="E2898" s="50" t="str">
        <x:v>NUE SWING SETUP</x:v>
      </x:c>
      <x:c r="F2898" s="50" t="str">
        <x:v>WATCH</x:v>
      </x:c>
      <x:c r="G2898" s="50"/>
      <x:c r="H2898" s="50" t="str">
        <x:v>LONG</x:v>
      </x:c>
      <x:c r="I2898" s="71" t="n">
        <x:v>272.57</x:v>
      </x:c>
      <x:c r="J2898" s="76" t="str">
        <x:v>SIP</x:v>
      </x:c>
    </x:row>
    <x:row r="2899">
      <x:c r="A2899" s="50" t="str">
        <x:v>019fdea4-19ca-7a9b-84c2-e66679b93ec9</x:v>
      </x:c>
      <x:c r="B2899" s="50" t="str">
        <x:v>DLR</x:v>
      </x:c>
      <x:c r="C2899" s="70" t="n">
        <x:v>46241.994494189814</x:v>
      </x:c>
      <x:c r="D2899" s="50" t="str">
        <x:v>SWING_SETUP</x:v>
      </x:c>
      <x:c r="E2899" s="50" t="str">
        <x:v>DLR SWING SETUP</x:v>
      </x:c>
      <x:c r="F2899" s="50" t="str">
        <x:v>WATCH</x:v>
      </x:c>
      <x:c r="G2899" s="50"/>
      <x:c r="H2899" s="50" t="str">
        <x:v>LONG</x:v>
      </x:c>
      <x:c r="I2899" s="71" t="n">
        <x:v>193.8</x:v>
      </x:c>
      <x:c r="J2899" s="76" t="str">
        <x:v>SIP</x:v>
      </x:c>
    </x:row>
    <x:row r="2900">
      <x:c r="A2900" s="50" t="str">
        <x:v>019fdea4-19df-7c3a-937d-26c0b68cbe41</x:v>
      </x:c>
      <x:c r="B2900" s="50" t="str">
        <x:v>MRK</x:v>
      </x:c>
      <x:c r="C2900" s="70" t="n">
        <x:v>46241.99449443287</x:v>
      </x:c>
      <x:c r="D2900" s="50" t="str">
        <x:v>SWING_SETUP</x:v>
      </x:c>
      <x:c r="E2900" s="50" t="str">
        <x:v>MRK SWING SETUP</x:v>
      </x:c>
      <x:c r="F2900" s="50" t="str">
        <x:v>WATCH</x:v>
      </x:c>
      <x:c r="G2900" s="50"/>
      <x:c r="H2900" s="50" t="str">
        <x:v>LONG</x:v>
      </x:c>
      <x:c r="I2900" s="71" t="n">
        <x:v>128.57</x:v>
      </x:c>
      <x:c r="J2900" s="76" t="str">
        <x:v>SIP</x:v>
      </x:c>
    </x:row>
    <x:row r="2901">
      <x:c r="A2901" s="50" t="str">
        <x:v>019fdea4-1a41-7c01-bfbc-5369905839ae</x:v>
      </x:c>
      <x:c r="B2901" s="50" t="str">
        <x:v>PM</x:v>
      </x:c>
      <x:c r="C2901" s="70" t="n">
        <x:v>46241.99449556713</x:v>
      </x:c>
      <x:c r="D2901" s="50" t="str">
        <x:v>SWING_SETUP</x:v>
      </x:c>
      <x:c r="E2901" s="50" t="str">
        <x:v>PM SWING SETUP</x:v>
      </x:c>
      <x:c r="F2901" s="50" t="str">
        <x:v>WATCH</x:v>
      </x:c>
      <x:c r="G2901" s="50"/>
      <x:c r="H2901" s="50" t="str">
        <x:v>LONG</x:v>
      </x:c>
      <x:c r="I2901" s="71" t="n">
        <x:v>189.57</x:v>
      </x:c>
      <x:c r="J2901" s="76" t="str">
        <x:v>SIP</x:v>
      </x:c>
    </x:row>
    <x:row r="2902">
      <x:c r="A2902" s="50" t="str">
        <x:v>019fdea5-02b7-7418-a3b2-91f25f9a1ac4</x:v>
      </x:c>
      <x:c r="B2902" s="50" t="str">
        <x:v>NXE</x:v>
      </x:c>
      <x:c r="C2902" s="70" t="n">
        <x:v>46241.995184328705</x:v>
      </x:c>
      <x:c r="D2902" s="50" t="str">
        <x:v>SWING_SETUP</x:v>
      </x:c>
      <x:c r="E2902" s="50" t="str">
        <x:v>NXE SWING SETUP</x:v>
      </x:c>
      <x:c r="F2902" s="50" t="str">
        <x:v>WATCH</x:v>
      </x:c>
      <x:c r="G2902" s="50"/>
      <x:c r="H2902" s="50" t="str">
        <x:v>LONG</x:v>
      </x:c>
      <x:c r="I2902" s="71" t="n">
        <x:v>10.4899</x:v>
      </x:c>
      <x:c r="J2902" s="76" t="str">
        <x:v>SIP</x:v>
      </x:c>
    </x:row>
    <x:row r="2903">
      <x:c r="A2903" s="50" t="str">
        <x:v>019fdea5-02d6-763b-afe3-4722a4210b6b</x:v>
      </x:c>
      <x:c r="B2903" s="50" t="str">
        <x:v>SBUX</x:v>
      </x:c>
      <x:c r="C2903" s="70" t="n">
        <x:v>46241.99518469907</x:v>
      </x:c>
      <x:c r="D2903" s="50" t="str">
        <x:v>LONG_BUY_ZONE</x:v>
      </x:c>
      <x:c r="E2903" s="50" t="str">
        <x:v>SBUX LONG BUY ZONE</x:v>
      </x:c>
      <x:c r="F2903" s="50" t="str">
        <x:v>WATCH</x:v>
      </x:c>
      <x:c r="G2903" s="50"/>
      <x:c r="H2903" s="50" t="str">
        <x:v>LONG</x:v>
      </x:c>
      <x:c r="I2903" s="71" t="n">
        <x:v>105.7019</x:v>
      </x:c>
      <x:c r="J2903" s="76" t="str">
        <x:v>SIP</x:v>
      </x:c>
    </x:row>
    <x:row r="2904">
      <x:c r="A2904" s="50" t="str">
        <x:v>019fdea5-ec87-762e-bfaf-c366a57960d0</x:v>
      </x:c>
      <x:c r="B2904" s="50" t="str">
        <x:v>VZ</x:v>
      </x:c>
      <x:c r="C2904" s="70" t="n">
        <x:v>46241.995877106485</x:v>
      </x:c>
      <x:c r="D2904" s="50" t="str">
        <x:v>SWING_SETUP</x:v>
      </x:c>
      <x:c r="E2904" s="50" t="str">
        <x:v>VZ SWING SETUP</x:v>
      </x:c>
      <x:c r="F2904" s="50" t="str">
        <x:v>WATCH</x:v>
      </x:c>
      <x:c r="G2904" s="50"/>
      <x:c r="H2904" s="50" t="str">
        <x:v>LONG</x:v>
      </x:c>
      <x:c r="I2904" s="71" t="n">
        <x:v>47.01</x:v>
      </x:c>
      <x:c r="J2904" s="76" t="str">
        <x:v>SIP</x:v>
      </x:c>
    </x:row>
    <x:row r="2905">
      <x:c r="A2905" s="50" t="str">
        <x:v>019fdea5-ed48-749f-af56-a59aea18c7db</x:v>
      </x:c>
      <x:c r="B2905" s="50" t="str">
        <x:v>TMO</x:v>
      </x:c>
      <x:c r="C2905" s="70" t="n">
        <x:v>46241.99587935185</x:v>
      </x:c>
      <x:c r="D2905" s="50" t="str">
        <x:v>SWING_SETUP</x:v>
      </x:c>
      <x:c r="E2905" s="50" t="str">
        <x:v>TMO SWING SETUP</x:v>
      </x:c>
      <x:c r="F2905" s="50" t="str">
        <x:v>WATCH</x:v>
      </x:c>
      <x:c r="G2905" s="50"/>
      <x:c r="H2905" s="50" t="str">
        <x:v>LONG</x:v>
      </x:c>
      <x:c r="I2905" s="71" t="n">
        <x:v>594</x:v>
      </x:c>
      <x:c r="J2905" s="76" t="str">
        <x:v>SIP</x:v>
      </x:c>
    </x:row>
    <x:row r="2906">
      <x:c r="A2906" s="50" t="str">
        <x:v>019fdea6-d5a7-7659-bc3c-acd082de47a0</x:v>
      </x:c>
      <x:c r="B2906" s="50" t="str">
        <x:v>PFE</x:v>
      </x:c>
      <x:c r="C2906" s="70" t="n">
        <x:v>46241.9965678588</x:v>
      </x:c>
      <x:c r="D2906" s="50" t="str">
        <x:v>SWING_SETUP</x:v>
      </x:c>
      <x:c r="E2906" s="50" t="str">
        <x:v>PFE SWING SETUP</x:v>
      </x:c>
      <x:c r="F2906" s="50" t="str">
        <x:v>WATCH</x:v>
      </x:c>
      <x:c r="G2906" s="50"/>
      <x:c r="H2906" s="50" t="str">
        <x:v>LONG</x:v>
      </x:c>
      <x:c r="I2906" s="71" t="n">
        <x:v>26.6231</x:v>
      </x:c>
      <x:c r="J2906" s="76" t="str">
        <x:v>SIP</x:v>
      </x:c>
    </x:row>
    <x:row r="2907">
      <x:c r="A2907" s="50" t="str">
        <x:v>019fdea6-d69f-7f1f-bed0-828dc3fdb61a</x:v>
      </x:c>
      <x:c r="B2907" s="50" t="str">
        <x:v>CROX</x:v>
      </x:c>
      <x:c r="C2907" s="70" t="n">
        <x:v>46241.996570717594</x:v>
      </x:c>
      <x:c r="D2907" s="50" t="str">
        <x:v>SWING_SETUP</x:v>
      </x:c>
      <x:c r="E2907" s="50" t="str">
        <x:v>CROX SWING SETUP</x:v>
      </x:c>
      <x:c r="F2907" s="50" t="str">
        <x:v>WATCH</x:v>
      </x:c>
      <x:c r="G2907" s="50"/>
      <x:c r="H2907" s="50" t="str">
        <x:v>LONG</x:v>
      </x:c>
      <x:c r="I2907" s="71" t="n">
        <x:v>136.56</x:v>
      </x:c>
      <x:c r="J2907" s="76" t="str">
        <x:v>SIP</x:v>
      </x:c>
    </x:row>
    <x:row r="2908">
      <x:c r="A2908" s="50" t="str">
        <x:v>019fdea6-d92a-70f4-8ce3-6435053b5d85</x:v>
      </x:c>
      <x:c r="B2908" s="50" t="str">
        <x:v>AMGN</x:v>
      </x:c>
      <x:c r="C2908" s="70" t="n">
        <x:v>46241.99657826389</x:v>
      </x:c>
      <x:c r="D2908" s="50" t="str">
        <x:v>SWING_SETUP</x:v>
      </x:c>
      <x:c r="E2908" s="50" t="str">
        <x:v>AMGN SWING SETUP</x:v>
      </x:c>
      <x:c r="F2908" s="50" t="str">
        <x:v>WATCH</x:v>
      </x:c>
      <x:c r="G2908" s="50"/>
      <x:c r="H2908" s="50" t="str">
        <x:v>LONG</x:v>
      </x:c>
      <x:c r="I2908" s="71" t="n">
        <x:v>410.35</x:v>
      </x:c>
      <x:c r="J2908" s="76" t="str">
        <x:v>SIP</x:v>
      </x:c>
    </x:row>
    <x:row r="2909">
      <x:c r="A2909" s="50" t="str">
        <x:v>019fdea8-ad04-760d-9bda-82208f5260c7</x:v>
      </x:c>
      <x:c r="B2909" s="50" t="str">
        <x:v>BMY</x:v>
      </x:c>
      <x:c r="C2909" s="70" t="n">
        <x:v>46241.99796449074</x:v>
      </x:c>
      <x:c r="D2909" s="50" t="str">
        <x:v>SWING_SETUP</x:v>
      </x:c>
      <x:c r="E2909" s="50" t="str">
        <x:v>BMY SWING SETUP</x:v>
      </x:c>
      <x:c r="F2909" s="50" t="str">
        <x:v>WATCH</x:v>
      </x:c>
      <x:c r="G2909" s="50"/>
      <x:c r="H2909" s="50" t="str">
        <x:v>LONG</x:v>
      </x:c>
      <x:c r="I2909" s="71" t="n">
        <x:v>64.69</x:v>
      </x:c>
      <x:c r="J2909" s="76" t="str">
        <x:v>SIP</x:v>
      </x:c>
    </x:row>
    <x:row r="2910">
      <x:c r="A2910" s="50" t="str">
        <x:v>019fdea8-ad99-7809-ace1-ba6959dfc1d4</x:v>
      </x:c>
      <x:c r="B2910" s="50" t="str">
        <x:v>JPM</x:v>
      </x:c>
      <x:c r="C2910" s="70" t="n">
        <x:v>46241.99796621528</x:v>
      </x:c>
      <x:c r="D2910" s="50" t="str">
        <x:v>SWING_SETUP</x:v>
      </x:c>
      <x:c r="E2910" s="50" t="str">
        <x:v>JPM SWING SETUP</x:v>
      </x:c>
      <x:c r="F2910" s="50" t="str">
        <x:v>WATCH</x:v>
      </x:c>
      <x:c r="G2910" s="50"/>
      <x:c r="H2910" s="50" t="str">
        <x:v>LONG</x:v>
      </x:c>
      <x:c r="I2910" s="71" t="n">
        <x:v>357.4511</x:v>
      </x:c>
      <x:c r="J2910" s="76" t="str">
        <x:v>SIP</x:v>
      </x:c>
    </x:row>
    <x:row r="2911">
      <x:c r="A2911" s="50" t="str">
        <x:v>019fdeaa-7eaf-70cc-9836-4ae368129c39</x:v>
      </x:c>
      <x:c r="B2911" s="50" t="str">
        <x:v>WELL</x:v>
      </x:c>
      <x:c r="C2911" s="70" t="n">
        <x:v>46241.99934423611</x:v>
      </x:c>
      <x:c r="D2911" s="50" t="str">
        <x:v>SWING_SETUP</x:v>
      </x:c>
      <x:c r="E2911" s="50" t="str">
        <x:v>WELL SWING SETUP</x:v>
      </x:c>
      <x:c r="F2911" s="50" t="str">
        <x:v>WATCH</x:v>
      </x:c>
      <x:c r="G2911" s="50"/>
      <x:c r="H2911" s="50" t="str">
        <x:v>LONG</x:v>
      </x:c>
      <x:c r="I2911" s="71" t="n">
        <x:v>236.92</x:v>
      </x:c>
      <x:c r="J2911" s="76" t="str">
        <x:v>SIP</x:v>
      </x:c>
    </x:row>
    <x:row r="2912">
      <x:c r="A2912" s="50" t="str">
        <x:v>019fdeaa-808b-78a6-8ae2-36aef1fd0b3e</x:v>
      </x:c>
      <x:c r="B2912" s="50" t="str">
        <x:v>NOC</x:v>
      </x:c>
      <x:c r="C2912" s="70" t="n">
        <x:v>46241.999349756945</x:v>
      </x:c>
      <x:c r="D2912" s="50" t="str">
        <x:v>SWING_SETUP</x:v>
      </x:c>
      <x:c r="E2912" s="50" t="str">
        <x:v>NOC SWING SETUP</x:v>
      </x:c>
      <x:c r="F2912" s="50" t="str">
        <x:v>WATCH</x:v>
      </x:c>
      <x:c r="G2912" s="50"/>
      <x:c r="H2912" s="50" t="str">
        <x:v>LONG</x:v>
      </x:c>
      <x:c r="I2912" s="71" t="n">
        <x:v>571.58</x:v>
      </x:c>
      <x:c r="J2912" s="76" t="str">
        <x:v>SIP</x:v>
      </x:c>
    </x:row>
    <x:row r="2913">
      <x:c r="A2913" s="50" t="str">
        <x:v>019fdeaa-80b2-7e31-a838-854015950c7d</x:v>
      </x:c>
      <x:c r="B2913" s="50" t="str">
        <x:v>APA</x:v>
      </x:c>
      <x:c r="C2913" s="70" t="n">
        <x:v>46241.99935020833</x:v>
      </x:c>
      <x:c r="D2913" s="50" t="str">
        <x:v>SWING_SETUP</x:v>
      </x:c>
      <x:c r="E2913" s="50" t="str">
        <x:v>APA SWING SETUP</x:v>
      </x:c>
      <x:c r="F2913" s="50" t="str">
        <x:v>WATCH</x:v>
      </x:c>
      <x:c r="G2913" s="50"/>
      <x:c r="H2913" s="50" t="str">
        <x:v>LONG</x:v>
      </x:c>
      <x:c r="I2913" s="71" t="n">
        <x:v>37.648</x:v>
      </x:c>
      <x:c r="J2913" s="76" t="str">
        <x:v>SIP</x:v>
      </x:c>
    </x:row>
    <x:row r="2914">
      <x:c r="A2914" s="50" t="str">
        <x:v>019fdeaa-81a7-7a2f-a483-dfa191856894</x:v>
      </x:c>
      <x:c r="B2914" s="50" t="str">
        <x:v>ANET</x:v>
      </x:c>
      <x:c r="C2914" s="70" t="n">
        <x:v>46241.99935304398</x:v>
      </x:c>
      <x:c r="D2914" s="50" t="str">
        <x:v>SWING_SETUP</x:v>
      </x:c>
      <x:c r="E2914" s="50" t="str">
        <x:v>ANET SWING SETUP</x:v>
      </x:c>
      <x:c r="F2914" s="50" t="str">
        <x:v>WATCH</x:v>
      </x:c>
      <x:c r="G2914" s="50"/>
      <x:c r="H2914" s="50" t="str">
        <x:v>LONG</x:v>
      </x:c>
      <x:c r="I2914" s="71" t="n">
        <x:v>189.14</x:v>
      </x:c>
      <x:c r="J2914" s="76" t="str">
        <x:v>SIP</x:v>
      </x:c>
    </x:row>
    <x:row r="2915">
      <x:c r="A2915" s="50" t="str">
        <x:v>019fdeaa-81bf-7147-b245-f2e8fe3fc916</x:v>
      </x:c>
      <x:c r="B2915" s="50" t="str">
        <x:v>UNP</x:v>
      </x:c>
      <x:c r="C2915" s="70" t="n">
        <x:v>46241.99935331019</x:v>
      </x:c>
      <x:c r="D2915" s="50" t="str">
        <x:v>SWING_SETUP</x:v>
      </x:c>
      <x:c r="E2915" s="50" t="str">
        <x:v>UNP SWING SETUP</x:v>
      </x:c>
      <x:c r="F2915" s="50" t="str">
        <x:v>WATCH</x:v>
      </x:c>
      <x:c r="G2915" s="50"/>
      <x:c r="H2915" s="50" t="str">
        <x:v>LONG</x:v>
      </x:c>
      <x:c r="I2915" s="71" t="n">
        <x:v>293.13</x:v>
      </x:c>
      <x:c r="J2915" s="76" t="str">
        <x:v>SIP</x:v>
      </x:c>
    </x:row>
    <x:row r="2916">
      <x:c r="A2916" s="50" t="str">
        <x:v>019fdeaa-8264-74d8-bdc2-2409e7883a4c</x:v>
      </x:c>
      <x:c r="B2916" s="50" t="str">
        <x:v>PYPL</x:v>
      </x:c>
      <x:c r="C2916" s="70" t="n">
        <x:v>46241.999355231485</x:v>
      </x:c>
      <x:c r="D2916" s="50" t="str">
        <x:v>SWING_SETUP</x:v>
      </x:c>
      <x:c r="E2916" s="50" t="str">
        <x:v>PYPL SWING SETUP</x:v>
      </x:c>
      <x:c r="F2916" s="50" t="str">
        <x:v>WATCH</x:v>
      </x:c>
      <x:c r="G2916" s="50"/>
      <x:c r="H2916" s="50" t="str">
        <x:v>LONG</x:v>
      </x:c>
      <x:c r="I2916" s="71" t="n">
        <x:v>59.095</x:v>
      </x:c>
      <x:c r="J2916" s="76" t="str">
        <x:v>SIP</x:v>
      </x:c>
    </x:row>
    <x:row r="2917">
      <x:c r="A2917" s="50" t="str">
        <x:v>019fdeab-6a6d-7c60-89c6-24fa725aee90</x:v>
      </x:c>
      <x:c r="B2917" s="50" t="str">
        <x:v>ETHA</x:v>
      </x:c>
      <x:c r="C2917" s="70" t="n">
        <x:v>46242.00004274306</x:v>
      </x:c>
      <x:c r="D2917" s="50" t="str">
        <x:v>SWING_SETUP</x:v>
      </x:c>
      <x:c r="E2917" s="50" t="str">
        <x:v>ETHA SWING SETUP</x:v>
      </x:c>
      <x:c r="F2917" s="50" t="str">
        <x:v>WATCH</x:v>
      </x:c>
      <x:c r="G2917" s="50"/>
      <x:c r="H2917" s="50" t="str">
        <x:v>LONG</x:v>
      </x:c>
      <x:c r="I2917" s="71" t="n">
        <x:v>14.4947</x:v>
      </x:c>
      <x:c r="J2917" s="76" t="str">
        <x:v>SIP</x:v>
      </x:c>
    </x:row>
    <x:row r="2918">
      <x:c r="A2918" s="50" t="str">
        <x:v>019fdeab-6b01-77b0-9a4f-a460f4c617f5</x:v>
      </x:c>
      <x:c r="B2918" s="50" t="str">
        <x:v>CEG</x:v>
      </x:c>
      <x:c r="C2918" s="70" t="n">
        <x:v>46242.00004445602</x:v>
      </x:c>
      <x:c r="D2918" s="50" t="str">
        <x:v>SWING_SETUP</x:v>
      </x:c>
      <x:c r="E2918" s="50" t="str">
        <x:v>CEG SWING SETUP</x:v>
      </x:c>
      <x:c r="F2918" s="50" t="str">
        <x:v>WATCH</x:v>
      </x:c>
      <x:c r="G2918" s="50"/>
      <x:c r="H2918" s="50" t="str">
        <x:v>LONG</x:v>
      </x:c>
      <x:c r="I2918" s="71" t="n">
        <x:v>269.9</x:v>
      </x:c>
      <x:c r="J2918" s="76" t="str">
        <x:v>SIP</x:v>
      </x:c>
    </x:row>
    <x:row r="2919">
      <x:c r="A2919" s="50" t="str">
        <x:v>019fdeab-6c1b-79ba-81bc-cb012472c76d</x:v>
      </x:c>
      <x:c r="B2919" s="50" t="str">
        <x:v>COP</x:v>
      </x:c>
      <x:c r="C2919" s="70" t="n">
        <x:v>46242.00004771991</x:v>
      </x:c>
      <x:c r="D2919" s="50" t="str">
        <x:v>SWING_SETUP</x:v>
      </x:c>
      <x:c r="E2919" s="50" t="str">
        <x:v>COP SWING SETUP</x:v>
      </x:c>
      <x:c r="F2919" s="50" t="str">
        <x:v>WATCH</x:v>
      </x:c>
      <x:c r="G2919" s="50"/>
      <x:c r="H2919" s="50" t="str">
        <x:v>LONG</x:v>
      </x:c>
      <x:c r="I2919" s="71" t="n">
        <x:v>117.6</x:v>
      </x:c>
      <x:c r="J2919" s="76" t="str">
        <x:v>SIP</x:v>
      </x:c>
    </x:row>
    <x:row r="2920">
      <x:c r="A2920" s="50" t="str">
        <x:v>019fdeac-53af-7f64-aee9-806cc3962c7f</x:v>
      </x:c>
      <x:c r="B2920" s="50" t="str">
        <x:v>INTU</x:v>
      </x:c>
      <x:c r="C2920" s="70" t="n">
        <x:v>46242.00073386574</x:v>
      </x:c>
      <x:c r="D2920" s="50" t="str">
        <x:v>SWING_SETUP</x:v>
      </x:c>
      <x:c r="E2920" s="50" t="str">
        <x:v>INTU SWING SETUP</x:v>
      </x:c>
      <x:c r="F2920" s="50" t="str">
        <x:v>WATCH</x:v>
      </x:c>
      <x:c r="G2920" s="50"/>
      <x:c r="H2920" s="50" t="str">
        <x:v>LONG</x:v>
      </x:c>
      <x:c r="I2920" s="71" t="n">
        <x:v>325.25</x:v>
      </x:c>
      <x:c r="J2920" s="76" t="str">
        <x:v>SIP</x:v>
      </x:c>
    </x:row>
    <x:row r="2921">
      <x:c r="A2921" s="50" t="str">
        <x:v>019fdeac-5455-7600-998b-e91bdfd317d2</x:v>
      </x:c>
      <x:c r="B2921" s="50" t="str">
        <x:v>OXY</x:v>
      </x:c>
      <x:c r="C2921" s="70" t="n">
        <x:v>46242.00073579861</x:v>
      </x:c>
      <x:c r="D2921" s="50" t="str">
        <x:v>SWING_SETUP</x:v>
      </x:c>
      <x:c r="E2921" s="50" t="str">
        <x:v>OXY SWING SETUP</x:v>
      </x:c>
      <x:c r="F2921" s="50" t="str">
        <x:v>WATCH</x:v>
      </x:c>
      <x:c r="G2921" s="50"/>
      <x:c r="H2921" s="50" t="str">
        <x:v>LONG</x:v>
      </x:c>
      <x:c r="I2921" s="71" t="n">
        <x:v>56.03</x:v>
      </x:c>
      <x:c r="J2921" s="76" t="str">
        <x:v>SIP</x:v>
      </x:c>
    </x:row>
    <x:row r="2922">
      <x:c r="A2922" s="50" t="str">
        <x:v>019fdead-3f04-7007-8bd4-8a762cc70666</x:v>
      </x:c>
      <x:c r="B2922" s="50" t="str">
        <x:v>NVDA</x:v>
      </x:c>
      <x:c r="C2922" s="70" t="n">
        <x:v>46242.001431157405</x:v>
      </x:c>
      <x:c r="D2922" s="50" t="str">
        <x:v>SWING_SETUP</x:v>
      </x:c>
      <x:c r="E2922" s="50" t="str">
        <x:v>NVDA SWING SETUP</x:v>
      </x:c>
      <x:c r="F2922" s="50" t="str">
        <x:v>WATCH</x:v>
      </x:c>
      <x:c r="G2922" s="50"/>
      <x:c r="H2922" s="50" t="str">
        <x:v>LONG</x:v>
      </x:c>
      <x:c r="I2922" s="71" t="n">
        <x:v>223.65</x:v>
      </x:c>
      <x:c r="J2922" s="76" t="str">
        <x:v>SIP</x:v>
      </x:c>
    </x:row>
    <x:row r="2923">
      <x:c r="A2923" s="50" t="str">
        <x:v>019fdead-3f62-7564-a2ba-df68ab4fd9d3</x:v>
      </x:c>
      <x:c r="B2923" s="50" t="str">
        <x:v>SBUX</x:v>
      </x:c>
      <x:c r="C2923" s="70" t="n">
        <x:v>46242.00143224537</x:v>
      </x:c>
      <x:c r="D2923" s="50" t="str">
        <x:v>SWING_SETUP</x:v>
      </x:c>
      <x:c r="E2923" s="50" t="str">
        <x:v>SBUX SWING SETUP</x:v>
      </x:c>
      <x:c r="F2923" s="50" t="str">
        <x:v>WATCH</x:v>
      </x:c>
      <x:c r="G2923" s="50"/>
      <x:c r="H2923" s="50" t="str">
        <x:v>LONG</x:v>
      </x:c>
      <x:c r="I2923" s="71" t="n">
        <x:v>105.58</x:v>
      </x:c>
      <x:c r="J2923" s="76" t="str">
        <x:v>SIP</x:v>
      </x:c>
    </x:row>
    <x:row r="2924">
      <x:c r="A2924" s="50" t="str">
        <x:v>019fdead-4098-7f00-b3b4-b85f9df5e7e1</x:v>
      </x:c>
      <x:c r="B2924" s="50" t="str">
        <x:v>PLTR</x:v>
      </x:c>
      <x:c r="C2924" s="70" t="n">
        <x:v>46242.001435833336</x:v>
      </x:c>
      <x:c r="D2924" s="50" t="str">
        <x:v>SWING_SETUP</x:v>
      </x:c>
      <x:c r="E2924" s="50" t="str">
        <x:v>PLTR SWING SETUP</x:v>
      </x:c>
      <x:c r="F2924" s="50" t="str">
        <x:v>WATCH</x:v>
      </x:c>
      <x:c r="G2924" s="50"/>
      <x:c r="H2924" s="50" t="str">
        <x:v>LONG</x:v>
      </x:c>
      <x:c r="I2924" s="71" t="n">
        <x:v>171.58</x:v>
      </x:c>
      <x:c r="J2924" s="76" t="str">
        <x:v>SIP</x:v>
      </x:c>
    </x:row>
    <x:row r="2925">
      <x:c r="A2925" s="50" t="str">
        <x:v>019fdead-40e4-789b-be50-3533b2e71a97</x:v>
      </x:c>
      <x:c r="B2925" s="50" t="str">
        <x:v>RDW</x:v>
      </x:c>
      <x:c r="C2925" s="70" t="n">
        <x:v>46242.00143670139</x:v>
      </x:c>
      <x:c r="D2925" s="50" t="str">
        <x:v>SWING_SETUP</x:v>
      </x:c>
      <x:c r="E2925" s="50" t="str">
        <x:v>RDW SWING SETUP</x:v>
      </x:c>
      <x:c r="F2925" s="50" t="str">
        <x:v>WATCH</x:v>
      </x:c>
      <x:c r="G2925" s="50"/>
      <x:c r="H2925" s="50" t="str">
        <x:v>LONG</x:v>
      </x:c>
      <x:c r="I2925" s="71" t="n">
        <x:v>13.56</x:v>
      </x:c>
      <x:c r="J2925" s="76" t="str">
        <x:v>SIP</x:v>
      </x:c>
    </x:row>
    <x:row r="2926">
      <x:c r="A2926" s="50" t="str">
        <x:v>019fdeae-28ea-7493-b418-574514858c94</x:v>
      </x:c>
      <x:c r="B2926" s="50" t="str">
        <x:v>KO</x:v>
      </x:c>
      <x:c r="C2926" s="70" t="n">
        <x:v>46242.002124189814</x:v>
      </x:c>
      <x:c r="D2926" s="50" t="str">
        <x:v>SWING_SETUP</x:v>
      </x:c>
      <x:c r="E2926" s="50" t="str">
        <x:v>KO SWING SETUP</x:v>
      </x:c>
      <x:c r="F2926" s="50" t="str">
        <x:v>WATCH</x:v>
      </x:c>
      <x:c r="G2926" s="50"/>
      <x:c r="H2926" s="50" t="str">
        <x:v>LONG</x:v>
      </x:c>
      <x:c r="I2926" s="71" t="n">
        <x:v>87.09</x:v>
      </x:c>
      <x:c r="J2926" s="76" t="str">
        <x:v>SIP</x:v>
      </x:c>
    </x:row>
    <x:row r="2927">
      <x:c r="A2927" s="50" t="str">
        <x:v>019fdeae-2984-795e-9d9c-5e33d4fa2742</x:v>
      </x:c>
      <x:c r="B2927" s="50" t="str">
        <x:v>ABNB</x:v>
      </x:c>
      <x:c r="C2927" s="70" t="n">
        <x:v>46242.00212597222</x:v>
      </x:c>
      <x:c r="D2927" s="50" t="str">
        <x:v>SWING_SETUP</x:v>
      </x:c>
      <x:c r="E2927" s="50" t="str">
        <x:v>ABNB SWING SETUP</x:v>
      </x:c>
      <x:c r="F2927" s="50" t="str">
        <x:v>WATCH</x:v>
      </x:c>
      <x:c r="G2927" s="50"/>
      <x:c r="H2927" s="50" t="str">
        <x:v>LONG</x:v>
      </x:c>
      <x:c r="I2927" s="71" t="n">
        <x:v>177.9101</x:v>
      </x:c>
      <x:c r="J2927" s="76" t="str">
        <x:v>SIP</x:v>
      </x:c>
    </x:row>
    <x:row r="2928">
      <x:c r="A2928" s="50" t="str">
        <x:v>019fdeae-2a3e-703e-b911-5e4991d92db8</x:v>
      </x:c>
      <x:c r="B2928" s="50" t="str">
        <x:v>MDLZ</x:v>
      </x:c>
      <x:c r="C2928" s="70" t="n">
        <x:v>46242.002128125</x:v>
      </x:c>
      <x:c r="D2928" s="50" t="str">
        <x:v>SWING_SETUP</x:v>
      </x:c>
      <x:c r="E2928" s="50" t="str">
        <x:v>MDLZ SWING SETUP</x:v>
      </x:c>
      <x:c r="F2928" s="50" t="str">
        <x:v>WATCH</x:v>
      </x:c>
      <x:c r="G2928" s="50"/>
      <x:c r="H2928" s="50" t="str">
        <x:v>LONG</x:v>
      </x:c>
      <x:c r="I2928" s="71" t="n">
        <x:v>62.61</x:v>
      </x:c>
      <x:c r="J2928" s="76" t="str">
        <x:v>SIP</x:v>
      </x:c>
    </x:row>
    <x:row r="2929">
      <x:c r="A2929" s="50" t="str">
        <x:v>019fdeae-2a73-7d2f-8dc6-fd394974b4f5</x:v>
      </x:c>
      <x:c r="B2929" s="50" t="str">
        <x:v>XOM</x:v>
      </x:c>
      <x:c r="C2929" s="70" t="n">
        <x:v>46242.00212873842</x:v>
      </x:c>
      <x:c r="D2929" s="50" t="str">
        <x:v>SWING_SETUP</x:v>
      </x:c>
      <x:c r="E2929" s="50" t="str">
        <x:v>XOM SWING SETUP</x:v>
      </x:c>
      <x:c r="F2929" s="50" t="str">
        <x:v>WATCH</x:v>
      </x:c>
      <x:c r="G2929" s="50"/>
      <x:c r="H2929" s="50" t="str">
        <x:v>LONG</x:v>
      </x:c>
      <x:c r="I2929" s="71" t="n">
        <x:v>153.1</x:v>
      </x:c>
      <x:c r="J2929" s="76" t="str">
        <x:v>SIP</x:v>
      </x:c>
    </x:row>
    <x:row r="2930">
      <x:c r="A2930" s="50" t="str">
        <x:v>019fdeaf-138c-76cd-8474-7dcbdf3ed32a</x:v>
      </x:c>
      <x:c r="B2930" s="50" t="str">
        <x:v>TMDX</x:v>
      </x:c>
      <x:c r="C2930" s="70" t="n">
        <x:v>46242.00281939815</x:v>
      </x:c>
      <x:c r="D2930" s="50" t="str">
        <x:v>SWING_SETUP</x:v>
      </x:c>
      <x:c r="E2930" s="50" t="str">
        <x:v>TMDX SWING SETUP</x:v>
      </x:c>
      <x:c r="F2930" s="50" t="str">
        <x:v>WATCH</x:v>
      </x:c>
      <x:c r="G2930" s="50"/>
      <x:c r="H2930" s="50" t="str">
        <x:v>LONG</x:v>
      </x:c>
      <x:c r="I2930" s="71" t="n">
        <x:v>83.5</x:v>
      </x:c>
      <x:c r="J2930" s="76" t="str">
        <x:v>SIP</x:v>
      </x:c>
    </x:row>
    <x:row r="2931">
      <x:c r="A2931" s="50" t="str">
        <x:v>019fdeaf-1395-70bc-adb9-b87c315903fb</x:v>
      </x:c>
      <x:c r="B2931" s="50" t="str">
        <x:v>SCHW</x:v>
      </x:c>
      <x:c r="C2931" s="70" t="n">
        <x:v>46242.00281949074</x:v>
      </x:c>
      <x:c r="D2931" s="50" t="str">
        <x:v>SWING_SETUP</x:v>
      </x:c>
      <x:c r="E2931" s="50" t="str">
        <x:v>SCHW SWING SETUP</x:v>
      </x:c>
      <x:c r="F2931" s="50" t="str">
        <x:v>WATCH</x:v>
      </x:c>
      <x:c r="G2931" s="50"/>
      <x:c r="H2931" s="50" t="str">
        <x:v>LONG</x:v>
      </x:c>
      <x:c r="I2931" s="71" t="n">
        <x:v>107.6</x:v>
      </x:c>
      <x:c r="J2931" s="76" t="str">
        <x:v>SIP</x:v>
      </x:c>
    </x:row>
    <x:row r="2932">
      <x:c r="A2932" s="50" t="str">
        <x:v>019fdeaf-1405-79da-94c7-00dfcb841588</x:v>
      </x:c>
      <x:c r="B2932" s="50" t="str">
        <x:v>PSX</x:v>
      </x:c>
      <x:c r="C2932" s="70" t="n">
        <x:v>46242.00282079861</x:v>
      </x:c>
      <x:c r="D2932" s="50" t="str">
        <x:v>SWING_SETUP</x:v>
      </x:c>
      <x:c r="E2932" s="50" t="str">
        <x:v>PSX SWING SETUP</x:v>
      </x:c>
      <x:c r="F2932" s="50" t="str">
        <x:v>WATCH</x:v>
      </x:c>
      <x:c r="G2932" s="50"/>
      <x:c r="H2932" s="50" t="str">
        <x:v>LONG</x:v>
      </x:c>
      <x:c r="I2932" s="71" t="n">
        <x:v>203.91</x:v>
      </x:c>
      <x:c r="J2932" s="76" t="str">
        <x:v>SIP</x:v>
      </x:c>
    </x:row>
    <x:row r="2933">
      <x:c r="A2933" s="50" t="str">
        <x:v>019fdeaf-140d-71ef-990d-1ccbbb296be9</x:v>
      </x:c>
      <x:c r="B2933" s="50" t="str">
        <x:v>ETN</x:v>
      </x:c>
      <x:c r="C2933" s="70" t="n">
        <x:v>46242.002820891204</x:v>
      </x:c>
      <x:c r="D2933" s="50" t="str">
        <x:v>SWING_SETUP</x:v>
      </x:c>
      <x:c r="E2933" s="50" t="str">
        <x:v>ETN SWING SETUP</x:v>
      </x:c>
      <x:c r="F2933" s="50" t="str">
        <x:v>WATCH</x:v>
      </x:c>
      <x:c r="G2933" s="50"/>
      <x:c r="H2933" s="50" t="str">
        <x:v>LONG</x:v>
      </x:c>
      <x:c r="I2933" s="71" t="n">
        <x:v>448.67</x:v>
      </x:c>
      <x:c r="J2933" s="76" t="str">
        <x:v>SIP</x:v>
      </x:c>
    </x:row>
    <x:row r="2934">
      <x:c r="A2934" s="50" t="str">
        <x:v>019fdeaf-fd08-729b-8dad-1a64d9dbd35a</x:v>
      </x:c>
      <x:c r="B2934" s="50" t="str">
        <x:v>JD</x:v>
      </x:c>
      <x:c r="C2934" s="70" t="n">
        <x:v>46242.0035112037</x:v>
      </x:c>
      <x:c r="D2934" s="50" t="str">
        <x:v>SWING_SETUP</x:v>
      </x:c>
      <x:c r="E2934" s="50" t="str">
        <x:v>JD SWING SETUP</x:v>
      </x:c>
      <x:c r="F2934" s="50" t="str">
        <x:v>WATCH</x:v>
      </x:c>
      <x:c r="G2934" s="50"/>
      <x:c r="H2934" s="50" t="str">
        <x:v>LONG</x:v>
      </x:c>
      <x:c r="I2934" s="71" t="n">
        <x:v>33</x:v>
      </x:c>
      <x:c r="J2934" s="76" t="str">
        <x:v>SIP</x:v>
      </x:c>
    </x:row>
    <x:row r="2935">
      <x:c r="A2935" s="50" t="str">
        <x:v>019fdeaf-fd1b-75fa-a1c7-2679b89144b0</x:v>
      </x:c>
      <x:c r="B2935" s="50" t="str">
        <x:v>TGT</x:v>
      </x:c>
      <x:c r="C2935" s="70" t="n">
        <x:v>46242.00351142361</x:v>
      </x:c>
      <x:c r="D2935" s="50" t="str">
        <x:v>SWING_SETUP</x:v>
      </x:c>
      <x:c r="E2935" s="50" t="str">
        <x:v>TGT SWING SETUP</x:v>
      </x:c>
      <x:c r="F2935" s="50" t="str">
        <x:v>WATCH</x:v>
      </x:c>
      <x:c r="G2935" s="50"/>
      <x:c r="H2935" s="50" t="str">
        <x:v>LONG</x:v>
      </x:c>
      <x:c r="I2935" s="71" t="n">
        <x:v>149.5</x:v>
      </x:c>
      <x:c r="J2935" s="76" t="str">
        <x:v>SIP</x:v>
      </x:c>
    </x:row>
    <x:row r="2936">
      <x:c r="A2936" s="50" t="str">
        <x:v>019fdeaf-fd22-7a02-99b1-fcad3591f241</x:v>
      </x:c>
      <x:c r="B2936" s="50" t="str">
        <x:v>BAC</x:v>
      </x:c>
      <x:c r="C2936" s="70" t="n">
        <x:v>46242.00351150463</x:v>
      </x:c>
      <x:c r="D2936" s="50" t="str">
        <x:v>SWING_SETUP</x:v>
      </x:c>
      <x:c r="E2936" s="50" t="str">
        <x:v>BAC SWING SETUP</x:v>
      </x:c>
      <x:c r="F2936" s="50" t="str">
        <x:v>WATCH</x:v>
      </x:c>
      <x:c r="G2936" s="50"/>
      <x:c r="H2936" s="50" t="str">
        <x:v>LONG</x:v>
      </x:c>
      <x:c r="I2936" s="71" t="n">
        <x:v>63.19</x:v>
      </x:c>
      <x:c r="J2936" s="76" t="str">
        <x:v>SIP</x:v>
      </x:c>
    </x:row>
    <x:row r="2937">
      <x:c r="A2937" s="50" t="str">
        <x:v>019fdeaf-fd3e-7c88-8fbe-8fe2ed99feb9</x:v>
      </x:c>
      <x:c r="B2937" s="50" t="str">
        <x:v>ECL</x:v>
      </x:c>
      <x:c r="C2937" s="70" t="n">
        <x:v>46242.003511828705</x:v>
      </x:c>
      <x:c r="D2937" s="50" t="str">
        <x:v>SWING_SETUP</x:v>
      </x:c>
      <x:c r="E2937" s="50" t="str">
        <x:v>ECL SWING SETUP</x:v>
      </x:c>
      <x:c r="F2937" s="50" t="str">
        <x:v>WATCH</x:v>
      </x:c>
      <x:c r="G2937" s="50"/>
      <x:c r="H2937" s="50" t="str">
        <x:v>LONG</x:v>
      </x:c>
      <x:c r="I2937" s="71" t="n">
        <x:v>285.17</x:v>
      </x:c>
      <x:c r="J2937" s="76" t="str">
        <x:v>SIP</x:v>
      </x:c>
    </x:row>
    <x:row r="2938">
      <x:c r="A2938" s="50" t="str">
        <x:v>019fdeaf-fd88-708b-9237-718c091fc5fc</x:v>
      </x:c>
      <x:c r="B2938" s="50" t="str">
        <x:v>BKNG</x:v>
      </x:c>
      <x:c r="C2938" s="70" t="n">
        <x:v>46242.00351268519</x:v>
      </x:c>
      <x:c r="D2938" s="50" t="str">
        <x:v>SWING_SETUP</x:v>
      </x:c>
      <x:c r="E2938" s="50" t="str">
        <x:v>BKNG SWING SETUP</x:v>
      </x:c>
      <x:c r="F2938" s="50" t="str">
        <x:v>WATCH</x:v>
      </x:c>
      <x:c r="G2938" s="50"/>
      <x:c r="H2938" s="50" t="str">
        <x:v>LONG</x:v>
      </x:c>
      <x:c r="I2938" s="71" t="n">
        <x:v>213.8621</x:v>
      </x:c>
      <x:c r="J2938" s="76" t="str">
        <x:v>SIP</x:v>
      </x:c>
    </x:row>
    <x:row r="2939">
      <x:c r="A2939" s="50" t="str">
        <x:v>019fdeaf-fe4c-7102-9145-64187e82e069</x:v>
      </x:c>
      <x:c r="B2939" s="50" t="str">
        <x:v>APH</x:v>
      </x:c>
      <x:c r="C2939" s="70" t="n">
        <x:v>46242.00351495371</x:v>
      </x:c>
      <x:c r="D2939" s="50" t="str">
        <x:v>SWING_SETUP</x:v>
      </x:c>
      <x:c r="E2939" s="50" t="str">
        <x:v>APH SWING SETUP</x:v>
      </x:c>
      <x:c r="F2939" s="50" t="str">
        <x:v>WATCH</x:v>
      </x:c>
      <x:c r="G2939" s="50"/>
      <x:c r="H2939" s="50" t="str">
        <x:v>LONG</x:v>
      </x:c>
      <x:c r="I2939" s="71" t="n">
        <x:v>169.18</x:v>
      </x:c>
      <x:c r="J2939" s="76" t="str">
        <x:v>SIP</x:v>
      </x:c>
    </x:row>
    <x:row r="2940">
      <x:c r="A2940" s="50" t="str">
        <x:v>019fdeaf-fe6a-7785-955c-40d45c0b29fd</x:v>
      </x:c>
      <x:c r="B2940" s="50" t="str">
        <x:v>ACHV</x:v>
      </x:c>
      <x:c r="C2940" s="70" t="n">
        <x:v>46242.00351530092</x:v>
      </x:c>
      <x:c r="D2940" s="50" t="str">
        <x:v>SWING_SETUP</x:v>
      </x:c>
      <x:c r="E2940" s="50" t="str">
        <x:v>ACHV SWING SETUP</x:v>
      </x:c>
      <x:c r="F2940" s="50" t="str">
        <x:v>WATCH</x:v>
      </x:c>
      <x:c r="G2940" s="50"/>
      <x:c r="H2940" s="50" t="str">
        <x:v>LONG</x:v>
      </x:c>
      <x:c r="I2940" s="71" t="n">
        <x:v>6.65</x:v>
      </x:c>
      <x:c r="J2940" s="76" t="str">
        <x:v>SIP</x:v>
      </x:c>
    </x:row>
    <x:row r="2941">
      <x:c r="A2941" s="50" t="str">
        <x:v>019fdeaf-fe7f-7ed2-918f-84fc83e53004</x:v>
      </x:c>
      <x:c r="B2941" s="50" t="str">
        <x:v>MMM</x:v>
      </x:c>
      <x:c r="C2941" s="70" t="n">
        <x:v>46242.003515543984</x:v>
      </x:c>
      <x:c r="D2941" s="50" t="str">
        <x:v>SWING_SETUP</x:v>
      </x:c>
      <x:c r="E2941" s="50" t="str">
        <x:v>MMM SWING SETUP</x:v>
      </x:c>
      <x:c r="F2941" s="50" t="str">
        <x:v>WATCH</x:v>
      </x:c>
      <x:c r="G2941" s="50"/>
      <x:c r="H2941" s="50" t="str">
        <x:v>LONG</x:v>
      </x:c>
      <x:c r="I2941" s="71" t="n">
        <x:v>182.89</x:v>
      </x:c>
      <x:c r="J2941" s="76" t="str">
        <x:v>SIP</x:v>
      </x:c>
    </x:row>
    <x:row r="2942">
      <x:c r="A2942" s="50" t="str">
        <x:v>019fdeaf-ff54-7b6d-881f-977872d73a4e</x:v>
      </x:c>
      <x:c r="B2942" s="50" t="str">
        <x:v>SNOW</x:v>
      </x:c>
      <x:c r="C2942" s="70" t="n">
        <x:v>46242.003517997684</x:v>
      </x:c>
      <x:c r="D2942" s="50" t="str">
        <x:v>SWING_SETUP</x:v>
      </x:c>
      <x:c r="E2942" s="50" t="str">
        <x:v>SNOW SWING SETUP</x:v>
      </x:c>
      <x:c r="F2942" s="50" t="str">
        <x:v>WATCH</x:v>
      </x:c>
      <x:c r="G2942" s="50"/>
      <x:c r="H2942" s="50" t="str">
        <x:v>LONG</x:v>
      </x:c>
      <x:c r="I2942" s="71" t="n">
        <x:v>330.1</x:v>
      </x:c>
      <x:c r="J2942" s="76" t="str">
        <x:v>SIP</x:v>
      </x:c>
    </x:row>
    <x:row r="2943">
      <x:c r="A2943" s="50" t="str">
        <x:v>019fdeb0-e8ef-7a3b-96d2-6f55126bd653</x:v>
      </x:c>
      <x:c r="B2943" s="50" t="str">
        <x:v>LMT</x:v>
      </x:c>
      <x:c r="C2943" s="70" t="n">
        <x:v>46242.00421017361</x:v>
      </x:c>
      <x:c r="D2943" s="50" t="str">
        <x:v>SWING_SETUP</x:v>
      </x:c>
      <x:c r="E2943" s="50" t="str">
        <x:v>LMT SWING SETUP</x:v>
      </x:c>
      <x:c r="F2943" s="50" t="str">
        <x:v>WATCH</x:v>
      </x:c>
      <x:c r="G2943" s="50"/>
      <x:c r="H2943" s="50" t="str">
        <x:v>LONG</x:v>
      </x:c>
      <x:c r="I2943" s="71" t="n">
        <x:v>587.92</x:v>
      </x:c>
      <x:c r="J2943" s="76" t="str">
        <x:v>SIP</x:v>
      </x:c>
    </x:row>
    <x:row r="2944">
      <x:c r="A2944" s="50" t="str">
        <x:v>019fdeb0-e945-756d-9121-0294bf93fbc5</x:v>
      </x:c>
      <x:c r="B2944" s="50" t="str">
        <x:v>DE</x:v>
      </x:c>
      <x:c r="C2944" s="70" t="n">
        <x:v>46242.00421116898</x:v>
      </x:c>
      <x:c r="D2944" s="50" t="str">
        <x:v>SWING_SETUP</x:v>
      </x:c>
      <x:c r="E2944" s="50" t="str">
        <x:v>DE SWING SETUP</x:v>
      </x:c>
      <x:c r="F2944" s="50" t="str">
        <x:v>WATCH</x:v>
      </x:c>
      <x:c r="G2944" s="50"/>
      <x:c r="H2944" s="50" t="str">
        <x:v>LONG</x:v>
      </x:c>
      <x:c r="I2944" s="71" t="n">
        <x:v>620.83</x:v>
      </x:c>
      <x:c r="J2944" s="76" t="str">
        <x:v>SIP</x:v>
      </x:c>
    </x:row>
    <x:row r="2945">
      <x:c r="A2945" s="50" t="str">
        <x:v>019fdeb1-d3bd-714d-ade5-aa32a4889447</x:v>
      </x:c>
      <x:c r="B2945" s="50" t="str">
        <x:v>SE</x:v>
      </x:c>
      <x:c r="C2945" s="70" t="n">
        <x:v>46242.004905891205</x:v>
      </x:c>
      <x:c r="D2945" s="50" t="str">
        <x:v>SWING_SETUP</x:v>
      </x:c>
      <x:c r="E2945" s="50" t="str">
        <x:v>SE SWING SETUP</x:v>
      </x:c>
      <x:c r="F2945" s="50" t="str">
        <x:v>WATCH</x:v>
      </x:c>
      <x:c r="G2945" s="50"/>
      <x:c r="H2945" s="50" t="str">
        <x:v>LONG</x:v>
      </x:c>
      <x:c r="I2945" s="71" t="n">
        <x:v>113.43</x:v>
      </x:c>
      <x:c r="J2945" s="76" t="str">
        <x:v>SIP</x:v>
      </x:c>
    </x:row>
    <x:row r="2946">
      <x:c r="A2946" s="50" t="str">
        <x:v>019fdeb2-bc44-7800-a914-42acfa832ef8</x:v>
      </x:c>
      <x:c r="B2946" s="50" t="str">
        <x:v>MRK</x:v>
      </x:c>
      <x:c r="C2946" s="70" t="n">
        <x:v>46242.00559486111</x:v>
      </x:c>
      <x:c r="D2946" s="50" t="str">
        <x:v>SWING_SETUP</x:v>
      </x:c>
      <x:c r="E2946" s="50" t="str">
        <x:v>MRK SWING SETUP</x:v>
      </x:c>
      <x:c r="F2946" s="50" t="str">
        <x:v>WATCH</x:v>
      </x:c>
      <x:c r="G2946" s="50"/>
      <x:c r="H2946" s="50" t="str">
        <x:v>LONG</x:v>
      </x:c>
      <x:c r="I2946" s="71" t="n">
        <x:v>128.57</x:v>
      </x:c>
      <x:c r="J2946" s="76" t="str">
        <x:v>SIP</x:v>
      </x:c>
    </x:row>
    <x:row r="2947">
      <x:c r="A2947" s="50" t="str">
        <x:v>019fdeb2-bd67-74cd-acf0-b172ff9fd019</x:v>
      </x:c>
      <x:c r="B2947" s="50" t="str">
        <x:v>RTX</x:v>
      </x:c>
      <x:c r="C2947" s="70" t="n">
        <x:v>46242.00559822917</x:v>
      </x:c>
      <x:c r="D2947" s="50" t="str">
        <x:v>SWING_SETUP</x:v>
      </x:c>
      <x:c r="E2947" s="50" t="str">
        <x:v>RTX SWING SETUP</x:v>
      </x:c>
      <x:c r="F2947" s="50" t="str">
        <x:v>WATCH</x:v>
      </x:c>
      <x:c r="G2947" s="50"/>
      <x:c r="H2947" s="50" t="str">
        <x:v>LONG</x:v>
      </x:c>
      <x:c r="I2947" s="71" t="n">
        <x:v>223.65</x:v>
      </x:c>
      <x:c r="J2947" s="76" t="str">
        <x:v>SIP</x:v>
      </x:c>
    </x:row>
    <x:row r="2948">
      <x:c r="A2948" s="50" t="str">
        <x:v>019fdeb2-bd74-76d8-b23b-a711ca94946a</x:v>
      </x:c>
      <x:c r="B2948" s="50" t="str">
        <x:v>BLK</x:v>
      </x:c>
      <x:c r="C2948" s="70" t="n">
        <x:v>46242.00559837963</x:v>
      </x:c>
      <x:c r="D2948" s="50" t="str">
        <x:v>SWING_SETUP</x:v>
      </x:c>
      <x:c r="E2948" s="50" t="str">
        <x:v>BLK SWING SETUP</x:v>
      </x:c>
      <x:c r="F2948" s="50" t="str">
        <x:v>WATCH</x:v>
      </x:c>
      <x:c r="G2948" s="50"/>
      <x:c r="H2948" s="50" t="str">
        <x:v>LONG</x:v>
      </x:c>
      <x:c r="I2948" s="71" t="n">
        <x:v>1136.4</x:v>
      </x:c>
      <x:c r="J2948" s="76" t="str">
        <x:v>SIP</x:v>
      </x:c>
    </x:row>
    <x:row r="2949">
      <x:c r="A2949" s="50" t="str">
        <x:v>019fdeb2-bde0-7396-bf67-168ab2563bf1</x:v>
      </x:c>
      <x:c r="B2949" s="50" t="str">
        <x:v>WFC</x:v>
      </x:c>
      <x:c r="C2949" s="70" t="n">
        <x:v>46242.00559962963</x:v>
      </x:c>
      <x:c r="D2949" s="50" t="str">
        <x:v>SWING_SETUP</x:v>
      </x:c>
      <x:c r="E2949" s="50" t="str">
        <x:v>WFC SWING SETUP</x:v>
      </x:c>
      <x:c r="F2949" s="50" t="str">
        <x:v>WATCH</x:v>
      </x:c>
      <x:c r="G2949" s="50"/>
      <x:c r="H2949" s="50" t="str">
        <x:v>LONG</x:v>
      </x:c>
      <x:c r="I2949" s="71" t="n">
        <x:v>87.235</x:v>
      </x:c>
      <x:c r="J2949" s="76" t="str">
        <x:v>SIP</x:v>
      </x:c>
    </x:row>
    <x:row r="2950">
      <x:c r="A2950" s="50" t="str">
        <x:v>019fdeb2-bded-7572-b4ff-0e56b383dd5b</x:v>
      </x:c>
      <x:c r="B2950" s="50" t="str">
        <x:v>RCL</x:v>
      </x:c>
      <x:c r="C2950" s="70" t="n">
        <x:v>46242.005599780096</x:v>
      </x:c>
      <x:c r="D2950" s="50" t="str">
        <x:v>SWING_SETUP</x:v>
      </x:c>
      <x:c r="E2950" s="50" t="str">
        <x:v>RCL SWING SETUP</x:v>
      </x:c>
      <x:c r="F2950" s="50" t="str">
        <x:v>WATCH</x:v>
      </x:c>
      <x:c r="G2950" s="50"/>
      <x:c r="H2950" s="50" t="str">
        <x:v>LONG</x:v>
      </x:c>
      <x:c r="I2950" s="71" t="n">
        <x:v>320</x:v>
      </x:c>
      <x:c r="J2950" s="76" t="str">
        <x:v>SIP</x:v>
      </x:c>
    </x:row>
    <x:row r="2951">
      <x:c r="A2951" s="50" t="str">
        <x:v>019fdeb2-be59-7f98-968a-4d6b29f77043</x:v>
      </x:c>
      <x:c r="B2951" s="50" t="str">
        <x:v>BABA</x:v>
      </x:c>
      <x:c r="C2951" s="70" t="n">
        <x:v>46242.00560103009</x:v>
      </x:c>
      <x:c r="D2951" s="50" t="str">
        <x:v>SWING_SETUP</x:v>
      </x:c>
      <x:c r="E2951" s="50" t="str">
        <x:v>BABA SWING SETUP</x:v>
      </x:c>
      <x:c r="F2951" s="50" t="str">
        <x:v>WATCH</x:v>
      </x:c>
      <x:c r="G2951" s="50"/>
      <x:c r="H2951" s="50" t="str">
        <x:v>LONG</x:v>
      </x:c>
      <x:c r="I2951" s="71" t="n">
        <x:v>128.3</x:v>
      </x:c>
      <x:c r="J2951" s="76" t="str">
        <x:v>SIP</x:v>
      </x:c>
    </x:row>
    <x:row r="2952">
      <x:c r="A2952" s="50" t="str">
        <x:v>019fdeb2-be6d-797c-b9c3-bcc2182e793b</x:v>
      </x:c>
      <x:c r="B2952" s="50" t="str">
        <x:v>UEC</x:v>
      </x:c>
      <x:c r="C2952" s="70" t="n">
        <x:v>46242.005601261575</x:v>
      </x:c>
      <x:c r="D2952" s="50" t="str">
        <x:v>SWING_SETUP</x:v>
      </x:c>
      <x:c r="E2952" s="50" t="str">
        <x:v>UEC SWING SETUP</x:v>
      </x:c>
      <x:c r="F2952" s="50" t="str">
        <x:v>WATCH</x:v>
      </x:c>
      <x:c r="G2952" s="50"/>
      <x:c r="H2952" s="50" t="str">
        <x:v>LONG</x:v>
      </x:c>
      <x:c r="I2952" s="71" t="n">
        <x:v>11.2707</x:v>
      </x:c>
      <x:c r="J2952" s="76" t="str">
        <x:v>SIP</x:v>
      </x:c>
    </x:row>
    <x:row r="2953">
      <x:c r="A2953" s="50" t="str">
        <x:v>019fdeb2-be81-7f78-851e-e0b935cd9820</x:v>
      </x:c>
      <x:c r="B2953" s="50" t="str">
        <x:v>BLFS</x:v>
      </x:c>
      <x:c r="C2953" s="70" t="n">
        <x:v>46242.00560149305</x:v>
      </x:c>
      <x:c r="D2953" s="50" t="str">
        <x:v>SWING_SETUP</x:v>
      </x:c>
      <x:c r="E2953" s="50" t="str">
        <x:v>BLFS SWING SETUP</x:v>
      </x:c>
      <x:c r="F2953" s="50" t="str">
        <x:v>WATCH</x:v>
      </x:c>
      <x:c r="G2953" s="50"/>
      <x:c r="H2953" s="50" t="str">
        <x:v>LONG</x:v>
      </x:c>
      <x:c r="I2953" s="71" t="n">
        <x:v>34.645</x:v>
      </x:c>
      <x:c r="J2953" s="76" t="str">
        <x:v>SIP</x:v>
      </x:c>
    </x:row>
    <x:row r="2954">
      <x:c r="A2954" s="50" t="str">
        <x:v>019fdeb2-bf47-7227-a083-c3315993273b</x:v>
      </x:c>
      <x:c r="B2954" s="50" t="str">
        <x:v>SHW</x:v>
      </x:c>
      <x:c r="C2954" s="70" t="n">
        <x:v>46242.005603784724</x:v>
      </x:c>
      <x:c r="D2954" s="50" t="str">
        <x:v>SWING_SETUP</x:v>
      </x:c>
      <x:c r="E2954" s="50" t="str">
        <x:v>SHW SWING SETUP</x:v>
      </x:c>
      <x:c r="F2954" s="50" t="str">
        <x:v>WATCH</x:v>
      </x:c>
      <x:c r="G2954" s="50"/>
      <x:c r="H2954" s="50" t="str">
        <x:v>LONG</x:v>
      </x:c>
      <x:c r="I2954" s="71" t="n">
        <x:v>369.73</x:v>
      </x:c>
      <x:c r="J2954" s="76" t="str">
        <x:v>SIP</x:v>
      </x:c>
    </x:row>
    <x:row r="2955">
      <x:c r="A2955" s="50" t="str">
        <x:v>019fdeb2-bf77-7f89-b229-de6a9b031987</x:v>
      </x:c>
      <x:c r="B2955" s="50" t="str">
        <x:v>NUE</x:v>
      </x:c>
      <x:c r="C2955" s="70" t="n">
        <x:v>46242.00560434028</x:v>
      </x:c>
      <x:c r="D2955" s="50" t="str">
        <x:v>SWING_SETUP</x:v>
      </x:c>
      <x:c r="E2955" s="50" t="str">
        <x:v>NUE SWING SETUP</x:v>
      </x:c>
      <x:c r="F2955" s="50" t="str">
        <x:v>WATCH</x:v>
      </x:c>
      <x:c r="G2955" s="50"/>
      <x:c r="H2955" s="50" t="str">
        <x:v>LONG</x:v>
      </x:c>
      <x:c r="I2955" s="71" t="n">
        <x:v>272.57</x:v>
      </x:c>
      <x:c r="J2955" s="76" t="str">
        <x:v>SIP</x:v>
      </x:c>
    </x:row>
    <x:row r="2956">
      <x:c r="A2956" s="50" t="str">
        <x:v>019fdeb3-a718-7488-b10e-258e057d5049</x:v>
      </x:c>
      <x:c r="B2956" s="50" t="str">
        <x:v>PM</x:v>
      </x:c>
      <x:c r="C2956" s="70" t="n">
        <x:v>46242.00629064815</x:v>
      </x:c>
      <x:c r="D2956" s="50" t="str">
        <x:v>SWING_SETUP</x:v>
      </x:c>
      <x:c r="E2956" s="50" t="str">
        <x:v>PM SWING SETUP</x:v>
      </x:c>
      <x:c r="F2956" s="50" t="str">
        <x:v>WATCH</x:v>
      </x:c>
      <x:c r="G2956" s="50"/>
      <x:c r="H2956" s="50" t="str">
        <x:v>LONG</x:v>
      </x:c>
      <x:c r="I2956" s="71" t="n">
        <x:v>189.57</x:v>
      </x:c>
      <x:c r="J2956" s="76" t="str">
        <x:v>SIP</x:v>
      </x:c>
    </x:row>
    <x:row r="2957">
      <x:c r="A2957" s="50" t="str">
        <x:v>019fdeb3-a73d-7c76-9a13-d00b5a00a36c</x:v>
      </x:c>
      <x:c r="B2957" s="50" t="str">
        <x:v>ABT</x:v>
      </x:c>
      <x:c r="C2957" s="70" t="n">
        <x:v>46242.00629107639</x:v>
      </x:c>
      <x:c r="D2957" s="50" t="str">
        <x:v>SWING_SETUP</x:v>
      </x:c>
      <x:c r="E2957" s="50" t="str">
        <x:v>ABT SWING SETUP</x:v>
      </x:c>
      <x:c r="F2957" s="50" t="str">
        <x:v>WATCH</x:v>
      </x:c>
      <x:c r="G2957" s="50"/>
      <x:c r="H2957" s="50" t="str">
        <x:v>LONG</x:v>
      </x:c>
      <x:c r="I2957" s="71" t="n">
        <x:v>107.81</x:v>
      </x:c>
      <x:c r="J2957" s="76" t="str">
        <x:v>SIP</x:v>
      </x:c>
    </x:row>
    <x:row r="2958">
      <x:c r="A2958" s="50" t="str">
        <x:v>019fdeb4-9305-7bb9-888f-d2395076c2ac</x:v>
      </x:c>
      <x:c r="B2958" s="50" t="str">
        <x:v>TMO</x:v>
      </x:c>
      <x:c r="C2958" s="70" t="n">
        <x:v>46242.0069896875</x:v>
      </x:c>
      <x:c r="D2958" s="50" t="str">
        <x:v>SWING_SETUP</x:v>
      </x:c>
      <x:c r="E2958" s="50" t="str">
        <x:v>TMO SWING SETUP</x:v>
      </x:c>
      <x:c r="F2958" s="50" t="str">
        <x:v>WATCH</x:v>
      </x:c>
      <x:c r="G2958" s="50"/>
      <x:c r="H2958" s="50" t="str">
        <x:v>LONG</x:v>
      </x:c>
      <x:c r="I2958" s="71" t="n">
        <x:v>594</x:v>
      </x:c>
      <x:c r="J2958" s="76" t="str">
        <x:v>SIP</x:v>
      </x:c>
    </x:row>
    <x:row r="2959">
      <x:c r="A2959" s="50" t="str">
        <x:v>019fdeb4-9379-7743-920a-17a1052cd49b</x:v>
      </x:c>
      <x:c r="B2959" s="50" t="str">
        <x:v>PFE</x:v>
      </x:c>
      <x:c r="C2959" s="70" t="n">
        <x:v>46242.006991030095</x:v>
      </x:c>
      <x:c r="D2959" s="50" t="str">
        <x:v>SWING_SETUP</x:v>
      </x:c>
      <x:c r="E2959" s="50" t="str">
        <x:v>PFE SWING SETUP</x:v>
      </x:c>
      <x:c r="F2959" s="50" t="str">
        <x:v>WATCH</x:v>
      </x:c>
      <x:c r="G2959" s="50"/>
      <x:c r="H2959" s="50" t="str">
        <x:v>LONG</x:v>
      </x:c>
      <x:c r="I2959" s="71" t="n">
        <x:v>26.6231</x:v>
      </x:c>
      <x:c r="J2959" s="76" t="str">
        <x:v>SIP</x:v>
      </x:c>
    </x:row>
    <x:row r="2960">
      <x:c r="A2960" s="50" t="str">
        <x:v>019fdeb4-945f-7735-a8b2-ff987172dd41</x:v>
      </x:c>
      <x:c r="B2960" s="50" t="str">
        <x:v>CROX</x:v>
      </x:c>
      <x:c r="C2960" s="70" t="n">
        <x:v>46242.00699368055</x:v>
      </x:c>
      <x:c r="D2960" s="50" t="str">
        <x:v>SWING_SETUP</x:v>
      </x:c>
      <x:c r="E2960" s="50" t="str">
        <x:v>CROX SWING SETUP</x:v>
      </x:c>
      <x:c r="F2960" s="50" t="str">
        <x:v>WATCH</x:v>
      </x:c>
      <x:c r="G2960" s="50"/>
      <x:c r="H2960" s="50" t="str">
        <x:v>LONG</x:v>
      </x:c>
      <x:c r="I2960" s="71" t="n">
        <x:v>136.56</x:v>
      </x:c>
      <x:c r="J2960" s="76" t="str">
        <x:v>SIP</x:v>
      </x:c>
    </x:row>
    <x:row r="2961">
      <x:c r="A2961" s="50" t="str">
        <x:v>019fdeb4-956f-73e3-b66a-73e62be9f8bd</x:v>
      </x:c>
      <x:c r="B2961" s="50" t="str">
        <x:v>DLR</x:v>
      </x:c>
      <x:c r="C2961" s="70" t="n">
        <x:v>46242.006996840275</x:v>
      </x:c>
      <x:c r="D2961" s="50" t="str">
        <x:v>SWING_SETUP</x:v>
      </x:c>
      <x:c r="E2961" s="50" t="str">
        <x:v>DLR SWING SETUP</x:v>
      </x:c>
      <x:c r="F2961" s="50" t="str">
        <x:v>WATCH</x:v>
      </x:c>
      <x:c r="G2961" s="50"/>
      <x:c r="H2961" s="50" t="str">
        <x:v>LONG</x:v>
      </x:c>
      <x:c r="I2961" s="71" t="n">
        <x:v>193.8</x:v>
      </x:c>
      <x:c r="J2961" s="76" t="str">
        <x:v>SIP</x:v>
      </x:c>
    </x:row>
    <x:row r="2962">
      <x:c r="A2962" s="50" t="str">
        <x:v>019fdeb5-7b6d-7247-8b90-c08e5cd59251</x:v>
      </x:c>
      <x:c r="B2962" s="50" t="str">
        <x:v>VZ</x:v>
      </x:c>
      <x:c r="C2962" s="70" t="n">
        <x:v>46242.007678298614</x:v>
      </x:c>
      <x:c r="D2962" s="50" t="str">
        <x:v>SWING_SETUP</x:v>
      </x:c>
      <x:c r="E2962" s="50" t="str">
        <x:v>VZ SWING SETUP</x:v>
      </x:c>
      <x:c r="F2962" s="50" t="str">
        <x:v>WATCH</x:v>
      </x:c>
      <x:c r="G2962" s="50"/>
      <x:c r="H2962" s="50" t="str">
        <x:v>LONG</x:v>
      </x:c>
      <x:c r="I2962" s="71" t="n">
        <x:v>47.01</x:v>
      </x:c>
      <x:c r="J2962" s="76" t="str">
        <x:v>SIP</x:v>
      </x:c>
    </x:row>
    <x:row r="2963">
      <x:c r="A2963" s="50" t="str">
        <x:v>019fdeb5-7c49-7978-92c4-bb66752a448e</x:v>
      </x:c>
      <x:c r="B2963" s="50" t="str">
        <x:v>NXE</x:v>
      </x:c>
      <x:c r="C2963" s="70" t="n">
        <x:v>46242.00768084491</x:v>
      </x:c>
      <x:c r="D2963" s="50" t="str">
        <x:v>SWING_SETUP</x:v>
      </x:c>
      <x:c r="E2963" s="50" t="str">
        <x:v>NXE SWING SETUP</x:v>
      </x:c>
      <x:c r="F2963" s="50" t="str">
        <x:v>WATCH</x:v>
      </x:c>
      <x:c r="G2963" s="50"/>
      <x:c r="H2963" s="50" t="str">
        <x:v>LONG</x:v>
      </x:c>
      <x:c r="I2963" s="71" t="n">
        <x:v>10.49</x:v>
      </x:c>
      <x:c r="J2963" s="76" t="str">
        <x:v>SIP</x:v>
      </x:c>
    </x:row>
    <x:row r="2964">
      <x:c r="A2964" s="50" t="str">
        <x:v>019fdeb6-6748-7b54-98ab-115da4844a0c</x:v>
      </x:c>
      <x:c r="B2964" s="50" t="str">
        <x:v>AMGN</x:v>
      </x:c>
      <x:c r="C2964" s="70" t="n">
        <x:v>46242.00837711806</x:v>
      </x:c>
      <x:c r="D2964" s="50" t="str">
        <x:v>SWING_SETUP</x:v>
      </x:c>
      <x:c r="E2964" s="50" t="str">
        <x:v>AMGN SWING SETUP</x:v>
      </x:c>
      <x:c r="F2964" s="50" t="str">
        <x:v>WATCH</x:v>
      </x:c>
      <x:c r="G2964" s="50"/>
      <x:c r="H2964" s="50" t="str">
        <x:v>LONG</x:v>
      </x:c>
      <x:c r="I2964" s="71" t="n">
        <x:v>410.35</x:v>
      </x:c>
      <x:c r="J2964" s="76" t="str">
        <x:v>SIP</x:v>
      </x:c>
    </x:row>
    <x:row r="2965">
      <x:c r="A2965" s="50" t="str">
        <x:v>019fdeb7-518b-70b7-81ee-90d32614f762</x:v>
      </x:c>
      <x:c r="B2965" s="50" t="str">
        <x:v>JPM</x:v>
      </x:c>
      <x:c r="C2965" s="70" t="n">
        <x:v>46242.009071238426</x:v>
      </x:c>
      <x:c r="D2965" s="50" t="str">
        <x:v>SWING_SETUP</x:v>
      </x:c>
      <x:c r="E2965" s="50" t="str">
        <x:v>JPM SWING SETUP</x:v>
      </x:c>
      <x:c r="F2965" s="50" t="str">
        <x:v>WATCH</x:v>
      </x:c>
      <x:c r="G2965" s="50"/>
      <x:c r="H2965" s="50" t="str">
        <x:v>LONG</x:v>
      </x:c>
      <x:c r="I2965" s="71" t="n">
        <x:v>357.4511</x:v>
      </x:c>
      <x:c r="J2965" s="76" t="str">
        <x:v>SIP</x:v>
      </x:c>
    </x:row>
    <x:row r="2966">
      <x:c r="A2966" s="50" t="str">
        <x:v>019fdeb9-2532-7e51-b30b-1b51185b565e</x:v>
      </x:c>
      <x:c r="B2966" s="50" t="str">
        <x:v>PYPL</x:v>
      </x:c>
      <x:c r="C2966" s="70" t="n">
        <x:v>46242.010456875</x:v>
      </x:c>
      <x:c r="D2966" s="50" t="str">
        <x:v>SWING_SETUP</x:v>
      </x:c>
      <x:c r="E2966" s="50" t="str">
        <x:v>PYPL SWING SETUP</x:v>
      </x:c>
      <x:c r="F2966" s="50" t="str">
        <x:v>WATCH</x:v>
      </x:c>
      <x:c r="G2966" s="50"/>
      <x:c r="H2966" s="50" t="str">
        <x:v>LONG</x:v>
      </x:c>
      <x:c r="I2966" s="71" t="n">
        <x:v>59.095</x:v>
      </x:c>
      <x:c r="J2966" s="76" t="str">
        <x:v>SIP</x:v>
      </x:c>
    </x:row>
    <x:row r="2967">
      <x:c r="A2967" s="50" t="str">
        <x:v>019fdeb9-2631-7531-9e77-ee28dc093a01</x:v>
      </x:c>
      <x:c r="B2967" s="50" t="str">
        <x:v>BMY</x:v>
      </x:c>
      <x:c r="C2967" s="70" t="n">
        <x:v>46242.010459826386</x:v>
      </x:c>
      <x:c r="D2967" s="50" t="str">
        <x:v>SWING_SETUP</x:v>
      </x:c>
      <x:c r="E2967" s="50" t="str">
        <x:v>BMY SWING SETUP</x:v>
      </x:c>
      <x:c r="F2967" s="50" t="str">
        <x:v>WATCH</x:v>
      </x:c>
      <x:c r="G2967" s="50"/>
      <x:c r="H2967" s="50" t="str">
        <x:v>LONG</x:v>
      </x:c>
      <x:c r="I2967" s="71" t="n">
        <x:v>64.69</x:v>
      </x:c>
      <x:c r="J2967" s="76" t="str">
        <x:v>SIP</x:v>
      </x:c>
    </x:row>
    <x:row r="2968">
      <x:c r="A2968" s="50" t="str">
        <x:v>019fdeba-0ef9-7332-ac22-e6eac128cd07</x:v>
      </x:c>
      <x:c r="B2968" s="50" t="str">
        <x:v>ANET</x:v>
      </x:c>
      <x:c r="C2968" s="70" t="n">
        <x:v>46242.01114954861</x:v>
      </x:c>
      <x:c r="D2968" s="50" t="str">
        <x:v>SWING_SETUP</x:v>
      </x:c>
      <x:c r="E2968" s="50" t="str">
        <x:v>ANET SWING SETUP</x:v>
      </x:c>
      <x:c r="F2968" s="50" t="str">
        <x:v>WATCH</x:v>
      </x:c>
      <x:c r="G2968" s="50"/>
      <x:c r="H2968" s="50" t="str">
        <x:v>LONG</x:v>
      </x:c>
      <x:c r="I2968" s="71" t="n">
        <x:v>189.14</x:v>
      </x:c>
      <x:c r="J2968" s="76" t="str">
        <x:v>SIP</x:v>
      </x:c>
    </x:row>
    <x:row r="2969">
      <x:c r="A2969" s="50" t="str">
        <x:v>019fdeba-0f7f-70e6-83da-44a546a9705e</x:v>
      </x:c>
      <x:c r="B2969" s="50" t="str">
        <x:v>UNP</x:v>
      </x:c>
      <x:c r="C2969" s="70" t="n">
        <x:v>46242.011151099534</x:v>
      </x:c>
      <x:c r="D2969" s="50" t="str">
        <x:v>SWING_SETUP</x:v>
      </x:c>
      <x:c r="E2969" s="50" t="str">
        <x:v>UNP SWING SETUP</x:v>
      </x:c>
      <x:c r="F2969" s="50" t="str">
        <x:v>WATCH</x:v>
      </x:c>
      <x:c r="G2969" s="50"/>
      <x:c r="H2969" s="50" t="str">
        <x:v>LONG</x:v>
      </x:c>
      <x:c r="I2969" s="71" t="n">
        <x:v>293.13</x:v>
      </x:c>
      <x:c r="J2969" s="76" t="str">
        <x:v>SIP</x:v>
      </x:c>
    </x:row>
    <x:row r="2970">
      <x:c r="A2970" s="50" t="str">
        <x:v>019fdeba-0fa3-7036-9f00-8bc5c097580c</x:v>
      </x:c>
      <x:c r="B2970" s="50" t="str">
        <x:v>COP</x:v>
      </x:c>
      <x:c r="C2970" s="70" t="n">
        <x:v>46242.011151516206</x:v>
      </x:c>
      <x:c r="D2970" s="50" t="str">
        <x:v>SWING_SETUP</x:v>
      </x:c>
      <x:c r="E2970" s="50" t="str">
        <x:v>COP SWING SETUP</x:v>
      </x:c>
      <x:c r="F2970" s="50" t="str">
        <x:v>WATCH</x:v>
      </x:c>
      <x:c r="G2970" s="50"/>
      <x:c r="H2970" s="50" t="str">
        <x:v>LONG</x:v>
      </x:c>
      <x:c r="I2970" s="71" t="n">
        <x:v>117.6</x:v>
      </x:c>
      <x:c r="J2970" s="76" t="str">
        <x:v>SIP</x:v>
      </x:c>
    </x:row>
    <x:row r="2971">
      <x:c r="A2971" s="50" t="str">
        <x:v>019fdeba-108a-7905-ae41-a81b1d87afd2</x:v>
      </x:c>
      <x:c r="B2971" s="50" t="str">
        <x:v>ETHA</x:v>
      </x:c>
      <x:c r="C2971" s="70" t="n">
        <x:v>46242.011154189815</x:v>
      </x:c>
      <x:c r="D2971" s="50" t="str">
        <x:v>SWING_SETUP</x:v>
      </x:c>
      <x:c r="E2971" s="50" t="str">
        <x:v>ETHA SWING SETUP</x:v>
      </x:c>
      <x:c r="F2971" s="50" t="str">
        <x:v>WATCH</x:v>
      </x:c>
      <x:c r="G2971" s="50"/>
      <x:c r="H2971" s="50" t="str">
        <x:v>LONG</x:v>
      </x:c>
      <x:c r="I2971" s="71" t="n">
        <x:v>14.4947</x:v>
      </x:c>
      <x:c r="J2971" s="76" t="str">
        <x:v>SIP</x:v>
      </x:c>
    </x:row>
    <x:row r="2972">
      <x:c r="A2972" s="50" t="str">
        <x:v>019fdeba-1130-7d0a-b001-903da7f6d677</x:v>
      </x:c>
      <x:c r="B2972" s="50" t="str">
        <x:v>CEG</x:v>
      </x:c>
      <x:c r="C2972" s="70" t="n">
        <x:v>46242.01115611111</x:v>
      </x:c>
      <x:c r="D2972" s="50" t="str">
        <x:v>SWING_SETUP</x:v>
      </x:c>
      <x:c r="E2972" s="50" t="str">
        <x:v>CEG SWING SETUP</x:v>
      </x:c>
      <x:c r="F2972" s="50" t="str">
        <x:v>WATCH</x:v>
      </x:c>
      <x:c r="G2972" s="50"/>
      <x:c r="H2972" s="50" t="str">
        <x:v>LONG</x:v>
      </x:c>
      <x:c r="I2972" s="71" t="n">
        <x:v>269.9</x:v>
      </x:c>
      <x:c r="J2972" s="76" t="str">
        <x:v>SIP</x:v>
      </x:c>
    </x:row>
    <x:row r="2973">
      <x:c r="A2973" s="50" t="str">
        <x:v>019fdeba-1192-7a8d-9a6a-f0e9d38fa79e</x:v>
      </x:c>
      <x:c r="B2973" s="50" t="str">
        <x:v>NOC</x:v>
      </x:c>
      <x:c r="C2973" s="70" t="n">
        <x:v>46242.01115724537</x:v>
      </x:c>
      <x:c r="D2973" s="50" t="str">
        <x:v>SWING_SETUP</x:v>
      </x:c>
      <x:c r="E2973" s="50" t="str">
        <x:v>NOC SWING SETUP</x:v>
      </x:c>
      <x:c r="F2973" s="50" t="str">
        <x:v>WATCH</x:v>
      </x:c>
      <x:c r="G2973" s="50"/>
      <x:c r="H2973" s="50" t="str">
        <x:v>LONG</x:v>
      </x:c>
      <x:c r="I2973" s="71" t="n">
        <x:v>571.58</x:v>
      </x:c>
      <x:c r="J2973" s="76" t="str">
        <x:v>SIP</x:v>
      </x:c>
    </x:row>
    <x:row r="2974">
      <x:c r="A2974" s="50" t="str">
        <x:v>019fdeba-11fe-79bb-bb60-5d21cd6a776c</x:v>
      </x:c>
      <x:c r="B2974" s="50" t="str">
        <x:v>APA</x:v>
      </x:c>
      <x:c r="C2974" s="70" t="n">
        <x:v>46242.01115849537</x:v>
      </x:c>
      <x:c r="D2974" s="50" t="str">
        <x:v>SWING_SETUP</x:v>
      </x:c>
      <x:c r="E2974" s="50" t="str">
        <x:v>APA SWING SETUP</x:v>
      </x:c>
      <x:c r="F2974" s="50" t="str">
        <x:v>WATCH</x:v>
      </x:c>
      <x:c r="G2974" s="50"/>
      <x:c r="H2974" s="50" t="str">
        <x:v>LONG</x:v>
      </x:c>
      <x:c r="I2974" s="71" t="n">
        <x:v>37.648</x:v>
      </x:c>
      <x:c r="J2974" s="76" t="str">
        <x:v>SIP</x:v>
      </x:c>
    </x:row>
    <x:row r="2975">
      <x:c r="A2975" s="50" t="str">
        <x:v>019fdeba-1207-79b1-83c5-045fa0849837</x:v>
      </x:c>
      <x:c r="B2975" s="50" t="str">
        <x:v>WELL</x:v>
      </x:c>
      <x:c r="C2975" s="70" t="n">
        <x:v>46242.011158587964</x:v>
      </x:c>
      <x:c r="D2975" s="50" t="str">
        <x:v>SWING_SETUP</x:v>
      </x:c>
      <x:c r="E2975" s="50" t="str">
        <x:v>WELL SWING SETUP</x:v>
      </x:c>
      <x:c r="F2975" s="50" t="str">
        <x:v>WATCH</x:v>
      </x:c>
      <x:c r="G2975" s="50"/>
      <x:c r="H2975" s="50" t="str">
        <x:v>LONG</x:v>
      </x:c>
      <x:c r="I2975" s="71" t="n">
        <x:v>236.92</x:v>
      </x:c>
      <x:c r="J2975" s="76" t="str">
        <x:v>SIP</x:v>
      </x:c>
    </x:row>
    <x:row r="2976">
      <x:c r="A2976" s="50" t="str">
        <x:v>019fdeba-1267-7f6c-bb5a-1352ea6b1d1c</x:v>
      </x:c>
      <x:c r="B2976" s="50" t="str">
        <x:v>INTU</x:v>
      </x:c>
      <x:c r="C2976" s="70" t="n">
        <x:v>46242.01115971065</x:v>
      </x:c>
      <x:c r="D2976" s="50" t="str">
        <x:v>SWING_SETUP</x:v>
      </x:c>
      <x:c r="E2976" s="50" t="str">
        <x:v>INTU SWING SETUP</x:v>
      </x:c>
      <x:c r="F2976" s="50" t="str">
        <x:v>WATCH</x:v>
      </x:c>
      <x:c r="G2976" s="50"/>
      <x:c r="H2976" s="50" t="str">
        <x:v>LONG</x:v>
      </x:c>
      <x:c r="I2976" s="71" t="n">
        <x:v>325.25</x:v>
      </x:c>
      <x:c r="J2976" s="76" t="str">
        <x:v>SIP</x:v>
      </x:c>
    </x:row>
    <x:row r="2977">
      <x:c r="A2977" s="50" t="str">
        <x:v>019fdebb-e4f3-7bc3-8afe-68ce8dc90a13</x:v>
      </x:c>
      <x:c r="B2977" s="50" t="str">
        <x:v>NVDA</x:v>
      </x:c>
      <x:c r="C2977" s="70" t="n">
        <x:v>46242.01254206018</x:v>
      </x:c>
      <x:c r="D2977" s="50" t="str">
        <x:v>SWING_SETUP</x:v>
      </x:c>
      <x:c r="E2977" s="50" t="str">
        <x:v>NVDA SWING SETUP</x:v>
      </x:c>
      <x:c r="F2977" s="50" t="str">
        <x:v>WATCH</x:v>
      </x:c>
      <x:c r="G2977" s="50"/>
      <x:c r="H2977" s="50" t="str">
        <x:v>LONG</x:v>
      </x:c>
      <x:c r="I2977" s="71" t="n">
        <x:v>223.65</x:v>
      </x:c>
      <x:c r="J2977" s="76" t="str">
        <x:v>SIP</x:v>
      </x:c>
    </x:row>
    <x:row r="2978">
      <x:c r="A2978" s="50" t="str">
        <x:v>019fdebb-e56f-7aba-86c2-61bff18d1180</x:v>
      </x:c>
      <x:c r="B2978" s="50" t="str">
        <x:v>OXY</x:v>
      </x:c>
      <x:c r="C2978" s="70" t="n">
        <x:v>46242.01254349537</x:v>
      </x:c>
      <x:c r="D2978" s="50" t="str">
        <x:v>SWING_SETUP</x:v>
      </x:c>
      <x:c r="E2978" s="50" t="str">
        <x:v>OXY SWING SETUP</x:v>
      </x:c>
      <x:c r="F2978" s="50" t="str">
        <x:v>WATCH</x:v>
      </x:c>
      <x:c r="G2978" s="50"/>
      <x:c r="H2978" s="50" t="str">
        <x:v>LONG</x:v>
      </x:c>
      <x:c r="I2978" s="71" t="n">
        <x:v>56.03</x:v>
      </x:c>
      <x:c r="J2978" s="76" t="str">
        <x:v>SIP</x:v>
      </x:c>
    </x:row>
    <x:row r="2979">
      <x:c r="A2979" s="50" t="str">
        <x:v>019fdebb-e59d-70a1-9c52-116022875dfe</x:v>
      </x:c>
      <x:c r="B2979" s="50" t="str">
        <x:v>SBUX</x:v>
      </x:c>
      <x:c r="C2979" s="70" t="n">
        <x:v>46242.01254403935</x:v>
      </x:c>
      <x:c r="D2979" s="50" t="str">
        <x:v>SWING_SETUP</x:v>
      </x:c>
      <x:c r="E2979" s="50" t="str">
        <x:v>SBUX SWING SETUP</x:v>
      </x:c>
      <x:c r="F2979" s="50" t="str">
        <x:v>WATCH</x:v>
      </x:c>
      <x:c r="G2979" s="50"/>
      <x:c r="H2979" s="50" t="str">
        <x:v>LONG</x:v>
      </x:c>
      <x:c r="I2979" s="71" t="n">
        <x:v>105.58</x:v>
      </x:c>
      <x:c r="J2979" s="76" t="str">
        <x:v>SIP</x:v>
      </x:c>
    </x:row>
    <x:row r="2980">
      <x:c r="A2980" s="50" t="str">
        <x:v>019fdebc-ce15-7bba-a3d4-07734579d3e6</x:v>
      </x:c>
      <x:c r="B2980" s="50" t="str">
        <x:v>PLTR</x:v>
      </x:c>
      <x:c r="C2980" s="70" t="n">
        <x:v>46242.01323283565</x:v>
      </x:c>
      <x:c r="D2980" s="50" t="str">
        <x:v>SWING_SETUP</x:v>
      </x:c>
      <x:c r="E2980" s="50" t="str">
        <x:v>PLTR SWING SETUP</x:v>
      </x:c>
      <x:c r="F2980" s="50" t="str">
        <x:v>WATCH</x:v>
      </x:c>
      <x:c r="G2980" s="50"/>
      <x:c r="H2980" s="50" t="str">
        <x:v>LONG</x:v>
      </x:c>
      <x:c r="I2980" s="71" t="n">
        <x:v>171.58</x:v>
      </x:c>
      <x:c r="J2980" s="76" t="str">
        <x:v>SIP</x:v>
      </x:c>
    </x:row>
    <x:row r="2981">
      <x:c r="A2981" s="50" t="str">
        <x:v>019fdebc-ce76-773d-a758-78adc157de77</x:v>
      </x:c>
      <x:c r="B2981" s="50" t="str">
        <x:v>RDW</x:v>
      </x:c>
      <x:c r="C2981" s="70" t="n">
        <x:v>46242.013233958336</x:v>
      </x:c>
      <x:c r="D2981" s="50" t="str">
        <x:v>SWING_SETUP</x:v>
      </x:c>
      <x:c r="E2981" s="50" t="str">
        <x:v>RDW SWING SETUP</x:v>
      </x:c>
      <x:c r="F2981" s="50" t="str">
        <x:v>WATCH</x:v>
      </x:c>
      <x:c r="G2981" s="50"/>
      <x:c r="H2981" s="50" t="str">
        <x:v>LONG</x:v>
      </x:c>
      <x:c r="I2981" s="71" t="n">
        <x:v>13.56</x:v>
      </x:c>
      <x:c r="J2981" s="76" t="str">
        <x:v>SIP</x:v>
      </x:c>
    </x:row>
    <x:row r="2982">
      <x:c r="A2982" s="50" t="str">
        <x:v>019fdebc-cee3-7b86-ab35-c1281dcb2ca9</x:v>
      </x:c>
      <x:c r="B2982" s="50" t="str">
        <x:v>KO</x:v>
      </x:c>
      <x:c r="C2982" s="70" t="n">
        <x:v>46242.01323521991</x:v>
      </x:c>
      <x:c r="D2982" s="50" t="str">
        <x:v>SWING_SETUP</x:v>
      </x:c>
      <x:c r="E2982" s="50" t="str">
        <x:v>KO SWING SETUP</x:v>
      </x:c>
      <x:c r="F2982" s="50" t="str">
        <x:v>WATCH</x:v>
      </x:c>
      <x:c r="G2982" s="50"/>
      <x:c r="H2982" s="50" t="str">
        <x:v>LONG</x:v>
      </x:c>
      <x:c r="I2982" s="71" t="n">
        <x:v>87.09</x:v>
      </x:c>
      <x:c r="J2982" s="76" t="str">
        <x:v>SIP</x:v>
      </x:c>
    </x:row>
    <x:row r="2983">
      <x:c r="A2983" s="50" t="str">
        <x:v>019fdebc-cfbb-7554-8820-9278afc81e3b</x:v>
      </x:c>
      <x:c r="B2983" s="50" t="str">
        <x:v>ABNB</x:v>
      </x:c>
      <x:c r="C2983" s="70" t="n">
        <x:v>46242.013237719904</x:v>
      </x:c>
      <x:c r="D2983" s="50" t="str">
        <x:v>SWING_SETUP</x:v>
      </x:c>
      <x:c r="E2983" s="50" t="str">
        <x:v>ABNB SWING SETUP</x:v>
      </x:c>
      <x:c r="F2983" s="50" t="str">
        <x:v>WATCH</x:v>
      </x:c>
      <x:c r="G2983" s="50"/>
      <x:c r="H2983" s="50" t="str">
        <x:v>LONG</x:v>
      </x:c>
      <x:c r="I2983" s="71" t="n">
        <x:v>177.9101</x:v>
      </x:c>
      <x:c r="J2983" s="76" t="str">
        <x:v>SIP</x:v>
      </x:c>
    </x:row>
    <x:row r="2984">
      <x:c r="A2984" s="50" t="str">
        <x:v>019fdebc-cfe4-7559-8164-2848953a79dc</x:v>
      </x:c>
      <x:c r="B2984" s="50" t="str">
        <x:v>PSX</x:v>
      </x:c>
      <x:c r="C2984" s="70" t="n">
        <x:v>46242.01323819444</x:v>
      </x:c>
      <x:c r="D2984" s="50" t="str">
        <x:v>SWING_SETUP</x:v>
      </x:c>
      <x:c r="E2984" s="50" t="str">
        <x:v>PSX SWING SETUP</x:v>
      </x:c>
      <x:c r="F2984" s="50" t="str">
        <x:v>WATCH</x:v>
      </x:c>
      <x:c r="G2984" s="50"/>
      <x:c r="H2984" s="50" t="str">
        <x:v>LONG</x:v>
      </x:c>
      <x:c r="I2984" s="71" t="n">
        <x:v>203.91</x:v>
      </x:c>
      <x:c r="J2984" s="76" t="str">
        <x:v>SIP</x:v>
      </x:c>
    </x:row>
    <x:row r="2985">
      <x:c r="A2985" s="50" t="str">
        <x:v>019fdebc-cfea-71bd-8038-63faa8c5e823</x:v>
      </x:c>
      <x:c r="B2985" s="50" t="str">
        <x:v>ETN</x:v>
      </x:c>
      <x:c r="C2985" s="70" t="n">
        <x:v>46242.01323826389</x:v>
      </x:c>
      <x:c r="D2985" s="50" t="str">
        <x:v>SWING_SETUP</x:v>
      </x:c>
      <x:c r="E2985" s="50" t="str">
        <x:v>ETN SWING SETUP</x:v>
      </x:c>
      <x:c r="F2985" s="50" t="str">
        <x:v>WATCH</x:v>
      </x:c>
      <x:c r="G2985" s="50"/>
      <x:c r="H2985" s="50" t="str">
        <x:v>LONG</x:v>
      </x:c>
      <x:c r="I2985" s="71" t="n">
        <x:v>448.67</x:v>
      </x:c>
      <x:c r="J2985" s="76" t="str">
        <x:v>SIP</x:v>
      </x:c>
    </x:row>
    <x:row r="2986">
      <x:c r="A2986" s="50" t="str">
        <x:v>019fdebe-a3bc-725d-ad5f-37989b2b0ad5</x:v>
      </x:c>
      <x:c r="B2986" s="50" t="str">
        <x:v>APH</x:v>
      </x:c>
      <x:c r="C2986" s="70" t="n">
        <x:v>46242.01462439815</x:v>
      </x:c>
      <x:c r="D2986" s="50" t="str">
        <x:v>SWING_SETUP</x:v>
      </x:c>
      <x:c r="E2986" s="50" t="str">
        <x:v>APH SWING SETUP</x:v>
      </x:c>
      <x:c r="F2986" s="50" t="str">
        <x:v>WATCH</x:v>
      </x:c>
      <x:c r="G2986" s="50"/>
      <x:c r="H2986" s="50" t="str">
        <x:v>LONG</x:v>
      </x:c>
      <x:c r="I2986" s="71" t="n">
        <x:v>169.18</x:v>
      </x:c>
      <x:c r="J2986" s="76" t="str">
        <x:v>SIP</x:v>
      </x:c>
    </x:row>
    <x:row r="2987">
      <x:c r="A2987" s="50" t="str">
        <x:v>019fdebe-a3df-7c4e-8394-977d5aa0bc4e</x:v>
      </x:c>
      <x:c r="B2987" s="50" t="str">
        <x:v>ACHV</x:v>
      </x:c>
      <x:c r="C2987" s="70" t="n">
        <x:v>46242.01462480324</x:v>
      </x:c>
      <x:c r="D2987" s="50" t="str">
        <x:v>SWING_SETUP</x:v>
      </x:c>
      <x:c r="E2987" s="50" t="str">
        <x:v>ACHV SWING SETUP</x:v>
      </x:c>
      <x:c r="F2987" s="50" t="str">
        <x:v>WATCH</x:v>
      </x:c>
      <x:c r="G2987" s="50"/>
      <x:c r="H2987" s="50" t="str">
        <x:v>LONG</x:v>
      </x:c>
      <x:c r="I2987" s="71" t="n">
        <x:v>6.65</x:v>
      </x:c>
      <x:c r="J2987" s="76" t="str">
        <x:v>SIP</x:v>
      </x:c>
    </x:row>
    <x:row r="2988">
      <x:c r="A2988" s="50" t="str">
        <x:v>019fdebe-a3f4-7310-b80d-35cf84f9e29f</x:v>
      </x:c>
      <x:c r="B2988" s="50" t="str">
        <x:v>MMM</x:v>
      </x:c>
      <x:c r="C2988" s="70" t="n">
        <x:v>46242.01462504629</x:v>
      </x:c>
      <x:c r="D2988" s="50" t="str">
        <x:v>SWING_SETUP</x:v>
      </x:c>
      <x:c r="E2988" s="50" t="str">
        <x:v>MMM SWING SETUP</x:v>
      </x:c>
      <x:c r="F2988" s="50" t="str">
        <x:v>WATCH</x:v>
      </x:c>
      <x:c r="G2988" s="50"/>
      <x:c r="H2988" s="50" t="str">
        <x:v>LONG</x:v>
      </x:c>
      <x:c r="I2988" s="71" t="n">
        <x:v>182.89</x:v>
      </x:c>
      <x:c r="J2988" s="76" t="str">
        <x:v>SIP</x:v>
      </x:c>
    </x:row>
    <x:row r="2989">
      <x:c r="A2989" s="50" t="str">
        <x:v>019fdebe-a405-72c0-9e46-7deaa81e6fe9</x:v>
      </x:c>
      <x:c r="B2989" s="50" t="str">
        <x:v>XOM</x:v>
      </x:c>
      <x:c r="C2989" s="70" t="n">
        <x:v>46242.01462524306</x:v>
      </x:c>
      <x:c r="D2989" s="50" t="str">
        <x:v>SWING_SETUP</x:v>
      </x:c>
      <x:c r="E2989" s="50" t="str">
        <x:v>XOM SWING SETUP</x:v>
      </x:c>
      <x:c r="F2989" s="50" t="str">
        <x:v>WATCH</x:v>
      </x:c>
      <x:c r="G2989" s="50"/>
      <x:c r="H2989" s="50" t="str">
        <x:v>LONG</x:v>
      </x:c>
      <x:c r="I2989" s="71" t="n">
        <x:v>153.1</x:v>
      </x:c>
      <x:c r="J2989" s="76" t="str">
        <x:v>SIP</x:v>
      </x:c>
    </x:row>
    <x:row r="2990">
      <x:c r="A2990" s="50" t="str">
        <x:v>019fdebe-a421-7460-a19e-ea163b739c6f</x:v>
      </x:c>
      <x:c r="B2990" s="50" t="str">
        <x:v>MDLZ</x:v>
      </x:c>
      <x:c r="C2990" s="70" t="n">
        <x:v>46242.01462556713</x:v>
      </x:c>
      <x:c r="D2990" s="50" t="str">
        <x:v>SWING_SETUP</x:v>
      </x:c>
      <x:c r="E2990" s="50" t="str">
        <x:v>MDLZ SWING SETUP</x:v>
      </x:c>
      <x:c r="F2990" s="50" t="str">
        <x:v>WATCH</x:v>
      </x:c>
      <x:c r="G2990" s="50"/>
      <x:c r="H2990" s="50" t="str">
        <x:v>LONG</x:v>
      </x:c>
      <x:c r="I2990" s="71" t="n">
        <x:v>62.61</x:v>
      </x:c>
      <x:c r="J2990" s="76" t="str">
        <x:v>SIP</x:v>
      </x:c>
    </x:row>
    <x:row r="2991">
      <x:c r="A2991" s="50" t="str">
        <x:v>019fdebe-a5e2-79e3-b8ef-b33af32c57bc</x:v>
      </x:c>
      <x:c r="B2991" s="50" t="str">
        <x:v>SNOW</x:v>
      </x:c>
      <x:c r="C2991" s="70" t="n">
        <x:v>46242.014630763886</x:v>
      </x:c>
      <x:c r="D2991" s="50" t="str">
        <x:v>SWING_SETUP</x:v>
      </x:c>
      <x:c r="E2991" s="50" t="str">
        <x:v>SNOW SWING SETUP</x:v>
      </x:c>
      <x:c r="F2991" s="50" t="str">
        <x:v>WATCH</x:v>
      </x:c>
      <x:c r="G2991" s="50"/>
      <x:c r="H2991" s="50" t="str">
        <x:v>LONG</x:v>
      </x:c>
      <x:c r="I2991" s="71" t="n">
        <x:v>330.1</x:v>
      </x:c>
      <x:c r="J2991" s="76" t="str">
        <x:v>SIP</x:v>
      </x:c>
    </x:row>
    <x:row r="2992">
      <x:c r="A2992" s="50" t="str">
        <x:v>019fdebe-a604-75e0-b167-c87e5a4ce934</x:v>
      </x:c>
      <x:c r="B2992" s="50" t="str">
        <x:v>ECL</x:v>
      </x:c>
      <x:c r="C2992" s="70" t="n">
        <x:v>46242.014631157406</x:v>
      </x:c>
      <x:c r="D2992" s="50" t="str">
        <x:v>SWING_SETUP</x:v>
      </x:c>
      <x:c r="E2992" s="50" t="str">
        <x:v>ECL SWING SETUP</x:v>
      </x:c>
      <x:c r="F2992" s="50" t="str">
        <x:v>WATCH</x:v>
      </x:c>
      <x:c r="G2992" s="50"/>
      <x:c r="H2992" s="50" t="str">
        <x:v>LONG</x:v>
      </x:c>
      <x:c r="I2992" s="71" t="n">
        <x:v>285.17</x:v>
      </x:c>
      <x:c r="J2992" s="76" t="str">
        <x:v>SIP</x:v>
      </x:c>
    </x:row>
    <x:row r="2993">
      <x:c r="A2993" s="50" t="str">
        <x:v>019fdebe-a62b-736f-9bac-e4d1be256b10</x:v>
      </x:c>
      <x:c r="B2993" s="50" t="str">
        <x:v>JD</x:v>
      </x:c>
      <x:c r="C2993" s="70" t="n">
        <x:v>46242.0146316088</x:v>
      </x:c>
      <x:c r="D2993" s="50" t="str">
        <x:v>SWING_SETUP</x:v>
      </x:c>
      <x:c r="E2993" s="50" t="str">
        <x:v>JD SWING SETUP</x:v>
      </x:c>
      <x:c r="F2993" s="50" t="str">
        <x:v>WATCH</x:v>
      </x:c>
      <x:c r="G2993" s="50"/>
      <x:c r="H2993" s="50" t="str">
        <x:v>LONG</x:v>
      </x:c>
      <x:c r="I2993" s="71" t="n">
        <x:v>33</x:v>
      </x:c>
      <x:c r="J2993" s="76" t="str">
        <x:v>SIP</x:v>
      </x:c>
    </x:row>
    <x:row r="2994">
      <x:c r="A2994" s="50" t="str">
        <x:v>019fdebe-a644-7247-896a-534e47b989a1</x:v>
      </x:c>
      <x:c r="B2994" s="50" t="str">
        <x:v>TGT</x:v>
      </x:c>
      <x:c r="C2994" s="70" t="n">
        <x:v>46242.01463189815</x:v>
      </x:c>
      <x:c r="D2994" s="50" t="str">
        <x:v>SWING_SETUP</x:v>
      </x:c>
      <x:c r="E2994" s="50" t="str">
        <x:v>TGT SWING SETUP</x:v>
      </x:c>
      <x:c r="F2994" s="50" t="str">
        <x:v>WATCH</x:v>
      </x:c>
      <x:c r="G2994" s="50"/>
      <x:c r="H2994" s="50" t="str">
        <x:v>LONG</x:v>
      </x:c>
      <x:c r="I2994" s="71" t="n">
        <x:v>149.5</x:v>
      </x:c>
      <x:c r="J2994" s="76" t="str">
        <x:v>SIP</x:v>
      </x:c>
    </x:row>
    <x:row r="2995">
      <x:c r="A2995" s="50" t="str">
        <x:v>019fdebe-a64a-7fe6-a94c-5972e68469d7</x:v>
      </x:c>
      <x:c r="B2995" s="50" t="str">
        <x:v>BAC</x:v>
      </x:c>
      <x:c r="C2995" s="70" t="n">
        <x:v>46242.01463196759</x:v>
      </x:c>
      <x:c r="D2995" s="50" t="str">
        <x:v>SWING_SETUP</x:v>
      </x:c>
      <x:c r="E2995" s="50" t="str">
        <x:v>BAC SWING SETUP</x:v>
      </x:c>
      <x:c r="F2995" s="50" t="str">
        <x:v>WATCH</x:v>
      </x:c>
      <x:c r="G2995" s="50"/>
      <x:c r="H2995" s="50" t="str">
        <x:v>LONG</x:v>
      </x:c>
      <x:c r="I2995" s="71" t="n">
        <x:v>63.19</x:v>
      </x:c>
      <x:c r="J2995" s="76" t="str">
        <x:v>SIP</x:v>
      </x:c>
    </x:row>
    <x:row r="2996">
      <x:c r="A2996" s="50" t="str">
        <x:v>019fdebe-a669-778a-8759-5b2d87c50a3a</x:v>
      </x:c>
      <x:c r="B2996" s="50" t="str">
        <x:v>TMDX</x:v>
      </x:c>
      <x:c r="C2996" s="70" t="n">
        <x:v>46242.01463232639</x:v>
      </x:c>
      <x:c r="D2996" s="50" t="str">
        <x:v>SWING_SETUP</x:v>
      </x:c>
      <x:c r="E2996" s="50" t="str">
        <x:v>TMDX SWING SETUP</x:v>
      </x:c>
      <x:c r="F2996" s="50" t="str">
        <x:v>WATCH</x:v>
      </x:c>
      <x:c r="G2996" s="50"/>
      <x:c r="H2996" s="50" t="str">
        <x:v>LONG</x:v>
      </x:c>
      <x:c r="I2996" s="71" t="n">
        <x:v>83.5</x:v>
      </x:c>
      <x:c r="J2996" s="76" t="str">
        <x:v>SIP</x:v>
      </x:c>
    </x:row>
    <x:row r="2997">
      <x:c r="A2997" s="50" t="str">
        <x:v>019fdebe-a66e-7bb6-ba2e-4e13729a547e</x:v>
      </x:c>
      <x:c r="B2997" s="50" t="str">
        <x:v>SCHW</x:v>
      </x:c>
      <x:c r="C2997" s="70" t="n">
        <x:v>46242.01463238426</x:v>
      </x:c>
      <x:c r="D2997" s="50" t="str">
        <x:v>SWING_SETUP</x:v>
      </x:c>
      <x:c r="E2997" s="50" t="str">
        <x:v>SCHW SWING SETUP</x:v>
      </x:c>
      <x:c r="F2997" s="50" t="str">
        <x:v>WATCH</x:v>
      </x:c>
      <x:c r="G2997" s="50"/>
      <x:c r="H2997" s="50" t="str">
        <x:v>LONG</x:v>
      </x:c>
      <x:c r="I2997" s="71" t="n">
        <x:v>107.6</x:v>
      </x:c>
      <x:c r="J2997" s="76" t="str">
        <x:v>SIP</x:v>
      </x:c>
    </x:row>
    <x:row r="2998">
      <x:c r="A2998" s="50" t="str">
        <x:v>019fdebe-a6c6-7c19-b871-fd8a1abdd2da</x:v>
      </x:c>
      <x:c r="B2998" s="50" t="str">
        <x:v>BKNG</x:v>
      </x:c>
      <x:c r="C2998" s="70" t="n">
        <x:v>46242.01463340278</x:v>
      </x:c>
      <x:c r="D2998" s="50" t="str">
        <x:v>SWING_SETUP</x:v>
      </x:c>
      <x:c r="E2998" s="50" t="str">
        <x:v>BKNG SWING SETUP</x:v>
      </x:c>
      <x:c r="F2998" s="50" t="str">
        <x:v>WATCH</x:v>
      </x:c>
      <x:c r="G2998" s="50"/>
      <x:c r="H2998" s="50" t="str">
        <x:v>LONG</x:v>
      </x:c>
      <x:c r="I2998" s="71" t="n">
        <x:v>213.8621</x:v>
      </x:c>
      <x:c r="J2998" s="76" t="str">
        <x:v>SIP</x:v>
      </x:c>
    </x:row>
    <x:row r="2999">
      <x:c r="A2999" s="50" t="str">
        <x:v>019fdebf-8f29-7b0f-8e86-d8924b1cef06</x:v>
      </x:c>
      <x:c r="B2999" s="50" t="str">
        <x:v>LMT</x:v>
      </x:c>
      <x:c r="C2999" s="70" t="n">
        <x:v>46242.015321956016</x:v>
      </x:c>
      <x:c r="D2999" s="50" t="str">
        <x:v>SWING_SETUP</x:v>
      </x:c>
      <x:c r="E2999" s="50" t="str">
        <x:v>LMT SWING SETUP</x:v>
      </x:c>
      <x:c r="F2999" s="50" t="str">
        <x:v>WATCH</x:v>
      </x:c>
      <x:c r="G2999" s="50"/>
      <x:c r="H2999" s="50" t="str">
        <x:v>LONG</x:v>
      </x:c>
      <x:c r="I2999" s="71" t="n">
        <x:v>587.92</x:v>
      </x:c>
      <x:c r="J2999" s="76" t="str">
        <x:v>SIP</x:v>
      </x:c>
    </x:row>
    <x:row r="3000">
      <x:c r="A3000" s="50" t="str">
        <x:v>019fdec0-77f0-7f16-abf4-7760592d50c8</x:v>
      </x:c>
      <x:c r="B3000" s="50" t="str">
        <x:v>DE</x:v>
      </x:c>
      <x:c r="C3000" s="70" t="n">
        <x:v>46242.01601166667</x:v>
      </x:c>
      <x:c r="D3000" s="50" t="str">
        <x:v>SWING_SETUP</x:v>
      </x:c>
      <x:c r="E3000" s="50" t="str">
        <x:v>DE SWING SETUP</x:v>
      </x:c>
      <x:c r="F3000" s="50" t="str">
        <x:v>WATCH</x:v>
      </x:c>
      <x:c r="G3000" s="50"/>
      <x:c r="H3000" s="50" t="str">
        <x:v>LONG</x:v>
      </x:c>
      <x:c r="I3000" s="71" t="n">
        <x:v>620.83</x:v>
      </x:c>
      <x:c r="J3000" s="76" t="str">
        <x:v>SIP</x:v>
      </x:c>
    </x:row>
    <x:row r="3001">
      <x:c r="A3001" s="50" t="str">
        <x:v>019fdec1-61ff-729e-bbc7-d94e0837ce24</x:v>
      </x:c>
      <x:c r="B3001" s="50" t="str">
        <x:v>MRK</x:v>
      </x:c>
      <x:c r="C3001" s="70" t="n">
        <x:v>46242.01670517361</x:v>
      </x:c>
      <x:c r="D3001" s="50" t="str">
        <x:v>SWING_SETUP</x:v>
      </x:c>
      <x:c r="E3001" s="50" t="str">
        <x:v>MRK SWING SETUP</x:v>
      </x:c>
      <x:c r="F3001" s="50" t="str">
        <x:v>WATCH</x:v>
      </x:c>
      <x:c r="G3001" s="50"/>
      <x:c r="H3001" s="50" t="str">
        <x:v>LONG</x:v>
      </x:c>
      <x:c r="I3001" s="71" t="n">
        <x:v>128.57</x:v>
      </x:c>
      <x:c r="J3001" s="76" t="str">
        <x:v>SIP</x:v>
      </x:c>
    </x:row>
    <x:row r="3002">
      <x:c r="A3002" s="50" t="str">
        <x:v>019fdec1-6374-75fe-8a19-7a553bdfe550</x:v>
      </x:c>
      <x:c r="B3002" s="50" t="str">
        <x:v>RTX</x:v>
      </x:c>
      <x:c r="C3002" s="70" t="n">
        <x:v>46242.01670949074</x:v>
      </x:c>
      <x:c r="D3002" s="50" t="str">
        <x:v>SWING_SETUP</x:v>
      </x:c>
      <x:c r="E3002" s="50" t="str">
        <x:v>RTX SWING SETUP</x:v>
      </x:c>
      <x:c r="F3002" s="50" t="str">
        <x:v>WATCH</x:v>
      </x:c>
      <x:c r="G3002" s="50"/>
      <x:c r="H3002" s="50" t="str">
        <x:v>LONG</x:v>
      </x:c>
      <x:c r="I3002" s="71" t="n">
        <x:v>223.65</x:v>
      </x:c>
      <x:c r="J3002" s="76" t="str">
        <x:v>SIP</x:v>
      </x:c>
    </x:row>
    <x:row r="3003">
      <x:c r="A3003" s="50" t="str">
        <x:v>019fdec1-6382-7e60-bd44-024b39d75282</x:v>
      </x:c>
      <x:c r="B3003" s="50" t="str">
        <x:v>BLK</x:v>
      </x:c>
      <x:c r="C3003" s="70" t="n">
        <x:v>46242.01670965278</x:v>
      </x:c>
      <x:c r="D3003" s="50" t="str">
        <x:v>SWING_SETUP</x:v>
      </x:c>
      <x:c r="E3003" s="50" t="str">
        <x:v>BLK SWING SETUP</x:v>
      </x:c>
      <x:c r="F3003" s="50" t="str">
        <x:v>WATCH</x:v>
      </x:c>
      <x:c r="G3003" s="50"/>
      <x:c r="H3003" s="50" t="str">
        <x:v>LONG</x:v>
      </x:c>
      <x:c r="I3003" s="71" t="n">
        <x:v>1136.4</x:v>
      </x:c>
      <x:c r="J3003" s="76" t="str">
        <x:v>SIP</x:v>
      </x:c>
    </x:row>
    <x:row r="3004">
      <x:c r="A3004" s="50" t="str">
        <x:v>019fdec1-63bc-76d1-ad72-e767f592a9e5</x:v>
      </x:c>
      <x:c r="B3004" s="50" t="str">
        <x:v>WFC</x:v>
      </x:c>
      <x:c r="C3004" s="70" t="n">
        <x:v>46242.016710324075</x:v>
      </x:c>
      <x:c r="D3004" s="50" t="str">
        <x:v>SWING_SETUP</x:v>
      </x:c>
      <x:c r="E3004" s="50" t="str">
        <x:v>WFC SWING SETUP</x:v>
      </x:c>
      <x:c r="F3004" s="50" t="str">
        <x:v>WATCH</x:v>
      </x:c>
      <x:c r="G3004" s="50"/>
      <x:c r="H3004" s="50" t="str">
        <x:v>LONG</x:v>
      </x:c>
      <x:c r="I3004" s="71" t="n">
        <x:v>87.235</x:v>
      </x:c>
      <x:c r="J3004" s="76" t="str">
        <x:v>SIP</x:v>
      </x:c>
    </x:row>
    <x:row r="3005">
      <x:c r="A3005" s="50" t="str">
        <x:v>019fdec1-6406-7168-babd-15ec691f8378</x:v>
      </x:c>
      <x:c r="B3005" s="50" t="str">
        <x:v>RCL</x:v>
      </x:c>
      <x:c r="C3005" s="70" t="n">
        <x:v>46242.01671118056</x:v>
      </x:c>
      <x:c r="D3005" s="50" t="str">
        <x:v>SWING_SETUP</x:v>
      </x:c>
      <x:c r="E3005" s="50" t="str">
        <x:v>RCL SWING SETUP</x:v>
      </x:c>
      <x:c r="F3005" s="50" t="str">
        <x:v>WATCH</x:v>
      </x:c>
      <x:c r="G3005" s="50"/>
      <x:c r="H3005" s="50" t="str">
        <x:v>LONG</x:v>
      </x:c>
      <x:c r="I3005" s="71" t="n">
        <x:v>320</x:v>
      </x:c>
      <x:c r="J3005" s="76" t="str">
        <x:v>SIP</x:v>
      </x:c>
    </x:row>
    <x:row r="3006">
      <x:c r="A3006" s="50" t="str">
        <x:v>019fdec1-6434-769c-bc05-f0c44b91b28a</x:v>
      </x:c>
      <x:c r="B3006" s="50" t="str">
        <x:v>UEC</x:v>
      </x:c>
      <x:c r="C3006" s="70" t="n">
        <x:v>46242.01671171296</x:v>
      </x:c>
      <x:c r="D3006" s="50" t="str">
        <x:v>SWING_SETUP</x:v>
      </x:c>
      <x:c r="E3006" s="50" t="str">
        <x:v>UEC SWING SETUP</x:v>
      </x:c>
      <x:c r="F3006" s="50" t="str">
        <x:v>WATCH</x:v>
      </x:c>
      <x:c r="G3006" s="50"/>
      <x:c r="H3006" s="50" t="str">
        <x:v>LONG</x:v>
      </x:c>
      <x:c r="I3006" s="71" t="n">
        <x:v>11.2707</x:v>
      </x:c>
      <x:c r="J3006" s="76" t="str">
        <x:v>SIP</x:v>
      </x:c>
    </x:row>
    <x:row r="3007">
      <x:c r="A3007" s="50" t="str">
        <x:v>019fdec1-6448-7b0d-a679-8623ac06ad9a</x:v>
      </x:c>
      <x:c r="B3007" s="50" t="str">
        <x:v>BLFS</x:v>
      </x:c>
      <x:c r="C3007" s="70" t="n">
        <x:v>46242.016711944445</x:v>
      </x:c>
      <x:c r="D3007" s="50" t="str">
        <x:v>SWING_SETUP</x:v>
      </x:c>
      <x:c r="E3007" s="50" t="str">
        <x:v>BLFS SWING SETUP</x:v>
      </x:c>
      <x:c r="F3007" s="50" t="str">
        <x:v>WATCH</x:v>
      </x:c>
      <x:c r="G3007" s="50"/>
      <x:c r="H3007" s="50" t="str">
        <x:v>LONG</x:v>
      </x:c>
      <x:c r="I3007" s="71" t="n">
        <x:v>34.645</x:v>
      </x:c>
      <x:c r="J3007" s="76" t="str">
        <x:v>SIP</x:v>
      </x:c>
    </x:row>
    <x:row r="3008">
      <x:c r="A3008" s="50" t="str">
        <x:v>019fdec1-6488-7b94-a9f7-8598219f1715</x:v>
      </x:c>
      <x:c r="B3008" s="50" t="str">
        <x:v>BABA</x:v>
      </x:c>
      <x:c r="C3008" s="70" t="n">
        <x:v>46242.01671267361</x:v>
      </x:c>
      <x:c r="D3008" s="50" t="str">
        <x:v>SWING_SETUP</x:v>
      </x:c>
      <x:c r="E3008" s="50" t="str">
        <x:v>BABA SWING SETUP</x:v>
      </x:c>
      <x:c r="F3008" s="50" t="str">
        <x:v>WATCH</x:v>
      </x:c>
      <x:c r="G3008" s="50"/>
      <x:c r="H3008" s="50" t="str">
        <x:v>LONG</x:v>
      </x:c>
      <x:c r="I3008" s="71" t="n">
        <x:v>128.3</x:v>
      </x:c>
      <x:c r="J3008" s="76" t="str">
        <x:v>SIP</x:v>
      </x:c>
    </x:row>
    <x:row r="3009">
      <x:c r="A3009" s="50" t="str">
        <x:v>019fdec2-4ce7-7b9a-bbfc-74f2de959e4f</x:v>
      </x:c>
      <x:c r="B3009" s="50" t="str">
        <x:v>PM</x:v>
      </x:c>
      <x:c r="C3009" s="70" t="n">
        <x:v>46242.017401192126</x:v>
      </x:c>
      <x:c r="D3009" s="50" t="str">
        <x:v>SWING_SETUP</x:v>
      </x:c>
      <x:c r="E3009" s="50" t="str">
        <x:v>PM SWING SETUP</x:v>
      </x:c>
      <x:c r="F3009" s="50" t="str">
        <x:v>WATCH</x:v>
      </x:c>
      <x:c r="G3009" s="50"/>
      <x:c r="H3009" s="50" t="str">
        <x:v>LONG</x:v>
      </x:c>
      <x:c r="I3009" s="71" t="n">
        <x:v>189.57</x:v>
      </x:c>
      <x:c r="J3009" s="76" t="str">
        <x:v>SIP</x:v>
      </x:c>
    </x:row>
    <x:row r="3010">
      <x:c r="A3010" s="50" t="str">
        <x:v>019fdec2-4e4d-70bd-a3eb-3fe0abef383a</x:v>
      </x:c>
      <x:c r="B3010" s="50" t="str">
        <x:v>SHW</x:v>
      </x:c>
      <x:c r="C3010" s="70" t="n">
        <x:v>46242.017405335646</x:v>
      </x:c>
      <x:c r="D3010" s="50" t="str">
        <x:v>SWING_SETUP</x:v>
      </x:c>
      <x:c r="E3010" s="50" t="str">
        <x:v>SHW SWING SETUP</x:v>
      </x:c>
      <x:c r="F3010" s="50" t="str">
        <x:v>WATCH</x:v>
      </x:c>
      <x:c r="G3010" s="50"/>
      <x:c r="H3010" s="50" t="str">
        <x:v>LONG</x:v>
      </x:c>
      <x:c r="I3010" s="71" t="n">
        <x:v>369.73</x:v>
      </x:c>
      <x:c r="J3010" s="76" t="str">
        <x:v>SIP</x:v>
      </x:c>
    </x:row>
    <x:row r="3011">
      <x:c r="A3011" s="50" t="str">
        <x:v>019fdec2-4e7a-7cb0-b596-0da6ad8bba78</x:v>
      </x:c>
      <x:c r="B3011" s="50" t="str">
        <x:v>SE</x:v>
      </x:c>
      <x:c r="C3011" s="70" t="n">
        <x:v>46242.01740585648</x:v>
      </x:c>
      <x:c r="D3011" s="50" t="str">
        <x:v>SWING_SETUP</x:v>
      </x:c>
      <x:c r="E3011" s="50" t="str">
        <x:v>SE SWING SETUP</x:v>
      </x:c>
      <x:c r="F3011" s="50" t="str">
        <x:v>WATCH</x:v>
      </x:c>
      <x:c r="G3011" s="50"/>
      <x:c r="H3011" s="50" t="str">
        <x:v>LONG</x:v>
      </x:c>
      <x:c r="I3011" s="71" t="n">
        <x:v>113.43</x:v>
      </x:c>
      <x:c r="J3011" s="76" t="str">
        <x:v>SIP</x:v>
      </x:c>
    </x:row>
    <x:row r="3012">
      <x:c r="A3012" s="50" t="str">
        <x:v>019fdec2-4ef1-757e-95e4-0e7ba1b28fa7</x:v>
      </x:c>
      <x:c r="B3012" s="50" t="str">
        <x:v>NUE</x:v>
      </x:c>
      <x:c r="C3012" s="70" t="n">
        <x:v>46242.0174072338</x:v>
      </x:c>
      <x:c r="D3012" s="50" t="str">
        <x:v>SWING_SETUP</x:v>
      </x:c>
      <x:c r="E3012" s="50" t="str">
        <x:v>NUE SWING SETUP</x:v>
      </x:c>
      <x:c r="F3012" s="50" t="str">
        <x:v>WATCH</x:v>
      </x:c>
      <x:c r="G3012" s="50"/>
      <x:c r="H3012" s="50" t="str">
        <x:v>LONG</x:v>
      </x:c>
      <x:c r="I3012" s="71" t="n">
        <x:v>272.57</x:v>
      </x:c>
      <x:c r="J3012" s="76" t="str">
        <x:v>SIP</x:v>
      </x:c>
    </x:row>
    <x:row r="3013">
      <x:c r="A3013" s="50" t="str">
        <x:v>019fdec3-376d-75d9-841c-efa8cc2aa520</x:v>
      </x:c>
      <x:c r="B3013" s="50" t="str">
        <x:v>ABT</x:v>
      </x:c>
      <x:c r="C3013" s="70" t="n">
        <x:v>46242.01809607639</x:v>
      </x:c>
      <x:c r="D3013" s="50" t="str">
        <x:v>SWING_SETUP</x:v>
      </x:c>
      <x:c r="E3013" s="50" t="str">
        <x:v>ABT SWING SETUP</x:v>
      </x:c>
      <x:c r="F3013" s="50" t="str">
        <x:v>WATCH</x:v>
      </x:c>
      <x:c r="G3013" s="50"/>
      <x:c r="H3013" s="50" t="str">
        <x:v>LONG</x:v>
      </x:c>
      <x:c r="I3013" s="71" t="n">
        <x:v>107.81</x:v>
      </x:c>
      <x:c r="J3013" s="76" t="str">
        <x:v>SIP</x:v>
      </x:c>
    </x:row>
    <x:row r="3014">
      <x:c r="A3014" s="50" t="str">
        <x:v>019fdec3-3869-7fe8-86e4-24ea01b58a9f</x:v>
      </x:c>
      <x:c r="B3014" s="50" t="str">
        <x:v>VZ</x:v>
      </x:c>
      <x:c r="C3014" s="70" t="n">
        <x:v>46242.01809899305</x:v>
      </x:c>
      <x:c r="D3014" s="50" t="str">
        <x:v>SWING_SETUP</x:v>
      </x:c>
      <x:c r="E3014" s="50" t="str">
        <x:v>VZ SWING SETUP</x:v>
      </x:c>
      <x:c r="F3014" s="50" t="str">
        <x:v>WATCH</x:v>
      </x:c>
      <x:c r="G3014" s="50"/>
      <x:c r="H3014" s="50" t="str">
        <x:v>LONG</x:v>
      </x:c>
      <x:c r="I3014" s="71" t="n">
        <x:v>47.01</x:v>
      </x:c>
      <x:c r="J3014" s="76" t="str">
        <x:v>SIP</x:v>
      </x:c>
    </x:row>
    <x:row r="3015">
      <x:c r="A3015" s="50" t="str">
        <x:v>019fdec3-38b2-7ed5-af66-e6211e2788c5</x:v>
      </x:c>
      <x:c r="B3015" s="50" t="str">
        <x:v>NXE</x:v>
      </x:c>
      <x:c r="C3015" s="70" t="n">
        <x:v>46242.018099837966</x:v>
      </x:c>
      <x:c r="D3015" s="50" t="str">
        <x:v>SWING_SETUP</x:v>
      </x:c>
      <x:c r="E3015" s="50" t="str">
        <x:v>NXE SWING SETUP</x:v>
      </x:c>
      <x:c r="F3015" s="50" t="str">
        <x:v>WATCH</x:v>
      </x:c>
      <x:c r="G3015" s="50"/>
      <x:c r="H3015" s="50" t="str">
        <x:v>LONG</x:v>
      </x:c>
      <x:c r="I3015" s="71" t="n">
        <x:v>10.49</x:v>
      </x:c>
      <x:c r="J3015" s="76" t="str">
        <x:v>SIP</x:v>
      </x:c>
    </x:row>
    <x:row r="3016">
      <x:c r="A3016" s="50" t="str">
        <x:v>019fdec3-39f3-72fd-8271-b64cdd6de382</x:v>
      </x:c>
      <x:c r="B3016" s="50" t="str">
        <x:v>TMO</x:v>
      </x:c>
      <x:c r="C3016" s="70" t="n">
        <x:v>46242.018103553244</x:v>
      </x:c>
      <x:c r="D3016" s="50" t="str">
        <x:v>SWING_SETUP</x:v>
      </x:c>
      <x:c r="E3016" s="50" t="str">
        <x:v>TMO SWING SETUP</x:v>
      </x:c>
      <x:c r="F3016" s="50" t="str">
        <x:v>WATCH</x:v>
      </x:c>
      <x:c r="G3016" s="50"/>
      <x:c r="H3016" s="50" t="str">
        <x:v>LONG</x:v>
      </x:c>
      <x:c r="I3016" s="71" t="n">
        <x:v>594</x:v>
      </x:c>
      <x:c r="J3016" s="76" t="str">
        <x:v>SIP</x:v>
      </x:c>
    </x:row>
    <x:row r="3017">
      <x:c r="A3017" s="50" t="str">
        <x:v>019fdec3-3a67-7265-a8a9-1ec40d87a690</x:v>
      </x:c>
      <x:c r="B3017" s="50" t="str">
        <x:v>PFE</x:v>
      </x:c>
      <x:c r="C3017" s="70" t="n">
        <x:v>46242.01810489583</x:v>
      </x:c>
      <x:c r="D3017" s="50" t="str">
        <x:v>SWING_SETUP</x:v>
      </x:c>
      <x:c r="E3017" s="50" t="str">
        <x:v>PFE SWING SETUP</x:v>
      </x:c>
      <x:c r="F3017" s="50" t="str">
        <x:v>WATCH</x:v>
      </x:c>
      <x:c r="G3017" s="50"/>
      <x:c r="H3017" s="50" t="str">
        <x:v>LONG</x:v>
      </x:c>
      <x:c r="I3017" s="71" t="n">
        <x:v>26.6231</x:v>
      </x:c>
      <x:c r="J3017" s="76" t="str">
        <x:v>SIP</x:v>
      </x:c>
    </x:row>
    <x:row r="3018">
      <x:c r="A3018" s="50" t="str">
        <x:v>019fdec5-0c6c-7981-a879-a4e9fccb0dc1</x:v>
      </x:c>
      <x:c r="B3018" s="50" t="str">
        <x:v>CROX</x:v>
      </x:c>
      <x:c r="C3018" s="70" t="n">
        <x:v>46242.01948569444</x:v>
      </x:c>
      <x:c r="D3018" s="50" t="str">
        <x:v>SWING_SETUP</x:v>
      </x:c>
      <x:c r="E3018" s="50" t="str">
        <x:v>CROX SWING SETUP</x:v>
      </x:c>
      <x:c r="F3018" s="50" t="str">
        <x:v>WATCH</x:v>
      </x:c>
      <x:c r="G3018" s="50"/>
      <x:c r="H3018" s="50" t="str">
        <x:v>LONG</x:v>
      </x:c>
      <x:c r="I3018" s="71" t="n">
        <x:v>136.56</x:v>
      </x:c>
      <x:c r="J3018" s="76" t="str">
        <x:v>SIP</x:v>
      </x:c>
    </x:row>
    <x:row r="3019">
      <x:c r="A3019" s="50" t="str">
        <x:v>019fdec5-0d29-7122-a4b6-81510421a3ca</x:v>
      </x:c>
      <x:c r="B3019" s="50" t="str">
        <x:v>DLR</x:v>
      </x:c>
      <x:c r="C3019" s="70" t="n">
        <x:v>46242.019487881946</x:v>
      </x:c>
      <x:c r="D3019" s="50" t="str">
        <x:v>SWING_SETUP</x:v>
      </x:c>
      <x:c r="E3019" s="50" t="str">
        <x:v>DLR SWING SETUP</x:v>
      </x:c>
      <x:c r="F3019" s="50" t="str">
        <x:v>WATCH</x:v>
      </x:c>
      <x:c r="G3019" s="50"/>
      <x:c r="H3019" s="50" t="str">
        <x:v>LONG</x:v>
      </x:c>
      <x:c r="I3019" s="71" t="n">
        <x:v>193.8</x:v>
      </x:c>
      <x:c r="J3019" s="76" t="str">
        <x:v>SIP</x:v>
      </x:c>
    </x:row>
    <x:row r="3020">
      <x:c r="A3020" s="50" t="str">
        <x:v>019fdec5-f7f0-7533-8016-b47df666c587</x:v>
      </x:c>
      <x:c r="B3020" s="50" t="str">
        <x:v>AMGN</x:v>
      </x:c>
      <x:c r="C3020" s="70" t="n">
        <x:v>46242.02018351852</x:v>
      </x:c>
      <x:c r="D3020" s="50" t="str">
        <x:v>SWING_SETUP</x:v>
      </x:c>
      <x:c r="E3020" s="50" t="str">
        <x:v>AMGN SWING SETUP</x:v>
      </x:c>
      <x:c r="F3020" s="50" t="str">
        <x:v>WATCH</x:v>
      </x:c>
      <x:c r="G3020" s="50"/>
      <x:c r="H3020" s="50" t="str">
        <x:v>LONG</x:v>
      </x:c>
      <x:c r="I3020" s="71" t="n">
        <x:v>410.35</x:v>
      </x:c>
      <x:c r="J3020" s="76" t="str">
        <x:v>SIP</x:v>
      </x:c>
    </x:row>
    <x:row r="3021">
      <x:c r="A3021" s="50" t="str">
        <x:v>019fdec5-f8ff-79dc-a310-e2d80e657abf</x:v>
      </x:c>
      <x:c r="B3021" s="50" t="str">
        <x:v>JPM</x:v>
      </x:c>
      <x:c r="C3021" s="70" t="n">
        <x:v>46242.02018665509</x:v>
      </x:c>
      <x:c r="D3021" s="50" t="str">
        <x:v>SWING_SETUP</x:v>
      </x:c>
      <x:c r="E3021" s="50" t="str">
        <x:v>JPM SWING SETUP</x:v>
      </x:c>
      <x:c r="F3021" s="50" t="str">
        <x:v>WATCH</x:v>
      </x:c>
      <x:c r="G3021" s="50"/>
      <x:c r="H3021" s="50" t="str">
        <x:v>LONG</x:v>
      </x:c>
      <x:c r="I3021" s="71" t="n">
        <x:v>357.4511</x:v>
      </x:c>
      <x:c r="J3021" s="76" t="str">
        <x:v>SIP</x:v>
      </x:c>
    </x:row>
    <x:row r="3022">
      <x:c r="A3022" s="50" t="str">
        <x:v>019fdec7-caae-7481-bf90-9c446bd8d2bb</x:v>
      </x:c>
      <x:c r="B3022" s="50" t="str">
        <x:v>ANET</x:v>
      </x:c>
      <x:c r="C3022" s="70" t="n">
        <x:v>46242.02156645833</x:v>
      </x:c>
      <x:c r="D3022" s="50" t="str">
        <x:v>SWING_SETUP</x:v>
      </x:c>
      <x:c r="E3022" s="50" t="str">
        <x:v>ANET SWING SETUP</x:v>
      </x:c>
      <x:c r="F3022" s="50" t="str">
        <x:v>WATCH</x:v>
      </x:c>
      <x:c r="G3022" s="50"/>
      <x:c r="H3022" s="50" t="str">
        <x:v>LONG</x:v>
      </x:c>
      <x:c r="I3022" s="71" t="n">
        <x:v>189.14</x:v>
      </x:c>
      <x:c r="J3022" s="76" t="str">
        <x:v>SIP</x:v>
      </x:c>
    </x:row>
    <x:row r="3023">
      <x:c r="A3023" s="50" t="str">
        <x:v>019fdec8-b591-7959-9cb1-a5c15ece919e</x:v>
      </x:c>
      <x:c r="B3023" s="50" t="str">
        <x:v>ETHA</x:v>
      </x:c>
      <x:c r="C3023" s="70" t="n">
        <x:v>46242.022262418985</x:v>
      </x:c>
      <x:c r="D3023" s="50" t="str">
        <x:v>SWING_SETUP</x:v>
      </x:c>
      <x:c r="E3023" s="50" t="str">
        <x:v>ETHA SWING SETUP</x:v>
      </x:c>
      <x:c r="F3023" s="50" t="str">
        <x:v>WATCH</x:v>
      </x:c>
      <x:c r="G3023" s="50"/>
      <x:c r="H3023" s="50" t="str">
        <x:v>LONG</x:v>
      </x:c>
      <x:c r="I3023" s="71" t="n">
        <x:v>14.4947</x:v>
      </x:c>
      <x:c r="J3023" s="76" t="str">
        <x:v>SIP</x:v>
      </x:c>
    </x:row>
    <x:row r="3024">
      <x:c r="A3024" s="50" t="str">
        <x:v>019fdec8-b637-7541-950b-9503ce761340</x:v>
      </x:c>
      <x:c r="B3024" s="50" t="str">
        <x:v>INTU</x:v>
      </x:c>
      <x:c r="C3024" s="70" t="n">
        <x:v>46242.02226434028</x:v>
      </x:c>
      <x:c r="D3024" s="50" t="str">
        <x:v>SWING_SETUP</x:v>
      </x:c>
      <x:c r="E3024" s="50" t="str">
        <x:v>INTU SWING SETUP</x:v>
      </x:c>
      <x:c r="F3024" s="50" t="str">
        <x:v>WATCH</x:v>
      </x:c>
      <x:c r="G3024" s="50"/>
      <x:c r="H3024" s="50" t="str">
        <x:v>LONG</x:v>
      </x:c>
      <x:c r="I3024" s="71" t="n">
        <x:v>325.25</x:v>
      </x:c>
      <x:c r="J3024" s="76" t="str">
        <x:v>SIP</x:v>
      </x:c>
    </x:row>
    <x:row r="3025">
      <x:c r="A3025" s="50" t="str">
        <x:v>019fdec8-b6f3-7be5-b7b6-3c62004e19b5</x:v>
      </x:c>
      <x:c r="B3025" s="50" t="str">
        <x:v>UNP</x:v>
      </x:c>
      <x:c r="C3025" s="70" t="n">
        <x:v>46242.02226651621</x:v>
      </x:c>
      <x:c r="D3025" s="50" t="str">
        <x:v>SWING_SETUP</x:v>
      </x:c>
      <x:c r="E3025" s="50" t="str">
        <x:v>UNP SWING SETUP</x:v>
      </x:c>
      <x:c r="F3025" s="50" t="str">
        <x:v>WATCH</x:v>
      </x:c>
      <x:c r="G3025" s="50"/>
      <x:c r="H3025" s="50" t="str">
        <x:v>LONG</x:v>
      </x:c>
      <x:c r="I3025" s="71" t="n">
        <x:v>293.13</x:v>
      </x:c>
      <x:c r="J3025" s="76" t="str">
        <x:v>SIP</x:v>
      </x:c>
    </x:row>
    <x:row r="3026">
      <x:c r="A3026" s="50" t="str">
        <x:v>019fdec8-b711-7307-b4df-876c7e4a8f3f</x:v>
      </x:c>
      <x:c r="B3026" s="50" t="str">
        <x:v>COP</x:v>
      </x:c>
      <x:c r="C3026" s="70" t="n">
        <x:v>46242.02226686342</x:v>
      </x:c>
      <x:c r="D3026" s="50" t="str">
        <x:v>SWING_SETUP</x:v>
      </x:c>
      <x:c r="E3026" s="50" t="str">
        <x:v>COP SWING SETUP</x:v>
      </x:c>
      <x:c r="F3026" s="50" t="str">
        <x:v>WATCH</x:v>
      </x:c>
      <x:c r="G3026" s="50"/>
      <x:c r="H3026" s="50" t="str">
        <x:v>LONG</x:v>
      </x:c>
      <x:c r="I3026" s="71" t="n">
        <x:v>117.6</x:v>
      </x:c>
      <x:c r="J3026" s="76" t="str">
        <x:v>SIP</x:v>
      </x:c>
    </x:row>
    <x:row r="3027">
      <x:c r="A3027" s="50" t="str">
        <x:v>019fdec8-b7f1-741c-ab95-08b38ef40e7e</x:v>
      </x:c>
      <x:c r="B3027" s="50" t="str">
        <x:v>PYPL</x:v>
      </x:c>
      <x:c r="C3027" s="70" t="n">
        <x:v>46242.02226945602</x:v>
      </x:c>
      <x:c r="D3027" s="50" t="str">
        <x:v>SWING_SETUP</x:v>
      </x:c>
      <x:c r="E3027" s="50" t="str">
        <x:v>PYPL SWING SETUP</x:v>
      </x:c>
      <x:c r="F3027" s="50" t="str">
        <x:v>WATCH</x:v>
      </x:c>
      <x:c r="G3027" s="50"/>
      <x:c r="H3027" s="50" t="str">
        <x:v>LONG</x:v>
      </x:c>
      <x:c r="I3027" s="71" t="n">
        <x:v>59.095</x:v>
      </x:c>
      <x:c r="J3027" s="76" t="str">
        <x:v>SIP</x:v>
      </x:c>
    </x:row>
    <x:row r="3028">
      <x:c r="A3028" s="50" t="str">
        <x:v>019fdec8-b87a-72f2-b0e3-f2b4c97fe06d</x:v>
      </x:c>
      <x:c r="B3028" s="50" t="str">
        <x:v>BMY</x:v>
      </x:c>
      <x:c r="C3028" s="70" t="n">
        <x:v>46242.022271041664</x:v>
      </x:c>
      <x:c r="D3028" s="50" t="str">
        <x:v>SWING_SETUP</x:v>
      </x:c>
      <x:c r="E3028" s="50" t="str">
        <x:v>BMY SWING SETUP</x:v>
      </x:c>
      <x:c r="F3028" s="50" t="str">
        <x:v>WATCH</x:v>
      </x:c>
      <x:c r="G3028" s="50"/>
      <x:c r="H3028" s="50" t="str">
        <x:v>LONG</x:v>
      </x:c>
      <x:c r="I3028" s="71" t="n">
        <x:v>64.69</x:v>
      </x:c>
      <x:c r="J3028" s="76" t="str">
        <x:v>SIP</x:v>
      </x:c>
    </x:row>
    <x:row r="3029">
      <x:c r="A3029" s="50" t="str">
        <x:v>019fdec9-a0d5-77bc-8d33-1e9f68ea4467</x:v>
      </x:c>
      <x:c r="B3029" s="50" t="str">
        <x:v>CEG</x:v>
      </x:c>
      <x:c r="C3029" s="70" t="n">
        <x:v>46242.02295950231</x:v>
      </x:c>
      <x:c r="D3029" s="50" t="str">
        <x:v>SWING_SETUP</x:v>
      </x:c>
      <x:c r="E3029" s="50" t="str">
        <x:v>CEG SWING SETUP</x:v>
      </x:c>
      <x:c r="F3029" s="50" t="str">
        <x:v>WATCH</x:v>
      </x:c>
      <x:c r="G3029" s="50"/>
      <x:c r="H3029" s="50" t="str">
        <x:v>LONG</x:v>
      </x:c>
      <x:c r="I3029" s="71" t="n">
        <x:v>269.9</x:v>
      </x:c>
      <x:c r="J3029" s="76" t="str">
        <x:v>SIP</x:v>
      </x:c>
    </x:row>
    <x:row r="3030">
      <x:c r="A3030" s="50" t="str">
        <x:v>019fdeca-8b2f-798e-ab1d-0f7eb1234d48</x:v>
      </x:c>
      <x:c r="B3030" s="50" t="str">
        <x:v>PLTR</x:v>
      </x:c>
      <x:c r="C3030" s="70" t="n">
        <x:v>46242.02365386574</x:v>
      </x:c>
      <x:c r="D3030" s="50" t="str">
        <x:v>SWING_SETUP</x:v>
      </x:c>
      <x:c r="E3030" s="50" t="str">
        <x:v>PLTR SWING SETUP</x:v>
      </x:c>
      <x:c r="F3030" s="50" t="str">
        <x:v>WATCH</x:v>
      </x:c>
      <x:c r="G3030" s="50"/>
      <x:c r="H3030" s="50" t="str">
        <x:v>LONG</x:v>
      </x:c>
      <x:c r="I3030" s="71" t="n">
        <x:v>171.58</x:v>
      </x:c>
      <x:c r="J3030" s="76" t="str">
        <x:v>SIP</x:v>
      </x:c>
    </x:row>
    <x:row r="3031">
      <x:c r="A3031" s="50" t="str">
        <x:v>019fdeca-8b4c-735d-9b86-b57b386b75fd</x:v>
      </x:c>
      <x:c r="B3031" s="50" t="str">
        <x:v>RDW</x:v>
      </x:c>
      <x:c r="C3031" s="70" t="n">
        <x:v>46242.02365420139</x:v>
      </x:c>
      <x:c r="D3031" s="50" t="str">
        <x:v>SWING_SETUP</x:v>
      </x:c>
      <x:c r="E3031" s="50" t="str">
        <x:v>RDW SWING SETUP</x:v>
      </x:c>
      <x:c r="F3031" s="50" t="str">
        <x:v>WATCH</x:v>
      </x:c>
      <x:c r="G3031" s="50"/>
      <x:c r="H3031" s="50" t="str">
        <x:v>LONG</x:v>
      </x:c>
      <x:c r="I3031" s="71" t="n">
        <x:v>13.56</x:v>
      </x:c>
      <x:c r="J3031" s="76" t="str">
        <x:v>SIP</x:v>
      </x:c>
    </x:row>
    <x:row r="3032">
      <x:c r="A3032" s="50" t="str">
        <x:v>019fdeca-8ba8-7bce-8e84-2240905b3626</x:v>
      </x:c>
      <x:c r="B3032" s="50" t="str">
        <x:v>NOC</x:v>
      </x:c>
      <x:c r="C3032" s="70" t="n">
        <x:v>46242.02365527778</x:v>
      </x:c>
      <x:c r="D3032" s="50" t="str">
        <x:v>SWING_SETUP</x:v>
      </x:c>
      <x:c r="E3032" s="50" t="str">
        <x:v>NOC SWING SETUP</x:v>
      </x:c>
      <x:c r="F3032" s="50" t="str">
        <x:v>WATCH</x:v>
      </x:c>
      <x:c r="G3032" s="50"/>
      <x:c r="H3032" s="50" t="str">
        <x:v>LONG</x:v>
      </x:c>
      <x:c r="I3032" s="71" t="n">
        <x:v>571.58</x:v>
      </x:c>
      <x:c r="J3032" s="76" t="str">
        <x:v>SIP</x:v>
      </x:c>
    </x:row>
    <x:row r="3033">
      <x:c r="A3033" s="50" t="str">
        <x:v>019fdeca-8bfc-7ad6-9ede-fd589409a61f</x:v>
      </x:c>
      <x:c r="B3033" s="50" t="str">
        <x:v>ABNB</x:v>
      </x:c>
      <x:c r="C3033" s="70" t="n">
        <x:v>46242.02365623842</x:v>
      </x:c>
      <x:c r="D3033" s="50" t="str">
        <x:v>SWING_SETUP</x:v>
      </x:c>
      <x:c r="E3033" s="50" t="str">
        <x:v>ABNB SWING SETUP</x:v>
      </x:c>
      <x:c r="F3033" s="50" t="str">
        <x:v>WATCH</x:v>
      </x:c>
      <x:c r="G3033" s="50"/>
      <x:c r="H3033" s="50" t="str">
        <x:v>LONG</x:v>
      </x:c>
      <x:c r="I3033" s="71" t="n">
        <x:v>177.9101</x:v>
      </x:c>
      <x:c r="J3033" s="76" t="str">
        <x:v>SIP</x:v>
      </x:c>
    </x:row>
    <x:row r="3034">
      <x:c r="A3034" s="50" t="str">
        <x:v>019fdeca-8c2a-7103-9f8e-76e71a86a5c2</x:v>
      </x:c>
      <x:c r="B3034" s="50" t="str">
        <x:v>PSX</x:v>
      </x:c>
      <x:c r="C3034" s="70" t="n">
        <x:v>46242.023656770834</x:v>
      </x:c>
      <x:c r="D3034" s="50" t="str">
        <x:v>SWING_SETUP</x:v>
      </x:c>
      <x:c r="E3034" s="50" t="str">
        <x:v>PSX SWING SETUP</x:v>
      </x:c>
      <x:c r="F3034" s="50" t="str">
        <x:v>WATCH</x:v>
      </x:c>
      <x:c r="G3034" s="50"/>
      <x:c r="H3034" s="50" t="str">
        <x:v>LONG</x:v>
      </x:c>
      <x:c r="I3034" s="71" t="n">
        <x:v>203.91</x:v>
      </x:c>
      <x:c r="J3034" s="76" t="str">
        <x:v>SIP</x:v>
      </x:c>
    </x:row>
    <x:row r="3035">
      <x:c r="A3035" s="50" t="str">
        <x:v>019fdeca-8c30-7b73-8779-5c1cb1866ee7</x:v>
      </x:c>
      <x:c r="B3035" s="50" t="str">
        <x:v>ETN</x:v>
      </x:c>
      <x:c r="C3035" s="70" t="n">
        <x:v>46242.02365685185</x:v>
      </x:c>
      <x:c r="D3035" s="50" t="str">
        <x:v>SWING_SETUP</x:v>
      </x:c>
      <x:c r="E3035" s="50" t="str">
        <x:v>ETN SWING SETUP</x:v>
      </x:c>
      <x:c r="F3035" s="50" t="str">
        <x:v>WATCH</x:v>
      </x:c>
      <x:c r="G3035" s="50"/>
      <x:c r="H3035" s="50" t="str">
        <x:v>LONG</x:v>
      </x:c>
      <x:c r="I3035" s="71" t="n">
        <x:v>448.67</x:v>
      </x:c>
      <x:c r="J3035" s="76" t="str">
        <x:v>SIP</x:v>
      </x:c>
    </x:row>
    <x:row r="3036">
      <x:c r="A3036" s="50" t="str">
        <x:v>019fdeca-8c59-74c3-ab38-5bdf4fff487b</x:v>
      </x:c>
      <x:c r="B3036" s="50" t="str">
        <x:v>APA</x:v>
      </x:c>
      <x:c r="C3036" s="70" t="n">
        <x:v>46242.02365732639</x:v>
      </x:c>
      <x:c r="D3036" s="50" t="str">
        <x:v>SWING_SETUP</x:v>
      </x:c>
      <x:c r="E3036" s="50" t="str">
        <x:v>APA SWING SETUP</x:v>
      </x:c>
      <x:c r="F3036" s="50" t="str">
        <x:v>WATCH</x:v>
      </x:c>
      <x:c r="G3036" s="50"/>
      <x:c r="H3036" s="50" t="str">
        <x:v>LONG</x:v>
      </x:c>
      <x:c r="I3036" s="71" t="n">
        <x:v>37.648</x:v>
      </x:c>
      <x:c r="J3036" s="76" t="str">
        <x:v>SIP</x:v>
      </x:c>
    </x:row>
    <x:row r="3037">
      <x:c r="A3037" s="50" t="str">
        <x:v>019fdeca-8c5f-76a0-95c0-177ec39e9ea9</x:v>
      </x:c>
      <x:c r="B3037" s="50" t="str">
        <x:v>WELL</x:v>
      </x:c>
      <x:c r="C3037" s="70" t="n">
        <x:v>46242.02365739583</x:v>
      </x:c>
      <x:c r="D3037" s="50" t="str">
        <x:v>SWING_SETUP</x:v>
      </x:c>
      <x:c r="E3037" s="50" t="str">
        <x:v>WELL SWING SETUP</x:v>
      </x:c>
      <x:c r="F3037" s="50" t="str">
        <x:v>WATCH</x:v>
      </x:c>
      <x:c r="G3037" s="50"/>
      <x:c r="H3037" s="50" t="str">
        <x:v>LONG</x:v>
      </x:c>
      <x:c r="I3037" s="71" t="n">
        <x:v>236.92</x:v>
      </x:c>
      <x:c r="J3037" s="76" t="str">
        <x:v>SIP</x:v>
      </x:c>
    </x:row>
    <x:row r="3038">
      <x:c r="A3038" s="50" t="str">
        <x:v>019fdeca-8d29-7a1d-ad35-1443f02f5cad</x:v>
      </x:c>
      <x:c r="B3038" s="50" t="str">
        <x:v>NVDA</x:v>
      </x:c>
      <x:c r="C3038" s="70" t="n">
        <x:v>46242.02365973379</x:v>
      </x:c>
      <x:c r="D3038" s="50" t="str">
        <x:v>SWING_SETUP</x:v>
      </x:c>
      <x:c r="E3038" s="50" t="str">
        <x:v>NVDA SWING SETUP</x:v>
      </x:c>
      <x:c r="F3038" s="50" t="str">
        <x:v>WATCH</x:v>
      </x:c>
      <x:c r="G3038" s="50"/>
      <x:c r="H3038" s="50" t="str">
        <x:v>LONG</x:v>
      </x:c>
      <x:c r="I3038" s="71" t="n">
        <x:v>223.65</x:v>
      </x:c>
      <x:c r="J3038" s="76" t="str">
        <x:v>SIP</x:v>
      </x:c>
    </x:row>
    <x:row r="3039">
      <x:c r="A3039" s="50" t="str">
        <x:v>019fdeca-8d6c-7cef-bc49-c548344d62cd</x:v>
      </x:c>
      <x:c r="B3039" s="50" t="str">
        <x:v>SBUX</x:v>
      </x:c>
      <x:c r="C3039" s="70" t="n">
        <x:v>46242.02366050926</x:v>
      </x:c>
      <x:c r="D3039" s="50" t="str">
        <x:v>SWING_SETUP</x:v>
      </x:c>
      <x:c r="E3039" s="50" t="str">
        <x:v>SBUX SWING SETUP</x:v>
      </x:c>
      <x:c r="F3039" s="50" t="str">
        <x:v>WATCH</x:v>
      </x:c>
      <x:c r="G3039" s="50"/>
      <x:c r="H3039" s="50" t="str">
        <x:v>LONG</x:v>
      </x:c>
      <x:c r="I3039" s="71" t="n">
        <x:v>105.58</x:v>
      </x:c>
      <x:c r="J3039" s="76" t="str">
        <x:v>SIP</x:v>
      </x:c>
    </x:row>
    <x:row r="3040">
      <x:c r="A3040" s="50" t="str">
        <x:v>019fdeca-8d98-788c-8fa8-5d1bdea16975</x:v>
      </x:c>
      <x:c r="B3040" s="50" t="str">
        <x:v>OXY</x:v>
      </x:c>
      <x:c r="C3040" s="70" t="n">
        <x:v>46242.02366101852</x:v>
      </x:c>
      <x:c r="D3040" s="50" t="str">
        <x:v>SWING_SETUP</x:v>
      </x:c>
      <x:c r="E3040" s="50" t="str">
        <x:v>OXY SWING SETUP</x:v>
      </x:c>
      <x:c r="F3040" s="50" t="str">
        <x:v>WATCH</x:v>
      </x:c>
      <x:c r="G3040" s="50"/>
      <x:c r="H3040" s="50" t="str">
        <x:v>LONG</x:v>
      </x:c>
      <x:c r="I3040" s="71" t="n">
        <x:v>56.03</x:v>
      </x:c>
      <x:c r="J3040" s="76" t="str">
        <x:v>SIP</x:v>
      </x:c>
    </x:row>
    <x:row r="3041">
      <x:c r="A3041" s="50" t="str">
        <x:v>019fdecc-60a1-78d4-a117-e75289fab6ed</x:v>
      </x:c>
      <x:c r="B3041" s="50" t="str">
        <x:v>KO</x:v>
      </x:c>
      <x:c r="C3041" s="70" t="n">
        <x:v>46242.02504482639</x:v>
      </x:c>
      <x:c r="D3041" s="50" t="str">
        <x:v>SWING_SETUP</x:v>
      </x:c>
      <x:c r="E3041" s="50" t="str">
        <x:v>KO SWING SETUP</x:v>
      </x:c>
      <x:c r="F3041" s="50" t="str">
        <x:v>WATCH</x:v>
      </x:c>
      <x:c r="G3041" s="50"/>
      <x:c r="H3041" s="50" t="str">
        <x:v>LONG</x:v>
      </x:c>
      <x:c r="I3041" s="71" t="n">
        <x:v>87.09</x:v>
      </x:c>
      <x:c r="J3041" s="76" t="str">
        <x:v>SIP</x:v>
      </x:c>
    </x:row>
    <x:row r="3042">
      <x:c r="A3042" s="50" t="str">
        <x:v>019fdecd-4a5b-75ce-bf10-eb14b042e719</x:v>
      </x:c>
      <x:c r="B3042" s="50" t="str">
        <x:v>TGT</x:v>
      </x:c>
      <x:c r="C3042" s="70" t="n">
        <x:v>46242.02573734954</x:v>
      </x:c>
      <x:c r="D3042" s="50" t="str">
        <x:v>SWING_SETUP</x:v>
      </x:c>
      <x:c r="E3042" s="50" t="str">
        <x:v>TGT SWING SETUP</x:v>
      </x:c>
      <x:c r="F3042" s="50" t="str">
        <x:v>WATCH</x:v>
      </x:c>
      <x:c r="G3042" s="50"/>
      <x:c r="H3042" s="50" t="str">
        <x:v>LONG</x:v>
      </x:c>
      <x:c r="I3042" s="71" t="n">
        <x:v>149.5</x:v>
      </x:c>
      <x:c r="J3042" s="76" t="str">
        <x:v>SIP</x:v>
      </x:c>
    </x:row>
    <x:row r="3043">
      <x:c r="A3043" s="50" t="str">
        <x:v>019fdecd-4a64-77f3-89f8-ad793e8502be</x:v>
      </x:c>
      <x:c r="B3043" s="50" t="str">
        <x:v>BAC</x:v>
      </x:c>
      <x:c r="C3043" s="70" t="n">
        <x:v>46242.0257374537</x:v>
      </x:c>
      <x:c r="D3043" s="50" t="str">
        <x:v>SWING_SETUP</x:v>
      </x:c>
      <x:c r="E3043" s="50" t="str">
        <x:v>BAC SWING SETUP</x:v>
      </x:c>
      <x:c r="F3043" s="50" t="str">
        <x:v>WATCH</x:v>
      </x:c>
      <x:c r="G3043" s="50"/>
      <x:c r="H3043" s="50" t="str">
        <x:v>LONG</x:v>
      </x:c>
      <x:c r="I3043" s="71" t="n">
        <x:v>63.19</x:v>
      </x:c>
      <x:c r="J3043" s="76" t="str">
        <x:v>SIP</x:v>
      </x:c>
    </x:row>
    <x:row r="3044">
      <x:c r="A3044" s="50" t="str">
        <x:v>019fdecd-4a87-7d95-af6d-060a4aba17b3</x:v>
      </x:c>
      <x:c r="B3044" s="50" t="str">
        <x:v>ECL</x:v>
      </x:c>
      <x:c r="C3044" s="70" t="n">
        <x:v>46242.0257378588</x:v>
      </x:c>
      <x:c r="D3044" s="50" t="str">
        <x:v>SWING_SETUP</x:v>
      </x:c>
      <x:c r="E3044" s="50" t="str">
        <x:v>ECL SWING SETUP</x:v>
      </x:c>
      <x:c r="F3044" s="50" t="str">
        <x:v>WATCH</x:v>
      </x:c>
      <x:c r="G3044" s="50"/>
      <x:c r="H3044" s="50" t="str">
        <x:v>LONG</x:v>
      </x:c>
      <x:c r="I3044" s="71" t="n">
        <x:v>285.17</x:v>
      </x:c>
      <x:c r="J3044" s="76" t="str">
        <x:v>SIP</x:v>
      </x:c>
    </x:row>
    <x:row r="3045">
      <x:c r="A3045" s="50" t="str">
        <x:v>019fdecd-4abb-7996-8c17-d430fc11bf55</x:v>
      </x:c>
      <x:c r="B3045" s="50" t="str">
        <x:v>JD</x:v>
      </x:c>
      <x:c r="C3045" s="70" t="n">
        <x:v>46242.025738449076</x:v>
      </x:c>
      <x:c r="D3045" s="50" t="str">
        <x:v>SWING_SETUP</x:v>
      </x:c>
      <x:c r="E3045" s="50" t="str">
        <x:v>JD SWING SETUP</x:v>
      </x:c>
      <x:c r="F3045" s="50" t="str">
        <x:v>WATCH</x:v>
      </x:c>
      <x:c r="G3045" s="50"/>
      <x:c r="H3045" s="50" t="str">
        <x:v>LONG</x:v>
      </x:c>
      <x:c r="I3045" s="71" t="n">
        <x:v>33</x:v>
      </x:c>
      <x:c r="J3045" s="76" t="str">
        <x:v>SIP</x:v>
      </x:c>
    </x:row>
    <x:row r="3046">
      <x:c r="A3046" s="50" t="str">
        <x:v>019fdecd-4b0f-7654-9492-15e0e78c6303</x:v>
      </x:c>
      <x:c r="B3046" s="50" t="str">
        <x:v>LMT</x:v>
      </x:c>
      <x:c r="C3046" s="70" t="n">
        <x:v>46242.02573943287</x:v>
      </x:c>
      <x:c r="D3046" s="50" t="str">
        <x:v>SWING_SETUP</x:v>
      </x:c>
      <x:c r="E3046" s="50" t="str">
        <x:v>LMT SWING SETUP</x:v>
      </x:c>
      <x:c r="F3046" s="50" t="str">
        <x:v>WATCH</x:v>
      </x:c>
      <x:c r="G3046" s="50"/>
      <x:c r="H3046" s="50" t="str">
        <x:v>LONG</x:v>
      </x:c>
      <x:c r="I3046" s="71" t="n">
        <x:v>587.92</x:v>
      </x:c>
      <x:c r="J3046" s="76" t="str">
        <x:v>SIP</x:v>
      </x:c>
    </x:row>
    <x:row r="3047">
      <x:c r="A3047" s="50" t="str">
        <x:v>019fdecd-4c3e-7bf0-8f60-a88ac3db8d8d</x:v>
      </x:c>
      <x:c r="B3047" s="50" t="str">
        <x:v>ACHV</x:v>
      </x:c>
      <x:c r="C3047" s="70" t="n">
        <x:v>46242.02574293981</x:v>
      </x:c>
      <x:c r="D3047" s="50" t="str">
        <x:v>SWING_SETUP</x:v>
      </x:c>
      <x:c r="E3047" s="50" t="str">
        <x:v>ACHV SWING SETUP</x:v>
      </x:c>
      <x:c r="F3047" s="50" t="str">
        <x:v>WATCH</x:v>
      </x:c>
      <x:c r="G3047" s="50"/>
      <x:c r="H3047" s="50" t="str">
        <x:v>LONG</x:v>
      </x:c>
      <x:c r="I3047" s="71" t="n">
        <x:v>6.65</x:v>
      </x:c>
      <x:c r="J3047" s="76" t="str">
        <x:v>SIP</x:v>
      </x:c>
    </x:row>
    <x:row r="3048">
      <x:c r="A3048" s="50" t="str">
        <x:v>019fdecd-4c60-7a63-9813-55936585cf93</x:v>
      </x:c>
      <x:c r="B3048" s="50" t="str">
        <x:v>MMM</x:v>
      </x:c>
      <x:c r="C3048" s="70" t="n">
        <x:v>46242.02574333333</x:v>
      </x:c>
      <x:c r="D3048" s="50" t="str">
        <x:v>SWING_SETUP</x:v>
      </x:c>
      <x:c r="E3048" s="50" t="str">
        <x:v>MMM SWING SETUP</x:v>
      </x:c>
      <x:c r="F3048" s="50" t="str">
        <x:v>WATCH</x:v>
      </x:c>
      <x:c r="G3048" s="50"/>
      <x:c r="H3048" s="50" t="str">
        <x:v>LONG</x:v>
      </x:c>
      <x:c r="I3048" s="71" t="n">
        <x:v>182.89</x:v>
      </x:c>
      <x:c r="J3048" s="76" t="str">
        <x:v>SIP</x:v>
      </x:c>
    </x:row>
    <x:row r="3049">
      <x:c r="A3049" s="50" t="str">
        <x:v>019fdecd-4c88-76a5-91a8-6fc492f4112e</x:v>
      </x:c>
      <x:c r="B3049" s="50" t="str">
        <x:v>APH</x:v>
      </x:c>
      <x:c r="C3049" s="70" t="n">
        <x:v>46242.025743796294</x:v>
      </x:c>
      <x:c r="D3049" s="50" t="str">
        <x:v>SWING_SETUP</x:v>
      </x:c>
      <x:c r="E3049" s="50" t="str">
        <x:v>APH SWING SETUP</x:v>
      </x:c>
      <x:c r="F3049" s="50" t="str">
        <x:v>WATCH</x:v>
      </x:c>
      <x:c r="G3049" s="50"/>
      <x:c r="H3049" s="50" t="str">
        <x:v>LONG</x:v>
      </x:c>
      <x:c r="I3049" s="71" t="n">
        <x:v>169.18</x:v>
      </x:c>
      <x:c r="J3049" s="76" t="str">
        <x:v>SIP</x:v>
      </x:c>
    </x:row>
    <x:row r="3050">
      <x:c r="A3050" s="50" t="str">
        <x:v>019fdecd-4cc4-72be-bdcf-1748135eb2fe</x:v>
      </x:c>
      <x:c r="B3050" s="50" t="str">
        <x:v>XOM</x:v>
      </x:c>
      <x:c r="C3050" s="70" t="n">
        <x:v>46242.02574449074</x:v>
      </x:c>
      <x:c r="D3050" s="50" t="str">
        <x:v>SWING_SETUP</x:v>
      </x:c>
      <x:c r="E3050" s="50" t="str">
        <x:v>XOM SWING SETUP</x:v>
      </x:c>
      <x:c r="F3050" s="50" t="str">
        <x:v>WATCH</x:v>
      </x:c>
      <x:c r="G3050" s="50"/>
      <x:c r="H3050" s="50" t="str">
        <x:v>LONG</x:v>
      </x:c>
      <x:c r="I3050" s="71" t="n">
        <x:v>153.1</x:v>
      </x:c>
      <x:c r="J3050" s="76" t="str">
        <x:v>SIP</x:v>
      </x:c>
    </x:row>
    <x:row r="3051">
      <x:c r="A3051" s="50" t="str">
        <x:v>019fdecd-4cd9-7b5b-a5d9-adad9f4c24d7</x:v>
      </x:c>
      <x:c r="B3051" s="50" t="str">
        <x:v>MDLZ</x:v>
      </x:c>
      <x:c r="C3051" s="70" t="n">
        <x:v>46242.02574473379</x:v>
      </x:c>
      <x:c r="D3051" s="50" t="str">
        <x:v>SWING_SETUP</x:v>
      </x:c>
      <x:c r="E3051" s="50" t="str">
        <x:v>MDLZ SWING SETUP</x:v>
      </x:c>
      <x:c r="F3051" s="50" t="str">
        <x:v>WATCH</x:v>
      </x:c>
      <x:c r="G3051" s="50"/>
      <x:c r="H3051" s="50" t="str">
        <x:v>LONG</x:v>
      </x:c>
      <x:c r="I3051" s="71" t="n">
        <x:v>62.61</x:v>
      </x:c>
      <x:c r="J3051" s="76" t="str">
        <x:v>SIP</x:v>
      </x:c>
    </x:row>
    <x:row r="3052">
      <x:c r="A3052" s="50" t="str">
        <x:v>019fdece-336b-7327-b7e9-53cbde9f6578</x:v>
      </x:c>
      <x:c r="B3052" s="50" t="str">
        <x:v>SNOW</x:v>
      </x:c>
      <x:c r="C3052" s="70" t="n">
        <x:v>46242.02642790509</x:v>
      </x:c>
      <x:c r="D3052" s="50" t="str">
        <x:v>SWING_SETUP</x:v>
      </x:c>
      <x:c r="E3052" s="50" t="str">
        <x:v>SNOW SWING SETUP</x:v>
      </x:c>
      <x:c r="F3052" s="50" t="str">
        <x:v>WATCH</x:v>
      </x:c>
      <x:c r="G3052" s="50"/>
      <x:c r="H3052" s="50" t="str">
        <x:v>LONG</x:v>
      </x:c>
      <x:c r="I3052" s="71" t="n">
        <x:v>330.1</x:v>
      </x:c>
      <x:c r="J3052" s="76" t="str">
        <x:v>SIP</x:v>
      </x:c>
    </x:row>
    <x:row r="3053">
      <x:c r="A3053" s="50" t="str">
        <x:v>019fdecf-1f51-7799-80fd-7b578d5dff11</x:v>
      </x:c>
      <x:c r="B3053" s="50" t="str">
        <x:v>TMDX</x:v>
      </x:c>
      <x:c r="C3053" s="70" t="n">
        <x:v>46242.027126863424</x:v>
      </x:c>
      <x:c r="D3053" s="50" t="str">
        <x:v>SWING_SETUP</x:v>
      </x:c>
      <x:c r="E3053" s="50" t="str">
        <x:v>TMDX SWING SETUP</x:v>
      </x:c>
      <x:c r="F3053" s="50" t="str">
        <x:v>WATCH</x:v>
      </x:c>
      <x:c r="G3053" s="50"/>
      <x:c r="H3053" s="50" t="str">
        <x:v>LONG</x:v>
      </x:c>
      <x:c r="I3053" s="71" t="n">
        <x:v>83.5</x:v>
      </x:c>
      <x:c r="J3053" s="76" t="str">
        <x:v>SIP</x:v>
      </x:c>
    </x:row>
    <x:row r="3054">
      <x:c r="A3054" s="50" t="str">
        <x:v>019fdecf-1f5d-7763-9bb5-703cac4c0290</x:v>
      </x:c>
      <x:c r="B3054" s="50" t="str">
        <x:v>SCHW</x:v>
      </x:c>
      <x:c r="C3054" s="70" t="n">
        <x:v>46242.027127002315</x:v>
      </x:c>
      <x:c r="D3054" s="50" t="str">
        <x:v>SWING_SETUP</x:v>
      </x:c>
      <x:c r="E3054" s="50" t="str">
        <x:v>SCHW SWING SETUP</x:v>
      </x:c>
      <x:c r="F3054" s="50" t="str">
        <x:v>WATCH</x:v>
      </x:c>
      <x:c r="G3054" s="50"/>
      <x:c r="H3054" s="50" t="str">
        <x:v>LONG</x:v>
      </x:c>
      <x:c r="I3054" s="71" t="n">
        <x:v>107.6</x:v>
      </x:c>
      <x:c r="J3054" s="76" t="str">
        <x:v>SIP</x:v>
      </x:c>
    </x:row>
    <x:row r="3055">
      <x:c r="A3055" s="50" t="str">
        <x:v>019fdecf-1fc2-70fc-a024-2471ba23e004</x:v>
      </x:c>
      <x:c r="B3055" s="50" t="str">
        <x:v>BKNG</x:v>
      </x:c>
      <x:c r="C3055" s="70" t="n">
        <x:v>46242.0271281713</x:v>
      </x:c>
      <x:c r="D3055" s="50" t="str">
        <x:v>SWING_SETUP</x:v>
      </x:c>
      <x:c r="E3055" s="50" t="str">
        <x:v>BKNG SWING SETUP</x:v>
      </x:c>
      <x:c r="F3055" s="50" t="str">
        <x:v>WATCH</x:v>
      </x:c>
      <x:c r="G3055" s="50"/>
      <x:c r="H3055" s="50" t="str">
        <x:v>LONG</x:v>
      </x:c>
      <x:c r="I3055" s="71" t="n">
        <x:v>213.8621</x:v>
      </x:c>
      <x:c r="J3055" s="76" t="str">
        <x:v>SIP</x:v>
      </x:c>
    </x:row>
    <x:row r="3056">
      <x:c r="A3056" s="50" t="str">
        <x:v>019fdecf-211c-7e48-9af3-ac047fe3f8f4</x:v>
      </x:c>
      <x:c r="B3056" s="50" t="str">
        <x:v>MRK</x:v>
      </x:c>
      <x:c r="C3056" s="70" t="n">
        <x:v>46242.02713217593</x:v>
      </x:c>
      <x:c r="D3056" s="50" t="str">
        <x:v>SWING_SETUP</x:v>
      </x:c>
      <x:c r="E3056" s="50" t="str">
        <x:v>MRK SWING SETUP</x:v>
      </x:c>
      <x:c r="F3056" s="50" t="str">
        <x:v>WATCH</x:v>
      </x:c>
      <x:c r="G3056" s="50"/>
      <x:c r="H3056" s="50" t="str">
        <x:v>LONG</x:v>
      </x:c>
      <x:c r="I3056" s="71" t="n">
        <x:v>128.57</x:v>
      </x:c>
      <x:c r="J3056" s="76" t="str">
        <x:v>SIP</x:v>
      </x:c>
    </x:row>
    <x:row r="3057">
      <x:c r="A3057" s="50" t="str">
        <x:v>019fdecf-213d-7c70-b8d9-2dae19b48646</x:v>
      </x:c>
      <x:c r="B3057" s="50" t="str">
        <x:v>DE</x:v>
      </x:c>
      <x:c r="C3057" s="70" t="n">
        <x:v>46242.02713255787</x:v>
      </x:c>
      <x:c r="D3057" s="50" t="str">
        <x:v>SWING_SETUP</x:v>
      </x:c>
      <x:c r="E3057" s="50" t="str">
        <x:v>DE SWING SETUP</x:v>
      </x:c>
      <x:c r="F3057" s="50" t="str">
        <x:v>WATCH</x:v>
      </x:c>
      <x:c r="G3057" s="50"/>
      <x:c r="H3057" s="50" t="str">
        <x:v>LONG</x:v>
      </x:c>
      <x:c r="I3057" s="71" t="n">
        <x:v>620.83</x:v>
      </x:c>
      <x:c r="J3057" s="76" t="str">
        <x:v>SIP</x:v>
      </x:c>
    </x:row>
    <x:row r="3058">
      <x:c r="A3058" s="50" t="str">
        <x:v>019fdecf-225c-71a4-af0f-d1dfc649e5a2</x:v>
      </x:c>
      <x:c r="B3058" s="50" t="str">
        <x:v>RTX</x:v>
      </x:c>
      <x:c r="C3058" s="70" t="n">
        <x:v>46242.02713587963</x:v>
      </x:c>
      <x:c r="D3058" s="50" t="str">
        <x:v>SWING_SETUP</x:v>
      </x:c>
      <x:c r="E3058" s="50" t="str">
        <x:v>RTX SWING SETUP</x:v>
      </x:c>
      <x:c r="F3058" s="50" t="str">
        <x:v>WATCH</x:v>
      </x:c>
      <x:c r="G3058" s="50"/>
      <x:c r="H3058" s="50" t="str">
        <x:v>LONG</x:v>
      </x:c>
      <x:c r="I3058" s="71" t="n">
        <x:v>223.65</x:v>
      </x:c>
      <x:c r="J3058" s="76" t="str">
        <x:v>SIP</x:v>
      </x:c>
    </x:row>
    <x:row r="3059">
      <x:c r="A3059" s="50" t="str">
        <x:v>019fdecf-2269-770d-95a0-1a0575e17f82</x:v>
      </x:c>
      <x:c r="B3059" s="50" t="str">
        <x:v>BLK</x:v>
      </x:c>
      <x:c r="C3059" s="70" t="n">
        <x:v>46242.02713603009</x:v>
      </x:c>
      <x:c r="D3059" s="50" t="str">
        <x:v>SWING_SETUP</x:v>
      </x:c>
      <x:c r="E3059" s="50" t="str">
        <x:v>BLK SWING SETUP</x:v>
      </x:c>
      <x:c r="F3059" s="50" t="str">
        <x:v>WATCH</x:v>
      </x:c>
      <x:c r="G3059" s="50"/>
      <x:c r="H3059" s="50" t="str">
        <x:v>LONG</x:v>
      </x:c>
      <x:c r="I3059" s="71" t="n">
        <x:v>1136.4</x:v>
      </x:c>
      <x:c r="J3059" s="76" t="str">
        <x:v>SIP</x:v>
      </x:c>
    </x:row>
    <x:row r="3060">
      <x:c r="A3060" s="50" t="str">
        <x:v>019fdecf-229f-7d85-9566-8de9d41e206f</x:v>
      </x:c>
      <x:c r="B3060" s="50" t="str">
        <x:v>WFC</x:v>
      </x:c>
      <x:c r="C3060" s="70" t="n">
        <x:v>46242.027136655095</x:v>
      </x:c>
      <x:c r="D3060" s="50" t="str">
        <x:v>SWING_SETUP</x:v>
      </x:c>
      <x:c r="E3060" s="50" t="str">
        <x:v>WFC SWING SETUP</x:v>
      </x:c>
      <x:c r="F3060" s="50" t="str">
        <x:v>WATCH</x:v>
      </x:c>
      <x:c r="G3060" s="50"/>
      <x:c r="H3060" s="50" t="str">
        <x:v>LONG</x:v>
      </x:c>
      <x:c r="I3060" s="71" t="n">
        <x:v>87.235</x:v>
      </x:c>
      <x:c r="J3060" s="76" t="str">
        <x:v>SIP</x:v>
      </x:c>
    </x:row>
    <x:row r="3061">
      <x:c r="A3061" s="50" t="str">
        <x:v>019fded0-09be-736f-8e14-a17eafed5884</x:v>
      </x:c>
      <x:c r="B3061" s="50" t="str">
        <x:v>RCL</x:v>
      </x:c>
      <x:c r="C3061" s="70" t="n">
        <x:v>46242.02782144676</x:v>
      </x:c>
      <x:c r="D3061" s="50" t="str">
        <x:v>SWING_SETUP</x:v>
      </x:c>
      <x:c r="E3061" s="50" t="str">
        <x:v>RCL SWING SETUP</x:v>
      </x:c>
      <x:c r="F3061" s="50" t="str">
        <x:v>WATCH</x:v>
      </x:c>
      <x:c r="G3061" s="50"/>
      <x:c r="H3061" s="50" t="str">
        <x:v>LONG</x:v>
      </x:c>
      <x:c r="I3061" s="71" t="n">
        <x:v>320</x:v>
      </x:c>
      <x:c r="J3061" s="76" t="str">
        <x:v>SIP</x:v>
      </x:c>
    </x:row>
    <x:row r="3062">
      <x:c r="A3062" s="50" t="str">
        <x:v>019fded0-09ef-70dc-a0ef-2e9f13bd655f</x:v>
      </x:c>
      <x:c r="B3062" s="50" t="str">
        <x:v>BABA</x:v>
      </x:c>
      <x:c r="C3062" s="70" t="n">
        <x:v>46242.02782202546</x:v>
      </x:c>
      <x:c r="D3062" s="50" t="str">
        <x:v>SWING_SETUP</x:v>
      </x:c>
      <x:c r="E3062" s="50" t="str">
        <x:v>BABA SWING SETUP</x:v>
      </x:c>
      <x:c r="F3062" s="50" t="str">
        <x:v>WATCH</x:v>
      </x:c>
      <x:c r="G3062" s="50"/>
      <x:c r="H3062" s="50" t="str">
        <x:v>LONG</x:v>
      </x:c>
      <x:c r="I3062" s="71" t="n">
        <x:v>128.3</x:v>
      </x:c>
      <x:c r="J3062" s="76" t="str">
        <x:v>SIP</x:v>
      </x:c>
    </x:row>
    <x:row r="3063">
      <x:c r="A3063" s="50" t="str">
        <x:v>019fded0-0a04-7b3d-8fa7-47d64991f839</x:v>
      </x:c>
      <x:c r="B3063" s="50" t="str">
        <x:v>UEC</x:v>
      </x:c>
      <x:c r="C3063" s="70" t="n">
        <x:v>46242.027822268516</x:v>
      </x:c>
      <x:c r="D3063" s="50" t="str">
        <x:v>SWING_SETUP</x:v>
      </x:c>
      <x:c r="E3063" s="50" t="str">
        <x:v>UEC SWING SETUP</x:v>
      </x:c>
      <x:c r="F3063" s="50" t="str">
        <x:v>WATCH</x:v>
      </x:c>
      <x:c r="G3063" s="50"/>
      <x:c r="H3063" s="50" t="str">
        <x:v>LONG</x:v>
      </x:c>
      <x:c r="I3063" s="71" t="n">
        <x:v>11.2707</x:v>
      </x:c>
      <x:c r="J3063" s="76" t="str">
        <x:v>SIP</x:v>
      </x:c>
    </x:row>
    <x:row r="3064">
      <x:c r="A3064" s="50" t="str">
        <x:v>019fded0-0a19-7a44-91d5-2fd190022fc0</x:v>
      </x:c>
      <x:c r="B3064" s="50" t="str">
        <x:v>BLFS</x:v>
      </x:c>
      <x:c r="C3064" s="70" t="n">
        <x:v>46242.027822511576</x:v>
      </x:c>
      <x:c r="D3064" s="50" t="str">
        <x:v>SWING_SETUP</x:v>
      </x:c>
      <x:c r="E3064" s="50" t="str">
        <x:v>BLFS SWING SETUP</x:v>
      </x:c>
      <x:c r="F3064" s="50" t="str">
        <x:v>WATCH</x:v>
      </x:c>
      <x:c r="G3064" s="50"/>
      <x:c r="H3064" s="50" t="str">
        <x:v>LONG</x:v>
      </x:c>
      <x:c r="I3064" s="71" t="n">
        <x:v>34.645</x:v>
      </x:c>
      <x:c r="J3064" s="76" t="str">
        <x:v>SIP</x:v>
      </x:c>
    </x:row>
    <x:row r="3065">
      <x:c r="A3065" s="50" t="str">
        <x:v>019fded1-dd1f-7469-b9c5-e5fbc5617c30</x:v>
      </x:c>
      <x:c r="B3065" s="50" t="str">
        <x:v>ABT</x:v>
      </x:c>
      <x:c r="C3065" s="70" t="n">
        <x:v>46242.02920628472</x:v>
      </x:c>
      <x:c r="D3065" s="50" t="str">
        <x:v>SWING_SETUP</x:v>
      </x:c>
      <x:c r="E3065" s="50" t="str">
        <x:v>ABT SWING SETUP</x:v>
      </x:c>
      <x:c r="F3065" s="50" t="str">
        <x:v>WATCH</x:v>
      </x:c>
      <x:c r="G3065" s="50"/>
      <x:c r="H3065" s="50" t="str">
        <x:v>LONG</x:v>
      </x:c>
      <x:c r="I3065" s="71" t="n">
        <x:v>107.81</x:v>
      </x:c>
      <x:c r="J3065" s="76" t="str">
        <x:v>SIP</x:v>
      </x:c>
    </x:row>
    <x:row r="3066">
      <x:c r="A3066" s="50" t="str">
        <x:v>019fded1-ddbf-746a-bb0a-1d0977d74287</x:v>
      </x:c>
      <x:c r="B3066" s="50" t="str">
        <x:v>VZ</x:v>
      </x:c>
      <x:c r="C3066" s="70" t="n">
        <x:v>46242.02920813658</x:v>
      </x:c>
      <x:c r="D3066" s="50" t="str">
        <x:v>SWING_SETUP</x:v>
      </x:c>
      <x:c r="E3066" s="50" t="str">
        <x:v>VZ SWING SETUP</x:v>
      </x:c>
      <x:c r="F3066" s="50" t="str">
        <x:v>WATCH</x:v>
      </x:c>
      <x:c r="G3066" s="50"/>
      <x:c r="H3066" s="50" t="str">
        <x:v>LONG</x:v>
      </x:c>
      <x:c r="I3066" s="71" t="n">
        <x:v>47.01</x:v>
      </x:c>
      <x:c r="J3066" s="76" t="str">
        <x:v>SIP</x:v>
      </x:c>
    </x:row>
    <x:row r="3067">
      <x:c r="A3067" s="50" t="str">
        <x:v>019fded1-de1a-74a3-9dc5-37ef14112aa8</x:v>
      </x:c>
      <x:c r="B3067" s="50" t="str">
        <x:v>NXE</x:v>
      </x:c>
      <x:c r="C3067" s="70" t="n">
        <x:v>46242.029209189815</x:v>
      </x:c>
      <x:c r="D3067" s="50" t="str">
        <x:v>SWING_SETUP</x:v>
      </x:c>
      <x:c r="E3067" s="50" t="str">
        <x:v>NXE SWING SETUP</x:v>
      </x:c>
      <x:c r="F3067" s="50" t="str">
        <x:v>WATCH</x:v>
      </x:c>
      <x:c r="G3067" s="50"/>
      <x:c r="H3067" s="50" t="str">
        <x:v>LONG</x:v>
      </x:c>
      <x:c r="I3067" s="71" t="n">
        <x:v>10.49</x:v>
      </x:c>
      <x:c r="J3067" s="76" t="str">
        <x:v>SIP</x:v>
      </x:c>
    </x:row>
    <x:row r="3068">
      <x:c r="A3068" s="50" t="str">
        <x:v>019fded1-df6e-7314-b6ab-ea631e27315e</x:v>
      </x:c>
      <x:c r="B3068" s="50" t="str">
        <x:v>SHW</x:v>
      </x:c>
      <x:c r="C3068" s="70" t="n">
        <x:v>46242.029213125</x:v>
      </x:c>
      <x:c r="D3068" s="50" t="str">
        <x:v>SWING_SETUP</x:v>
      </x:c>
      <x:c r="E3068" s="50" t="str">
        <x:v>SHW SWING SETUP</x:v>
      </x:c>
      <x:c r="F3068" s="50" t="str">
        <x:v>WATCH</x:v>
      </x:c>
      <x:c r="G3068" s="50"/>
      <x:c r="H3068" s="50" t="str">
        <x:v>LONG</x:v>
      </x:c>
      <x:c r="I3068" s="71" t="n">
        <x:v>369.73</x:v>
      </x:c>
      <x:c r="J3068" s="76" t="str">
        <x:v>SIP</x:v>
      </x:c>
    </x:row>
    <x:row r="3069">
      <x:c r="A3069" s="50" t="str">
        <x:v>019fded1-df9c-7a13-8370-9fc6b953b9e2</x:v>
      </x:c>
      <x:c r="B3069" s="50" t="str">
        <x:v>SE</x:v>
      </x:c>
      <x:c r="C3069" s="70" t="n">
        <x:v>46242.029213657406</x:v>
      </x:c>
      <x:c r="D3069" s="50" t="str">
        <x:v>SWING_SETUP</x:v>
      </x:c>
      <x:c r="E3069" s="50" t="str">
        <x:v>SE SWING SETUP</x:v>
      </x:c>
      <x:c r="F3069" s="50" t="str">
        <x:v>WATCH</x:v>
      </x:c>
      <x:c r="G3069" s="50"/>
      <x:c r="H3069" s="50" t="str">
        <x:v>LONG</x:v>
      </x:c>
      <x:c r="I3069" s="71" t="n">
        <x:v>113.43</x:v>
      </x:c>
      <x:c r="J3069" s="76" t="str">
        <x:v>SIP</x:v>
      </x:c>
    </x:row>
    <x:row r="3070">
      <x:c r="A3070" s="50" t="str">
        <x:v>019fded1-e027-78d4-945c-e64645568b36</x:v>
      </x:c>
      <x:c r="B3070" s="50" t="str">
        <x:v>NUE</x:v>
      </x:c>
      <x:c r="C3070" s="70" t="n">
        <x:v>46242.02921525463</x:v>
      </x:c>
      <x:c r="D3070" s="50" t="str">
        <x:v>SWING_SETUP</x:v>
      </x:c>
      <x:c r="E3070" s="50" t="str">
        <x:v>NUE SWING SETUP</x:v>
      </x:c>
      <x:c r="F3070" s="50" t="str">
        <x:v>WATCH</x:v>
      </x:c>
      <x:c r="G3070" s="50"/>
      <x:c r="H3070" s="50" t="str">
        <x:v>LONG</x:v>
      </x:c>
      <x:c r="I3070" s="71" t="n">
        <x:v>272.57</x:v>
      </x:c>
      <x:c r="J3070" s="76" t="str">
        <x:v>SIP</x:v>
      </x:c>
    </x:row>
    <x:row r="3071">
      <x:c r="A3071" s="50" t="str">
        <x:v>019fded1-e09f-79df-8d24-69475be4cf9f</x:v>
      </x:c>
      <x:c r="B3071" s="50" t="str">
        <x:v>PM</x:v>
      </x:c>
      <x:c r="C3071" s="70" t="n">
        <x:v>46242.02921665509</x:v>
      </x:c>
      <x:c r="D3071" s="50" t="str">
        <x:v>SWING_SETUP</x:v>
      </x:c>
      <x:c r="E3071" s="50" t="str">
        <x:v>PM SWING SETUP</x:v>
      </x:c>
      <x:c r="F3071" s="50" t="str">
        <x:v>WATCH</x:v>
      </x:c>
      <x:c r="G3071" s="50"/>
      <x:c r="H3071" s="50" t="str">
        <x:v>LONG</x:v>
      </x:c>
      <x:c r="I3071" s="71" t="n">
        <x:v>189.57</x:v>
      </x:c>
      <x:c r="J3071" s="76" t="str">
        <x:v>SIP</x:v>
      </x:c>
    </x:row>
    <x:row r="3072">
      <x:c r="A3072" s="50" t="str">
        <x:v>019fded2-c831-7b30-afa9-69d95f18818c</x:v>
      </x:c>
      <x:c r="B3072" s="50" t="str">
        <x:v>TMO</x:v>
      </x:c>
      <x:c r="C3072" s="70" t="n">
        <x:v>46242.02990277778</x:v>
      </x:c>
      <x:c r="D3072" s="50" t="str">
        <x:v>SWING_SETUP</x:v>
      </x:c>
      <x:c r="E3072" s="50" t="str">
        <x:v>TMO SWING SETUP</x:v>
      </x:c>
      <x:c r="F3072" s="50" t="str">
        <x:v>WATCH</x:v>
      </x:c>
      <x:c r="G3072" s="50"/>
      <x:c r="H3072" s="50" t="str">
        <x:v>LONG</x:v>
      </x:c>
      <x:c r="I3072" s="71" t="n">
        <x:v>594</x:v>
      </x:c>
      <x:c r="J3072" s="76" t="str">
        <x:v>SIP</x:v>
      </x:c>
    </x:row>
    <x:row r="3073">
      <x:c r="A3073" s="50" t="str">
        <x:v>019fded2-c8ac-7fa1-a0bb-ba2f7ddbbd8a</x:v>
      </x:c>
      <x:c r="B3073" s="50" t="str">
        <x:v>PFE</x:v>
      </x:c>
      <x:c r="C3073" s="70" t="n">
        <x:v>46242.02990421296</x:v>
      </x:c>
      <x:c r="D3073" s="50" t="str">
        <x:v>SWING_SETUP</x:v>
      </x:c>
      <x:c r="E3073" s="50" t="str">
        <x:v>PFE SWING SETUP</x:v>
      </x:c>
      <x:c r="F3073" s="50" t="str">
        <x:v>WATCH</x:v>
      </x:c>
      <x:c r="G3073" s="50"/>
      <x:c r="H3073" s="50" t="str">
        <x:v>LONG</x:v>
      </x:c>
      <x:c r="I3073" s="71" t="n">
        <x:v>26.6231</x:v>
      </x:c>
      <x:c r="J3073" s="76" t="str">
        <x:v>SIP</x:v>
      </x:c>
    </x:row>
    <x:row r="3074">
      <x:c r="A3074" s="50" t="str">
        <x:v>019fded4-9cd2-763b-b795-81083babf815</x:v>
      </x:c>
      <x:c r="B3074" s="50" t="str">
        <x:v>CROX</x:v>
      </x:c>
      <x:c r="C3074" s="70" t="n">
        <x:v>46242.03129131944</x:v>
      </x:c>
      <x:c r="D3074" s="50" t="str">
        <x:v>SWING_SETUP</x:v>
      </x:c>
      <x:c r="E3074" s="50" t="str">
        <x:v>CROX SWING SETUP</x:v>
      </x:c>
      <x:c r="F3074" s="50" t="str">
        <x:v>WATCH</x:v>
      </x:c>
      <x:c r="G3074" s="50"/>
      <x:c r="H3074" s="50" t="str">
        <x:v>LONG</x:v>
      </x:c>
      <x:c r="I3074" s="71" t="n">
        <x:v>136.56</x:v>
      </x:c>
      <x:c r="J3074" s="76" t="str">
        <x:v>SIP</x:v>
      </x:c>
    </x:row>
    <x:row r="3075">
      <x:c r="A3075" s="50" t="str">
        <x:v>019fded4-9dc2-7d10-af56-5c07cb756610</x:v>
      </x:c>
      <x:c r="B3075" s="50" t="str">
        <x:v>DLR</x:v>
      </x:c>
      <x:c r="C3075" s="70" t="n">
        <x:v>46242.03129409722</x:v>
      </x:c>
      <x:c r="D3075" s="50" t="str">
        <x:v>SWING_SETUP</x:v>
      </x:c>
      <x:c r="E3075" s="50" t="str">
        <x:v>DLR SWING SETUP</x:v>
      </x:c>
      <x:c r="F3075" s="50" t="str">
        <x:v>WATCH</x:v>
      </x:c>
      <x:c r="G3075" s="50"/>
      <x:c r="H3075" s="50" t="str">
        <x:v>LONG</x:v>
      </x:c>
      <x:c r="I3075" s="71" t="n">
        <x:v>193.8</x:v>
      </x:c>
      <x:c r="J3075" s="76" t="str">
        <x:v>SIP</x:v>
      </x:c>
    </x:row>
    <x:row r="3076">
      <x:c r="A3076" s="50" t="str">
        <x:v>019fded4-9e78-7239-b88b-4c3240b55fc1</x:v>
      </x:c>
      <x:c r="B3076" s="50" t="str">
        <x:v>AMGN</x:v>
      </x:c>
      <x:c r="C3076" s="70" t="n">
        <x:v>46242.031296203706</x:v>
      </x:c>
      <x:c r="D3076" s="50" t="str">
        <x:v>SWING_SETUP</x:v>
      </x:c>
      <x:c r="E3076" s="50" t="str">
        <x:v>AMGN SWING SETUP</x:v>
      </x:c>
      <x:c r="F3076" s="50" t="str">
        <x:v>WATCH</x:v>
      </x:c>
      <x:c r="G3076" s="50"/>
      <x:c r="H3076" s="50" t="str">
        <x:v>LONG</x:v>
      </x:c>
      <x:c r="I3076" s="71" t="n">
        <x:v>410.35</x:v>
      </x:c>
      <x:c r="J3076" s="76" t="str">
        <x:v>SIP</x:v>
      </x:c>
    </x:row>
    <x:row r="3077">
      <x:c r="A3077" s="50" t="str">
        <x:v>019fded5-8827-7584-b836-1168216d8ad0</x:v>
      </x:c>
      <x:c r="B3077" s="50" t="str">
        <x:v>JPM</x:v>
      </x:c>
      <x:c r="C3077" s="70" t="n">
        <x:v>46242.031988599534</x:v>
      </x:c>
      <x:c r="D3077" s="50" t="str">
        <x:v>SWING_SETUP</x:v>
      </x:c>
      <x:c r="E3077" s="50" t="str">
        <x:v>JPM SWING SETUP</x:v>
      </x:c>
      <x:c r="F3077" s="50" t="str">
        <x:v>WATCH</x:v>
      </x:c>
      <x:c r="G3077" s="50"/>
      <x:c r="H3077" s="50" t="str">
        <x:v>LONG</x:v>
      </x:c>
      <x:c r="I3077" s="71" t="n">
        <x:v>357.4511</x:v>
      </x:c>
      <x:c r="J3077" s="76" t="str">
        <x:v>SIP</x:v>
      </x:c>
    </x:row>
    <x:row r="3078">
      <x:c r="A3078" s="50" t="str">
        <x:v>019fded6-71c4-71f7-a68d-7c51e92614c3</x:v>
      </x:c>
      <x:c r="B3078" s="50" t="str">
        <x:v>ETHA</x:v>
      </x:c>
      <x:c r="C3078" s="70" t="n">
        <x:v>46242.03268077546</x:v>
      </x:c>
      <x:c r="D3078" s="50" t="str">
        <x:v>SWING_SETUP</x:v>
      </x:c>
      <x:c r="E3078" s="50" t="str">
        <x:v>ETHA SWING SETUP</x:v>
      </x:c>
      <x:c r="F3078" s="50" t="str">
        <x:v>WATCH</x:v>
      </x:c>
      <x:c r="G3078" s="50"/>
      <x:c r="H3078" s="50" t="str">
        <x:v>LONG</x:v>
      </x:c>
      <x:c r="I3078" s="71" t="n">
        <x:v>14.4947</x:v>
      </x:c>
      <x:c r="J3078" s="76" t="str">
        <x:v>SIP</x:v>
      </x:c>
    </x:row>
    <x:row r="3079">
      <x:c r="A3079" s="50" t="str">
        <x:v>019fded6-73b5-7102-ab9d-8165df747f1f</x:v>
      </x:c>
      <x:c r="B3079" s="50" t="str">
        <x:v>INTU</x:v>
      </x:c>
      <x:c r="C3079" s="70" t="n">
        <x:v>46242.03268653935</x:v>
      </x:c>
      <x:c r="D3079" s="50" t="str">
        <x:v>SWING_SETUP</x:v>
      </x:c>
      <x:c r="E3079" s="50" t="str">
        <x:v>INTU SWING SETUP</x:v>
      </x:c>
      <x:c r="F3079" s="50" t="str">
        <x:v>WATCH</x:v>
      </x:c>
      <x:c r="G3079" s="50"/>
      <x:c r="H3079" s="50" t="str">
        <x:v>LONG</x:v>
      </x:c>
      <x:c r="I3079" s="71" t="n">
        <x:v>325.25</x:v>
      </x:c>
      <x:c r="J3079" s="76" t="str">
        <x:v>SIP</x:v>
      </x:c>
    </x:row>
    <x:row r="3080">
      <x:c r="A3080" s="50" t="str">
        <x:v>019fded6-744e-7b76-a6af-8eeb4a73b2d2</x:v>
      </x:c>
      <x:c r="B3080" s="50" t="str">
        <x:v>ANET</x:v>
      </x:c>
      <x:c r="C3080" s="70" t="n">
        <x:v>46242.03268831019</x:v>
      </x:c>
      <x:c r="D3080" s="50" t="str">
        <x:v>SWING_SETUP</x:v>
      </x:c>
      <x:c r="E3080" s="50" t="str">
        <x:v>ANET SWING SETUP</x:v>
      </x:c>
      <x:c r="F3080" s="50" t="str">
        <x:v>WATCH</x:v>
      </x:c>
      <x:c r="G3080" s="50"/>
      <x:c r="H3080" s="50" t="str">
        <x:v>LONG</x:v>
      </x:c>
      <x:c r="I3080" s="71" t="n">
        <x:v>189.14</x:v>
      </x:c>
      <x:c r="J3080" s="76" t="str">
        <x:v>SIP</x:v>
      </x:c>
    </x:row>
    <x:row r="3081">
      <x:c r="A3081" s="50" t="str">
        <x:v>019fded6-749d-736e-9a49-04a0409075f9</x:v>
      </x:c>
      <x:c r="B3081" s="50" t="str">
        <x:v>COP</x:v>
      </x:c>
      <x:c r="C3081" s="70" t="n">
        <x:v>46242.03268921296</x:v>
      </x:c>
      <x:c r="D3081" s="50" t="str">
        <x:v>SWING_SETUP</x:v>
      </x:c>
      <x:c r="E3081" s="50" t="str">
        <x:v>COP SWING SETUP</x:v>
      </x:c>
      <x:c r="F3081" s="50" t="str">
        <x:v>WATCH</x:v>
      </x:c>
      <x:c r="G3081" s="50"/>
      <x:c r="H3081" s="50" t="str">
        <x:v>LONG</x:v>
      </x:c>
      <x:c r="I3081" s="71" t="n">
        <x:v>117.6</x:v>
      </x:c>
      <x:c r="J3081" s="76" t="str">
        <x:v>SIP</x:v>
      </x:c>
    </x:row>
    <x:row r="3082">
      <x:c r="A3082" s="50" t="str">
        <x:v>019fded6-74e2-76ac-a546-2e6297bc0289</x:v>
      </x:c>
      <x:c r="B3082" s="50" t="str">
        <x:v>UNP</x:v>
      </x:c>
      <x:c r="C3082" s="70" t="n">
        <x:v>46242.032690023145</x:v>
      </x:c>
      <x:c r="D3082" s="50" t="str">
        <x:v>SWING_SETUP</x:v>
      </x:c>
      <x:c r="E3082" s="50" t="str">
        <x:v>UNP SWING SETUP</x:v>
      </x:c>
      <x:c r="F3082" s="50" t="str">
        <x:v>WATCH</x:v>
      </x:c>
      <x:c r="G3082" s="50"/>
      <x:c r="H3082" s="50" t="str">
        <x:v>LONG</x:v>
      </x:c>
      <x:c r="I3082" s="71" t="n">
        <x:v>293.13</x:v>
      </x:c>
      <x:c r="J3082" s="76" t="str">
        <x:v>SIP</x:v>
      </x:c>
    </x:row>
    <x:row r="3083">
      <x:c r="A3083" s="50" t="str">
        <x:v>019fded7-5ca9-71f2-aaab-873fcf260a9f</x:v>
      </x:c>
      <x:c r="B3083" s="50" t="str">
        <x:v>CEG</x:v>
      </x:c>
      <x:c r="C3083" s="70" t="n">
        <x:v>46242.033376770836</x:v>
      </x:c>
      <x:c r="D3083" s="50" t="str">
        <x:v>SWING_SETUP</x:v>
      </x:c>
      <x:c r="E3083" s="50" t="str">
        <x:v>CEG SWING SETUP</x:v>
      </x:c>
      <x:c r="F3083" s="50" t="str">
        <x:v>WATCH</x:v>
      </x:c>
      <x:c r="G3083" s="50"/>
      <x:c r="H3083" s="50" t="str">
        <x:v>LONG</x:v>
      </x:c>
      <x:c r="I3083" s="71" t="n">
        <x:v>269.9</x:v>
      </x:c>
      <x:c r="J3083" s="76" t="str">
        <x:v>SIP</x:v>
      </x:c>
    </x:row>
    <x:row r="3084">
      <x:c r="A3084" s="50" t="str">
        <x:v>019fded7-5ce1-7030-8932-1a2612d6bb48</x:v>
      </x:c>
      <x:c r="B3084" s="50" t="str">
        <x:v>PYPL</x:v>
      </x:c>
      <x:c r="C3084" s="70" t="n">
        <x:v>46242.03337741898</x:v>
      </x:c>
      <x:c r="D3084" s="50" t="str">
        <x:v>SWING_SETUP</x:v>
      </x:c>
      <x:c r="E3084" s="50" t="str">
        <x:v>PYPL SWING SETUP</x:v>
      </x:c>
      <x:c r="F3084" s="50" t="str">
        <x:v>WATCH</x:v>
      </x:c>
      <x:c r="G3084" s="50"/>
      <x:c r="H3084" s="50" t="str">
        <x:v>LONG</x:v>
      </x:c>
      <x:c r="I3084" s="71" t="n">
        <x:v>59.095</x:v>
      </x:c>
      <x:c r="J3084" s="76" t="str">
        <x:v>SIP</x:v>
      </x:c>
    </x:row>
    <x:row r="3085">
      <x:c r="A3085" s="50" t="str">
        <x:v>019fded8-4736-716c-ad3a-92b8d31f6b76</x:v>
      </x:c>
      <x:c r="B3085" s="50" t="str">
        <x:v>BMY</x:v>
      </x:c>
      <x:c r="C3085" s="70" t="n">
        <x:v>46242.03407173611</x:v>
      </x:c>
      <x:c r="D3085" s="50" t="str">
        <x:v>SWING_SETUP</x:v>
      </x:c>
      <x:c r="E3085" s="50" t="str">
        <x:v>BMY SWING SETUP</x:v>
      </x:c>
      <x:c r="F3085" s="50" t="str">
        <x:v>WATCH</x:v>
      </x:c>
      <x:c r="G3085" s="50"/>
      <x:c r="H3085" s="50" t="str">
        <x:v>LONG</x:v>
      </x:c>
      <x:c r="I3085" s="71" t="n">
        <x:v>64.69</x:v>
      </x:c>
      <x:c r="J3085" s="76" t="str">
        <x:v>SIP</x:v>
      </x:c>
    </x:row>
    <x:row r="3086">
      <x:c r="A3086" s="50" t="str">
        <x:v>019fded9-3123-73a5-8838-f4c48da69c89</x:v>
      </x:c>
      <x:c r="B3086" s="50" t="str">
        <x:v>PLTR</x:v>
      </x:c>
      <x:c r="C3086" s="70" t="n">
        <x:v>46242.03476484954</x:v>
      </x:c>
      <x:c r="D3086" s="50" t="str">
        <x:v>SWING_SETUP</x:v>
      </x:c>
      <x:c r="E3086" s="50" t="str">
        <x:v>PLTR SWING SETUP</x:v>
      </x:c>
      <x:c r="F3086" s="50" t="str">
        <x:v>WATCH</x:v>
      </x:c>
      <x:c r="G3086" s="50"/>
      <x:c r="H3086" s="50" t="str">
        <x:v>LONG</x:v>
      </x:c>
      <x:c r="I3086" s="71" t="n">
        <x:v>171.58</x:v>
      </x:c>
      <x:c r="J3086" s="76" t="str">
        <x:v>SIP</x:v>
      </x:c>
    </x:row>
    <x:row r="3087">
      <x:c r="A3087" s="50" t="str">
        <x:v>019fded9-31ed-750f-a963-344b93f95605</x:v>
      </x:c>
      <x:c r="B3087" s="50" t="str">
        <x:v>RDW</x:v>
      </x:c>
      <x:c r="C3087" s="70" t="n">
        <x:v>46242.0347671875</x:v>
      </x:c>
      <x:c r="D3087" s="50" t="str">
        <x:v>SWING_SETUP</x:v>
      </x:c>
      <x:c r="E3087" s="50" t="str">
        <x:v>RDW SWING SETUP</x:v>
      </x:c>
      <x:c r="F3087" s="50" t="str">
        <x:v>WATCH</x:v>
      </x:c>
      <x:c r="G3087" s="50"/>
      <x:c r="H3087" s="50" t="str">
        <x:v>LONG</x:v>
      </x:c>
      <x:c r="I3087" s="71" t="n">
        <x:v>13.56</x:v>
      </x:c>
      <x:c r="J3087" s="76" t="str">
        <x:v>SIP</x:v>
      </x:c>
    </x:row>
    <x:row r="3088">
      <x:c r="A3088" s="50" t="str">
        <x:v>019fded9-3287-7826-8d66-69c163163e6e</x:v>
      </x:c>
      <x:c r="B3088" s="50" t="str">
        <x:v>NOC</x:v>
      </x:c>
      <x:c r="C3088" s="70" t="n">
        <x:v>46242.034768969905</x:v>
      </x:c>
      <x:c r="D3088" s="50" t="str">
        <x:v>SWING_SETUP</x:v>
      </x:c>
      <x:c r="E3088" s="50" t="str">
        <x:v>NOC SWING SETUP</x:v>
      </x:c>
      <x:c r="F3088" s="50" t="str">
        <x:v>WATCH</x:v>
      </x:c>
      <x:c r="G3088" s="50"/>
      <x:c r="H3088" s="50" t="str">
        <x:v>LONG</x:v>
      </x:c>
      <x:c r="I3088" s="71" t="n">
        <x:v>571.58</x:v>
      </x:c>
      <x:c r="J3088" s="76" t="str">
        <x:v>SIP</x:v>
      </x:c>
    </x:row>
    <x:row r="3089">
      <x:c r="A3089" s="50" t="str">
        <x:v>019fded9-32e8-72f5-ad1a-6b054d0a074e</x:v>
      </x:c>
      <x:c r="B3089" s="50" t="str">
        <x:v>APA</x:v>
      </x:c>
      <x:c r="C3089" s="70" t="n">
        <x:v>46242.034770081016</x:v>
      </x:c>
      <x:c r="D3089" s="50" t="str">
        <x:v>SWING_SETUP</x:v>
      </x:c>
      <x:c r="E3089" s="50" t="str">
        <x:v>APA SWING SETUP</x:v>
      </x:c>
      <x:c r="F3089" s="50" t="str">
        <x:v>WATCH</x:v>
      </x:c>
      <x:c r="G3089" s="50"/>
      <x:c r="H3089" s="50" t="str">
        <x:v>LONG</x:v>
      </x:c>
      <x:c r="I3089" s="71" t="n">
        <x:v>37.648</x:v>
      </x:c>
      <x:c r="J3089" s="76" t="str">
        <x:v>SIP</x:v>
      </x:c>
    </x:row>
    <x:row r="3090">
      <x:c r="A3090" s="50" t="str">
        <x:v>019fded9-32f2-733e-8ade-38c4268bda7f</x:v>
      </x:c>
      <x:c r="B3090" s="50" t="str">
        <x:v>WELL</x:v>
      </x:c>
      <x:c r="C3090" s="70" t="n">
        <x:v>46242.03477020833</x:v>
      </x:c>
      <x:c r="D3090" s="50" t="str">
        <x:v>SWING_SETUP</x:v>
      </x:c>
      <x:c r="E3090" s="50" t="str">
        <x:v>WELL SWING SETUP</x:v>
      </x:c>
      <x:c r="F3090" s="50" t="str">
        <x:v>WATCH</x:v>
      </x:c>
      <x:c r="G3090" s="50"/>
      <x:c r="H3090" s="50" t="str">
        <x:v>LONG</x:v>
      </x:c>
      <x:c r="I3090" s="71" t="n">
        <x:v>236.92</x:v>
      </x:c>
      <x:c r="J3090" s="76" t="str">
        <x:v>SIP</x:v>
      </x:c>
    </x:row>
    <x:row r="3091">
      <x:c r="A3091" s="50" t="str">
        <x:v>019fded9-330d-7ca4-958a-e4f1ef12721f</x:v>
      </x:c>
      <x:c r="B3091" s="50" t="str">
        <x:v>ABNB</x:v>
      </x:c>
      <x:c r="C3091" s="70" t="n">
        <x:v>46242.03477052083</x:v>
      </x:c>
      <x:c r="D3091" s="50" t="str">
        <x:v>SWING_SETUP</x:v>
      </x:c>
      <x:c r="E3091" s="50" t="str">
        <x:v>ABNB SWING SETUP</x:v>
      </x:c>
      <x:c r="F3091" s="50" t="str">
        <x:v>WATCH</x:v>
      </x:c>
      <x:c r="G3091" s="50"/>
      <x:c r="H3091" s="50" t="str">
        <x:v>LONG</x:v>
      </x:c>
      <x:c r="I3091" s="71" t="n">
        <x:v>177.9101</x:v>
      </x:c>
      <x:c r="J3091" s="76" t="str">
        <x:v>SIP</x:v>
      </x:c>
    </x:row>
    <x:row r="3092">
      <x:c r="A3092" s="50" t="str">
        <x:v>019fded9-333f-7ef5-9f9e-6fbf92395d7d</x:v>
      </x:c>
      <x:c r="B3092" s="50" t="str">
        <x:v>PSX</x:v>
      </x:c>
      <x:c r="C3092" s="70" t="n">
        <x:v>46242.034771099534</x:v>
      </x:c>
      <x:c r="D3092" s="50" t="str">
        <x:v>SWING_SETUP</x:v>
      </x:c>
      <x:c r="E3092" s="50" t="str">
        <x:v>PSX SWING SETUP</x:v>
      </x:c>
      <x:c r="F3092" s="50" t="str">
        <x:v>WATCH</x:v>
      </x:c>
      <x:c r="G3092" s="50"/>
      <x:c r="H3092" s="50" t="str">
        <x:v>LONG</x:v>
      </x:c>
      <x:c r="I3092" s="71" t="n">
        <x:v>203.91</x:v>
      </x:c>
      <x:c r="J3092" s="76" t="str">
        <x:v>SIP</x:v>
      </x:c>
    </x:row>
    <x:row r="3093">
      <x:c r="A3093" s="50" t="str">
        <x:v>019fded9-3348-713f-b792-a29f9b5a6b3c</x:v>
      </x:c>
      <x:c r="B3093" s="50" t="str">
        <x:v>ETN</x:v>
      </x:c>
      <x:c r="C3093" s="70" t="n">
        <x:v>46242.034771203704</x:v>
      </x:c>
      <x:c r="D3093" s="50" t="str">
        <x:v>SWING_SETUP</x:v>
      </x:c>
      <x:c r="E3093" s="50" t="str">
        <x:v>ETN SWING SETUP</x:v>
      </x:c>
      <x:c r="F3093" s="50" t="str">
        <x:v>WATCH</x:v>
      </x:c>
      <x:c r="G3093" s="50"/>
      <x:c r="H3093" s="50" t="str">
        <x:v>LONG</x:v>
      </x:c>
      <x:c r="I3093" s="71" t="n">
        <x:v>448.67</x:v>
      </x:c>
      <x:c r="J3093" s="76" t="str">
        <x:v>SIP</x:v>
      </x:c>
    </x:row>
    <x:row r="3094">
      <x:c r="A3094" s="50" t="str">
        <x:v>019fded9-342b-7a61-a624-a699e2a2ba2b</x:v>
      </x:c>
      <x:c r="B3094" s="50" t="str">
        <x:v>NVDA</x:v>
      </x:c>
      <x:c r="C3094" s="70" t="n">
        <x:v>46242.034773831016</x:v>
      </x:c>
      <x:c r="D3094" s="50" t="str">
        <x:v>SWING_SETUP</x:v>
      </x:c>
      <x:c r="E3094" s="50" t="str">
        <x:v>NVDA SWING SETUP</x:v>
      </x:c>
      <x:c r="F3094" s="50" t="str">
        <x:v>WATCH</x:v>
      </x:c>
      <x:c r="G3094" s="50"/>
      <x:c r="H3094" s="50" t="str">
        <x:v>LONG</x:v>
      </x:c>
      <x:c r="I3094" s="71" t="n">
        <x:v>223.65</x:v>
      </x:c>
      <x:c r="J3094" s="76" t="str">
        <x:v>SIP</x:v>
      </x:c>
    </x:row>
    <x:row r="3095">
      <x:c r="A3095" s="50" t="str">
        <x:v>019fded9-34ba-74f1-8332-621e539d9295</x:v>
      </x:c>
      <x:c r="B3095" s="50" t="str">
        <x:v>OXY</x:v>
      </x:c>
      <x:c r="C3095" s="70" t="n">
        <x:v>46242.034775486114</x:v>
      </x:c>
      <x:c r="D3095" s="50" t="str">
        <x:v>SWING_SETUP</x:v>
      </x:c>
      <x:c r="E3095" s="50" t="str">
        <x:v>OXY SWING SETUP</x:v>
      </x:c>
      <x:c r="F3095" s="50" t="str">
        <x:v>WATCH</x:v>
      </x:c>
      <x:c r="G3095" s="50"/>
      <x:c r="H3095" s="50" t="str">
        <x:v>LONG</x:v>
      </x:c>
      <x:c r="I3095" s="71" t="n">
        <x:v>56.03</x:v>
      </x:c>
      <x:c r="J3095" s="76" t="str">
        <x:v>SIP</x:v>
      </x:c>
    </x:row>
    <x:row r="3096">
      <x:c r="A3096" s="50" t="str">
        <x:v>019fded9-34ef-729d-9dee-f1ce1b423d2f</x:v>
      </x:c>
      <x:c r="B3096" s="50" t="str">
        <x:v>SBUX</x:v>
      </x:c>
      <x:c r="C3096" s="70" t="n">
        <x:v>46242.034776099536</x:v>
      </x:c>
      <x:c r="D3096" s="50" t="str">
        <x:v>SWING_SETUP</x:v>
      </x:c>
      <x:c r="E3096" s="50" t="str">
        <x:v>SBUX SWING SETUP</x:v>
      </x:c>
      <x:c r="F3096" s="50" t="str">
        <x:v>WATCH</x:v>
      </x:c>
      <x:c r="G3096" s="50"/>
      <x:c r="H3096" s="50" t="str">
        <x:v>LONG</x:v>
      </x:c>
      <x:c r="I3096" s="71" t="n">
        <x:v>105.58</x:v>
      </x:c>
      <x:c r="J3096" s="76" t="str">
        <x:v>SIP</x:v>
      </x:c>
    </x:row>
    <x:row r="3097">
      <x:c r="A3097" s="50" t="str">
        <x:v>019fdedb-ef5c-7f31-9ba8-6a14a7a2e1c3</x:v>
      </x:c>
      <x:c r="B3097" s="50" t="str">
        <x:v>LMT</x:v>
      </x:c>
      <x:c r="C3097" s="70" t="n">
        <x:v>46242.03684550926</x:v>
      </x:c>
      <x:c r="D3097" s="50" t="str">
        <x:v>SWING_SETUP</x:v>
      </x:c>
      <x:c r="E3097" s="50" t="str">
        <x:v>LMT SWING SETUP</x:v>
      </x:c>
      <x:c r="F3097" s="50" t="str">
        <x:v>WATCH</x:v>
      </x:c>
      <x:c r="G3097" s="50"/>
      <x:c r="H3097" s="50" t="str">
        <x:v>LONG</x:v>
      </x:c>
      <x:c r="I3097" s="71" t="n">
        <x:v>587.92</x:v>
      </x:c>
      <x:c r="J3097" s="76" t="str">
        <x:v>SIP</x:v>
      </x:c>
    </x:row>
    <x:row r="3098">
      <x:c r="A3098" s="50" t="str">
        <x:v>019fdedb-f108-78e3-bdee-8facfd448591</x:v>
      </x:c>
      <x:c r="B3098" s="50" t="str">
        <x:v>MMM</x:v>
      </x:c>
      <x:c r="C3098" s="70" t="n">
        <x:v>46242.036850462966</x:v>
      </x:c>
      <x:c r="D3098" s="50" t="str">
        <x:v>SWING_SETUP</x:v>
      </x:c>
      <x:c r="E3098" s="50" t="str">
        <x:v>MMM SWING SETUP</x:v>
      </x:c>
      <x:c r="F3098" s="50" t="str">
        <x:v>WATCH</x:v>
      </x:c>
      <x:c r="G3098" s="50"/>
      <x:c r="H3098" s="50" t="str">
        <x:v>LONG</x:v>
      </x:c>
      <x:c r="I3098" s="71" t="n">
        <x:v>182.89</x:v>
      </x:c>
      <x:c r="J3098" s="76" t="str">
        <x:v>SIP</x:v>
      </x:c>
    </x:row>
    <x:row r="3099">
      <x:c r="A3099" s="50" t="str">
        <x:v>019fdedb-f135-7428-b942-edd14aa19c55</x:v>
      </x:c>
      <x:c r="B3099" s="50" t="str">
        <x:v>APH</x:v>
      </x:c>
      <x:c r="C3099" s="70" t="n">
        <x:v>46242.03685098379</x:v>
      </x:c>
      <x:c r="D3099" s="50" t="str">
        <x:v>SWING_SETUP</x:v>
      </x:c>
      <x:c r="E3099" s="50" t="str">
        <x:v>APH SWING SETUP</x:v>
      </x:c>
      <x:c r="F3099" s="50" t="str">
        <x:v>WATCH</x:v>
      </x:c>
      <x:c r="G3099" s="50"/>
      <x:c r="H3099" s="50" t="str">
        <x:v>LONG</x:v>
      </x:c>
      <x:c r="I3099" s="71" t="n">
        <x:v>169.18</x:v>
      </x:c>
      <x:c r="J3099" s="76" t="str">
        <x:v>SIP</x:v>
      </x:c>
    </x:row>
    <x:row r="3100">
      <x:c r="A3100" s="50" t="str">
        <x:v>019fdedb-f15d-771a-9821-1df44415c677</x:v>
      </x:c>
      <x:c r="B3100" s="50" t="str">
        <x:v>ACHV</x:v>
      </x:c>
      <x:c r="C3100" s="70" t="n">
        <x:v>46242.03685144676</x:v>
      </x:c>
      <x:c r="D3100" s="50" t="str">
        <x:v>SWING_SETUP</x:v>
      </x:c>
      <x:c r="E3100" s="50" t="str">
        <x:v>ACHV SWING SETUP</x:v>
      </x:c>
      <x:c r="F3100" s="50" t="str">
        <x:v>WATCH</x:v>
      </x:c>
      <x:c r="G3100" s="50"/>
      <x:c r="H3100" s="50" t="str">
        <x:v>LONG</x:v>
      </x:c>
      <x:c r="I3100" s="71" t="n">
        <x:v>6.65</x:v>
      </x:c>
      <x:c r="J3100" s="76" t="str">
        <x:v>SIP</x:v>
      </x:c>
    </x:row>
    <x:row r="3101">
      <x:c r="A3101" s="50" t="str">
        <x:v>019fdedb-f18f-7495-8266-003ccd32ff23</x:v>
      </x:c>
      <x:c r="B3101" s="50" t="str">
        <x:v>XOM</x:v>
      </x:c>
      <x:c r="C3101" s="70" t="n">
        <x:v>46242.03685202546</x:v>
      </x:c>
      <x:c r="D3101" s="50" t="str">
        <x:v>SWING_SETUP</x:v>
      </x:c>
      <x:c r="E3101" s="50" t="str">
        <x:v>XOM SWING SETUP</x:v>
      </x:c>
      <x:c r="F3101" s="50" t="str">
        <x:v>WATCH</x:v>
      </x:c>
      <x:c r="G3101" s="50"/>
      <x:c r="H3101" s="50" t="str">
        <x:v>LONG</x:v>
      </x:c>
      <x:c r="I3101" s="71" t="n">
        <x:v>153.1</x:v>
      </x:c>
      <x:c r="J3101" s="76" t="str">
        <x:v>SIP</x:v>
      </x:c>
    </x:row>
    <x:row r="3102">
      <x:c r="A3102" s="50" t="str">
        <x:v>019fdedb-f1a9-7226-8e1a-c325797f4cc9</x:v>
      </x:c>
      <x:c r="B3102" s="50" t="str">
        <x:v>MDLZ</x:v>
      </x:c>
      <x:c r="C3102" s="70" t="n">
        <x:v>46242.03685231481</x:v>
      </x:c>
      <x:c r="D3102" s="50" t="str">
        <x:v>SWING_SETUP</x:v>
      </x:c>
      <x:c r="E3102" s="50" t="str">
        <x:v>MDLZ SWING SETUP</x:v>
      </x:c>
      <x:c r="F3102" s="50" t="str">
        <x:v>WATCH</x:v>
      </x:c>
      <x:c r="G3102" s="50"/>
      <x:c r="H3102" s="50" t="str">
        <x:v>LONG</x:v>
      </x:c>
      <x:c r="I3102" s="71" t="n">
        <x:v>62.61</x:v>
      </x:c>
      <x:c r="J3102" s="76" t="str">
        <x:v>SIP</x:v>
      </x:c>
    </x:row>
    <x:row r="3103">
      <x:c r="A3103" s="50" t="str">
        <x:v>019fdedb-f372-7463-a87d-fd22f209293f</x:v>
      </x:c>
      <x:c r="B3103" s="50" t="str">
        <x:v>KO</x:v>
      </x:c>
      <x:c r="C3103" s="70" t="n">
        <x:v>46242.03685761574</x:v>
      </x:c>
      <x:c r="D3103" s="50" t="str">
        <x:v>SWING_SETUP</x:v>
      </x:c>
      <x:c r="E3103" s="50" t="str">
        <x:v>KO SWING SETUP</x:v>
      </x:c>
      <x:c r="F3103" s="50" t="str">
        <x:v>WATCH</x:v>
      </x:c>
      <x:c r="G3103" s="50"/>
      <x:c r="H3103" s="50" t="str">
        <x:v>LONG</x:v>
      </x:c>
      <x:c r="I3103" s="71" t="n">
        <x:v>87.09</x:v>
      </x:c>
      <x:c r="J3103" s="76" t="str">
        <x:v>SIP</x:v>
      </x:c>
    </x:row>
    <x:row r="3104">
      <x:c r="A3104" s="50" t="str">
        <x:v>019fdedc-dacc-7eb3-90ad-e8e48527bfbd</x:v>
      </x:c>
      <x:c r="B3104" s="50" t="str">
        <x:v>SNOW</x:v>
      </x:c>
      <x:c r="C3104" s="70" t="n">
        <x:v>46242.037543101855</x:v>
      </x:c>
      <x:c r="D3104" s="50" t="str">
        <x:v>SWING_SETUP</x:v>
      </x:c>
      <x:c r="E3104" s="50" t="str">
        <x:v>SNOW SWING SETUP</x:v>
      </x:c>
      <x:c r="F3104" s="50" t="str">
        <x:v>WATCH</x:v>
      </x:c>
      <x:c r="G3104" s="50"/>
      <x:c r="H3104" s="50" t="str">
        <x:v>LONG</x:v>
      </x:c>
      <x:c r="I3104" s="71" t="n">
        <x:v>330.1</x:v>
      </x:c>
      <x:c r="J3104" s="76" t="str">
        <x:v>SIP</x:v>
      </x:c>
    </x:row>
    <x:row r="3105">
      <x:c r="A3105" s="50" t="str">
        <x:v>019fdedc-db20-7f09-ae0c-8a3067af4648</x:v>
      </x:c>
      <x:c r="B3105" s="50" t="str">
        <x:v>JD</x:v>
      </x:c>
      <x:c r="C3105" s="70" t="n">
        <x:v>46242.037544074075</x:v>
      </x:c>
      <x:c r="D3105" s="50" t="str">
        <x:v>SWING_SETUP</x:v>
      </x:c>
      <x:c r="E3105" s="50" t="str">
        <x:v>JD SWING SETUP</x:v>
      </x:c>
      <x:c r="F3105" s="50" t="str">
        <x:v>WATCH</x:v>
      </x:c>
      <x:c r="G3105" s="50"/>
      <x:c r="H3105" s="50" t="str">
        <x:v>LONG</x:v>
      </x:c>
      <x:c r="I3105" s="71" t="n">
        <x:v>33</x:v>
      </x:c>
      <x:c r="J3105" s="76" t="str">
        <x:v>SIP</x:v>
      </x:c>
    </x:row>
    <x:row r="3106">
      <x:c r="A3106" s="50" t="str">
        <x:v>019fdedc-db3f-7b54-8651-4b607caa980c</x:v>
      </x:c>
      <x:c r="B3106" s="50" t="str">
        <x:v>TGT</x:v>
      </x:c>
      <x:c r="C3106" s="70" t="n">
        <x:v>46242.03754443287</x:v>
      </x:c>
      <x:c r="D3106" s="50" t="str">
        <x:v>SWING_SETUP</x:v>
      </x:c>
      <x:c r="E3106" s="50" t="str">
        <x:v>TGT SWING SETUP</x:v>
      </x:c>
      <x:c r="F3106" s="50" t="str">
        <x:v>WATCH</x:v>
      </x:c>
      <x:c r="G3106" s="50"/>
      <x:c r="H3106" s="50" t="str">
        <x:v>LONG</x:v>
      </x:c>
      <x:c r="I3106" s="71" t="n">
        <x:v>149.5</x:v>
      </x:c>
      <x:c r="J3106" s="76" t="str">
        <x:v>SIP</x:v>
      </x:c>
    </x:row>
    <x:row r="3107">
      <x:c r="A3107" s="50" t="str">
        <x:v>019fdedc-db45-7fba-b27c-01c085cefaa6</x:v>
      </x:c>
      <x:c r="B3107" s="50" t="str">
        <x:v>BAC</x:v>
      </x:c>
      <x:c r="C3107" s="70" t="n">
        <x:v>46242.03754450232</x:v>
      </x:c>
      <x:c r="D3107" s="50" t="str">
        <x:v>SWING_SETUP</x:v>
      </x:c>
      <x:c r="E3107" s="50" t="str">
        <x:v>BAC SWING SETUP</x:v>
      </x:c>
      <x:c r="F3107" s="50" t="str">
        <x:v>WATCH</x:v>
      </x:c>
      <x:c r="G3107" s="50"/>
      <x:c r="H3107" s="50" t="str">
        <x:v>LONG</x:v>
      </x:c>
      <x:c r="I3107" s="71" t="n">
        <x:v>63.19</x:v>
      </x:c>
      <x:c r="J3107" s="76" t="str">
        <x:v>SIP</x:v>
      </x:c>
    </x:row>
    <x:row r="3108">
      <x:c r="A3108" s="50" t="str">
        <x:v>019fdedc-db63-7805-b76e-2a02576d7912</x:v>
      </x:c>
      <x:c r="B3108" s="50" t="str">
        <x:v>ECL</x:v>
      </x:c>
      <x:c r="C3108" s="70" t="n">
        <x:v>46242.03754484954</x:v>
      </x:c>
      <x:c r="D3108" s="50" t="str">
        <x:v>SWING_SETUP</x:v>
      </x:c>
      <x:c r="E3108" s="50" t="str">
        <x:v>ECL SWING SETUP</x:v>
      </x:c>
      <x:c r="F3108" s="50" t="str">
        <x:v>WATCH</x:v>
      </x:c>
      <x:c r="G3108" s="50"/>
      <x:c r="H3108" s="50" t="str">
        <x:v>LONG</x:v>
      </x:c>
      <x:c r="I3108" s="71" t="n">
        <x:v>285.17</x:v>
      </x:c>
      <x:c r="J3108" s="76" t="str">
        <x:v>SIP</x:v>
      </x:c>
    </x:row>
    <x:row r="3109">
      <x:c r="A3109" s="50" t="str">
        <x:v>019fdedd-c5ed-7fba-a871-e99e701b5366</x:v>
      </x:c>
      <x:c r="B3109" s="50" t="str">
        <x:v>MRK</x:v>
      </x:c>
      <x:c r="C3109" s="70" t="n">
        <x:v>46242.03823978009</x:v>
      </x:c>
      <x:c r="D3109" s="50" t="str">
        <x:v>SWING_SETUP</x:v>
      </x:c>
      <x:c r="E3109" s="50" t="str">
        <x:v>MRK SWING SETUP</x:v>
      </x:c>
      <x:c r="F3109" s="50" t="str">
        <x:v>WATCH</x:v>
      </x:c>
      <x:c r="G3109" s="50"/>
      <x:c r="H3109" s="50" t="str">
        <x:v>LONG</x:v>
      </x:c>
      <x:c r="I3109" s="71" t="n">
        <x:v>128.57</x:v>
      </x:c>
      <x:c r="J3109" s="76" t="str">
        <x:v>SIP</x:v>
      </x:c>
    </x:row>
    <x:row r="3110">
      <x:c r="A3110" s="50" t="str">
        <x:v>019fdedd-c764-7f15-8959-d59bccc2f5f8</x:v>
      </x:c>
      <x:c r="B3110" s="50" t="str">
        <x:v>RTX</x:v>
      </x:c>
      <x:c r="C3110" s="70" t="n">
        <x:v>46242.03824412037</x:v>
      </x:c>
      <x:c r="D3110" s="50" t="str">
        <x:v>SWING_SETUP</x:v>
      </x:c>
      <x:c r="E3110" s="50" t="str">
        <x:v>RTX SWING SETUP</x:v>
      </x:c>
      <x:c r="F3110" s="50" t="str">
        <x:v>WATCH</x:v>
      </x:c>
      <x:c r="G3110" s="50"/>
      <x:c r="H3110" s="50" t="str">
        <x:v>LONG</x:v>
      </x:c>
      <x:c r="I3110" s="71" t="n">
        <x:v>223.65</x:v>
      </x:c>
      <x:c r="J3110" s="76" t="str">
        <x:v>SIP</x:v>
      </x:c>
    </x:row>
    <x:row r="3111">
      <x:c r="A3111" s="50" t="str">
        <x:v>019fdedd-c776-7fcc-a250-3d44aab018c8</x:v>
      </x:c>
      <x:c r="B3111" s="50" t="str">
        <x:v>BLK</x:v>
      </x:c>
      <x:c r="C3111" s="70" t="n">
        <x:v>46242.0382443287</x:v>
      </x:c>
      <x:c r="D3111" s="50" t="str">
        <x:v>SWING_SETUP</x:v>
      </x:c>
      <x:c r="E3111" s="50" t="str">
        <x:v>BLK SWING SETUP</x:v>
      </x:c>
      <x:c r="F3111" s="50" t="str">
        <x:v>WATCH</x:v>
      </x:c>
      <x:c r="G3111" s="50"/>
      <x:c r="H3111" s="50" t="str">
        <x:v>LONG</x:v>
      </x:c>
      <x:c r="I3111" s="71" t="n">
        <x:v>1136.4</x:v>
      </x:c>
      <x:c r="J3111" s="76" t="str">
        <x:v>SIP</x:v>
      </x:c>
    </x:row>
    <x:row r="3112">
      <x:c r="A3112" s="50" t="str">
        <x:v>019fdedd-c835-73f1-9d84-2688042bd194</x:v>
      </x:c>
      <x:c r="B3112" s="50" t="str">
        <x:v>RCL</x:v>
      </x:c>
      <x:c r="C3112" s="70" t="n">
        <x:v>46242.03824652778</x:v>
      </x:c>
      <x:c r="D3112" s="50" t="str">
        <x:v>SWING_SETUP</x:v>
      </x:c>
      <x:c r="E3112" s="50" t="str">
        <x:v>RCL SWING SETUP</x:v>
      </x:c>
      <x:c r="F3112" s="50" t="str">
        <x:v>WATCH</x:v>
      </x:c>
      <x:c r="G3112" s="50"/>
      <x:c r="H3112" s="50" t="str">
        <x:v>LONG</x:v>
      </x:c>
      <x:c r="I3112" s="71" t="n">
        <x:v>320</x:v>
      </x:c>
      <x:c r="J3112" s="76" t="str">
        <x:v>SIP</x:v>
      </x:c>
    </x:row>
    <x:row r="3113">
      <x:c r="A3113" s="50" t="str">
        <x:v>019fdedd-c893-78d5-b9a6-c9a9649df80a</x:v>
      </x:c>
      <x:c r="B3113" s="50" t="str">
        <x:v>BABA</x:v>
      </x:c>
      <x:c r="C3113" s="70" t="n">
        <x:v>46242.038247627315</x:v>
      </x:c>
      <x:c r="D3113" s="50" t="str">
        <x:v>SWING_SETUP</x:v>
      </x:c>
      <x:c r="E3113" s="50" t="str">
        <x:v>BABA SWING SETUP</x:v>
      </x:c>
      <x:c r="F3113" s="50" t="str">
        <x:v>WATCH</x:v>
      </x:c>
      <x:c r="G3113" s="50"/>
      <x:c r="H3113" s="50" t="str">
        <x:v>LONG</x:v>
      </x:c>
      <x:c r="I3113" s="71" t="n">
        <x:v>128.3</x:v>
      </x:c>
      <x:c r="J3113" s="76" t="str">
        <x:v>SIP</x:v>
      </x:c>
    </x:row>
    <x:row r="3114">
      <x:c r="A3114" s="50" t="str">
        <x:v>019fdedd-c8ae-7fb6-b768-92e6db33a284</x:v>
      </x:c>
      <x:c r="B3114" s="50" t="str">
        <x:v>UEC</x:v>
      </x:c>
      <x:c r="C3114" s="70" t="n">
        <x:v>46242.03824793982</x:v>
      </x:c>
      <x:c r="D3114" s="50" t="str">
        <x:v>SWING_SETUP</x:v>
      </x:c>
      <x:c r="E3114" s="50" t="str">
        <x:v>UEC SWING SETUP</x:v>
      </x:c>
      <x:c r="F3114" s="50" t="str">
        <x:v>WATCH</x:v>
      </x:c>
      <x:c r="G3114" s="50"/>
      <x:c r="H3114" s="50" t="str">
        <x:v>LONG</x:v>
      </x:c>
      <x:c r="I3114" s="71" t="n">
        <x:v>11.2707</x:v>
      </x:c>
      <x:c r="J3114" s="76" t="str">
        <x:v>SIP</x:v>
      </x:c>
    </x:row>
    <x:row r="3115">
      <x:c r="A3115" s="50" t="str">
        <x:v>019fdedd-c8c6-7045-8836-e08b6bd8900e</x:v>
      </x:c>
      <x:c r="B3115" s="50" t="str">
        <x:v>BLFS</x:v>
      </x:c>
      <x:c r="C3115" s="70" t="n">
        <x:v>46242.03824821759</x:v>
      </x:c>
      <x:c r="D3115" s="50" t="str">
        <x:v>SWING_SETUP</x:v>
      </x:c>
      <x:c r="E3115" s="50" t="str">
        <x:v>BLFS SWING SETUP</x:v>
      </x:c>
      <x:c r="F3115" s="50" t="str">
        <x:v>WATCH</x:v>
      </x:c>
      <x:c r="G3115" s="50"/>
      <x:c r="H3115" s="50" t="str">
        <x:v>LONG</x:v>
      </x:c>
      <x:c r="I3115" s="71" t="n">
        <x:v>34.645</x:v>
      </x:c>
      <x:c r="J3115" s="76" t="str">
        <x:v>SIP</x:v>
      </x:c>
    </x:row>
    <x:row r="3116">
      <x:c r="A3116" s="50" t="str">
        <x:v>019fdedd-c909-76c4-a638-213722c3583b</x:v>
      </x:c>
      <x:c r="B3116" s="50" t="str">
        <x:v>TMDX</x:v>
      </x:c>
      <x:c r="C3116" s="70" t="n">
        <x:v>46242.038248993056</x:v>
      </x:c>
      <x:c r="D3116" s="50" t="str">
        <x:v>SWING_SETUP</x:v>
      </x:c>
      <x:c r="E3116" s="50" t="str">
        <x:v>TMDX SWING SETUP</x:v>
      </x:c>
      <x:c r="F3116" s="50" t="str">
        <x:v>WATCH</x:v>
      </x:c>
      <x:c r="G3116" s="50"/>
      <x:c r="H3116" s="50" t="str">
        <x:v>LONG</x:v>
      </x:c>
      <x:c r="I3116" s="71" t="n">
        <x:v>83.5</x:v>
      </x:c>
      <x:c r="J3116" s="76" t="str">
        <x:v>SIP</x:v>
      </x:c>
    </x:row>
    <x:row r="3117">
      <x:c r="A3117" s="50" t="str">
        <x:v>019fdedd-c913-7fb7-8f3c-a1bc489c1a0e</x:v>
      </x:c>
      <x:c r="B3117" s="50" t="str">
        <x:v>SCHW</x:v>
      </x:c>
      <x:c r="C3117" s="70" t="n">
        <x:v>46242.038249108795</x:v>
      </x:c>
      <x:c r="D3117" s="50" t="str">
        <x:v>SWING_SETUP</x:v>
      </x:c>
      <x:c r="E3117" s="50" t="str">
        <x:v>SCHW SWING SETUP</x:v>
      </x:c>
      <x:c r="F3117" s="50" t="str">
        <x:v>WATCH</x:v>
      </x:c>
      <x:c r="G3117" s="50"/>
      <x:c r="H3117" s="50" t="str">
        <x:v>LONG</x:v>
      </x:c>
      <x:c r="I3117" s="71" t="n">
        <x:v>107.6</x:v>
      </x:c>
      <x:c r="J3117" s="76" t="str">
        <x:v>SIP</x:v>
      </x:c>
    </x:row>
    <x:row r="3118">
      <x:c r="A3118" s="50" t="str">
        <x:v>019fdedd-c931-76cb-a952-361ba1959e96</x:v>
      </x:c>
      <x:c r="B3118" s="50" t="str">
        <x:v>BKNG</x:v>
      </x:c>
      <x:c r="C3118" s="70" t="n">
        <x:v>46242.03824945602</x:v>
      </x:c>
      <x:c r="D3118" s="50" t="str">
        <x:v>SWING_SETUP</x:v>
      </x:c>
      <x:c r="E3118" s="50" t="str">
        <x:v>BKNG SWING SETUP</x:v>
      </x:c>
      <x:c r="F3118" s="50" t="str">
        <x:v>WATCH</x:v>
      </x:c>
      <x:c r="G3118" s="50"/>
      <x:c r="H3118" s="50" t="str">
        <x:v>LONG</x:v>
      </x:c>
      <x:c r="I3118" s="71" t="n">
        <x:v>213.8621</x:v>
      </x:c>
      <x:c r="J3118" s="76" t="str">
        <x:v>SIP</x:v>
      </x:c>
    </x:row>
    <x:row r="3119">
      <x:c r="A3119" s="50" t="str">
        <x:v>019fdede-af60-7f8e-aec0-e168a695d279</x:v>
      </x:c>
      <x:c r="B3119" s="50" t="str">
        <x:v>DE</x:v>
      </x:c>
      <x:c r="C3119" s="70" t="n">
        <x:v>46242.03893148148</x:v>
      </x:c>
      <x:c r="D3119" s="50" t="str">
        <x:v>SWING_SETUP</x:v>
      </x:c>
      <x:c r="E3119" s="50" t="str">
        <x:v>DE SWING SETUP</x:v>
      </x:c>
      <x:c r="F3119" s="50" t="str">
        <x:v>WATCH</x:v>
      </x:c>
      <x:c r="G3119" s="50"/>
      <x:c r="H3119" s="50" t="str">
        <x:v>LONG</x:v>
      </x:c>
      <x:c r="I3119" s="71" t="n">
        <x:v>620.83</x:v>
      </x:c>
      <x:c r="J3119" s="76" t="str">
        <x:v>SIP</x:v>
      </x:c>
    </x:row>
    <x:row r="3120">
      <x:c r="A3120" s="50" t="str">
        <x:v>019fdedf-9a89-7d7f-bf07-61641841c799</x:v>
      </x:c>
      <x:c r="B3120" s="50" t="str">
        <x:v>ABT</x:v>
      </x:c>
      <x:c r="C3120" s="70" t="n">
        <x:v>46242.039628252314</x:v>
      </x:c>
      <x:c r="D3120" s="50" t="str">
        <x:v>SWING_SETUP</x:v>
      </x:c>
      <x:c r="E3120" s="50" t="str">
        <x:v>ABT SWING SETUP</x:v>
      </x:c>
      <x:c r="F3120" s="50" t="str">
        <x:v>WATCH</x:v>
      </x:c>
      <x:c r="G3120" s="50"/>
      <x:c r="H3120" s="50" t="str">
        <x:v>LONG</x:v>
      </x:c>
      <x:c r="I3120" s="71" t="n">
        <x:v>107.81</x:v>
      </x:c>
      <x:c r="J3120" s="76" t="str">
        <x:v>SIP</x:v>
      </x:c>
    </x:row>
    <x:row r="3121">
      <x:c r="A3121" s="50" t="str">
        <x:v>019fdedf-9ad9-7301-b920-60f301411805</x:v>
      </x:c>
      <x:c r="B3121" s="50" t="str">
        <x:v>WFC</x:v>
      </x:c>
      <x:c r="C3121" s="70" t="n">
        <x:v>46242.03962917824</x:v>
      </x:c>
      <x:c r="D3121" s="50" t="str">
        <x:v>SWING_SETUP</x:v>
      </x:c>
      <x:c r="E3121" s="50" t="str">
        <x:v>WFC SWING SETUP</x:v>
      </x:c>
      <x:c r="F3121" s="50" t="str">
        <x:v>WATCH</x:v>
      </x:c>
      <x:c r="G3121" s="50"/>
      <x:c r="H3121" s="50" t="str">
        <x:v>LONG</x:v>
      </x:c>
      <x:c r="I3121" s="71" t="n">
        <x:v>87.235</x:v>
      </x:c>
      <x:c r="J3121" s="76" t="str">
        <x:v>SIP</x:v>
      </x:c>
    </x:row>
    <x:row r="3122">
      <x:c r="A3122" s="50" t="str">
        <x:v>019fdee0-8365-72a2-9a53-c079ae5179a3</x:v>
      </x:c>
      <x:c r="B3122" s="50" t="str">
        <x:v>PM</x:v>
      </x:c>
      <x:c r="C3122" s="70" t="n">
        <x:v>46242.04031819444</x:v>
      </x:c>
      <x:c r="D3122" s="50" t="str">
        <x:v>SWING_SETUP</x:v>
      </x:c>
      <x:c r="E3122" s="50" t="str">
        <x:v>PM SWING SETUP</x:v>
      </x:c>
      <x:c r="F3122" s="50" t="str">
        <x:v>WATCH</x:v>
      </x:c>
      <x:c r="G3122" s="50"/>
      <x:c r="H3122" s="50" t="str">
        <x:v>LONG</x:v>
      </x:c>
      <x:c r="I3122" s="71" t="n">
        <x:v>189.57</x:v>
      </x:c>
      <x:c r="J3122" s="76" t="str">
        <x:v>SIP</x:v>
      </x:c>
    </x:row>
    <x:row r="3123">
      <x:c r="A3123" s="50" t="str">
        <x:v>019fdee0-83fb-71b1-aa54-d5ae1448ab4c</x:v>
      </x:c>
      <x:c r="B3123" s="50" t="str">
        <x:v>VZ</x:v>
      </x:c>
      <x:c r="C3123" s="70" t="n">
        <x:v>46242.04031994213</x:v>
      </x:c>
      <x:c r="D3123" s="50" t="str">
        <x:v>SWING_SETUP</x:v>
      </x:c>
      <x:c r="E3123" s="50" t="str">
        <x:v>VZ SWING SETUP</x:v>
      </x:c>
      <x:c r="F3123" s="50" t="str">
        <x:v>WATCH</x:v>
      </x:c>
      <x:c r="G3123" s="50"/>
      <x:c r="H3123" s="50" t="str">
        <x:v>LONG</x:v>
      </x:c>
      <x:c r="I3123" s="71" t="n">
        <x:v>47.01</x:v>
      </x:c>
      <x:c r="J3123" s="76" t="str">
        <x:v>SIP</x:v>
      </x:c>
    </x:row>
    <x:row r="3124">
      <x:c r="A3124" s="50" t="str">
        <x:v>019fdee0-842b-7503-b6a7-a53a522d89ca</x:v>
      </x:c>
      <x:c r="B3124" s="50" t="str">
        <x:v>NXE</x:v>
      </x:c>
      <x:c r="C3124" s="70" t="n">
        <x:v>46242.04032049768</x:v>
      </x:c>
      <x:c r="D3124" s="50" t="str">
        <x:v>SWING_SETUP</x:v>
      </x:c>
      <x:c r="E3124" s="50" t="str">
        <x:v>NXE SWING SETUP</x:v>
      </x:c>
      <x:c r="F3124" s="50" t="str">
        <x:v>WATCH</x:v>
      </x:c>
      <x:c r="G3124" s="50"/>
      <x:c r="H3124" s="50" t="str">
        <x:v>LONG</x:v>
      </x:c>
      <x:c r="I3124" s="71" t="n">
        <x:v>10.49</x:v>
      </x:c>
      <x:c r="J3124" s="76" t="str">
        <x:v>SIP</x:v>
      </x:c>
    </x:row>
    <x:row r="3125">
      <x:c r="A3125" s="50" t="str">
        <x:v>019fdee0-85b7-7150-a9fe-e51a17c443df</x:v>
      </x:c>
      <x:c r="B3125" s="50" t="str">
        <x:v>SE</x:v>
      </x:c>
      <x:c r="C3125" s="70" t="n">
        <x:v>46242.04032508102</x:v>
      </x:c>
      <x:c r="D3125" s="50" t="str">
        <x:v>SWING_SETUP</x:v>
      </x:c>
      <x:c r="E3125" s="50" t="str">
        <x:v>SE SWING SETUP</x:v>
      </x:c>
      <x:c r="F3125" s="50" t="str">
        <x:v>WATCH</x:v>
      </x:c>
      <x:c r="G3125" s="50"/>
      <x:c r="H3125" s="50" t="str">
        <x:v>LONG</x:v>
      </x:c>
      <x:c r="I3125" s="71" t="n">
        <x:v>113.43</x:v>
      </x:c>
      <x:c r="J3125" s="76" t="str">
        <x:v>SIP</x:v>
      </x:c>
    </x:row>
    <x:row r="3126">
      <x:c r="A3126" s="50" t="str">
        <x:v>019fdee0-85d7-7858-8ed3-a9eba202a9c7</x:v>
      </x:c>
      <x:c r="B3126" s="50" t="str">
        <x:v>SHW</x:v>
      </x:c>
      <x:c r="C3126" s="70" t="n">
        <x:v>46242.04032545139</x:v>
      </x:c>
      <x:c r="D3126" s="50" t="str">
        <x:v>SWING_SETUP</x:v>
      </x:c>
      <x:c r="E3126" s="50" t="str">
        <x:v>SHW SWING SETUP</x:v>
      </x:c>
      <x:c r="F3126" s="50" t="str">
        <x:v>WATCH</x:v>
      </x:c>
      <x:c r="G3126" s="50"/>
      <x:c r="H3126" s="50" t="str">
        <x:v>LONG</x:v>
      </x:c>
      <x:c r="I3126" s="71" t="n">
        <x:v>369.73</x:v>
      </x:c>
      <x:c r="J3126" s="76" t="str">
        <x:v>SIP</x:v>
      </x:c>
    </x:row>
    <x:row r="3127">
      <x:c r="A3127" s="50" t="str">
        <x:v>019fdee2-5941-7ee0-87bc-fa119b2ed3d7</x:v>
      </x:c>
      <x:c r="B3127" s="50" t="str">
        <x:v>TMO</x:v>
      </x:c>
      <x:c r="C3127" s="70" t="n">
        <x:v>46242.04171038194</x:v>
      </x:c>
      <x:c r="D3127" s="50" t="str">
        <x:v>SWING_SETUP</x:v>
      </x:c>
      <x:c r="E3127" s="50" t="str">
        <x:v>TMO SWING SETUP</x:v>
      </x:c>
      <x:c r="F3127" s="50" t="str">
        <x:v>WATCH</x:v>
      </x:c>
      <x:c r="G3127" s="50"/>
      <x:c r="H3127" s="50" t="str">
        <x:v>LONG</x:v>
      </x:c>
      <x:c r="I3127" s="71" t="n">
        <x:v>594</x:v>
      </x:c>
      <x:c r="J3127" s="76" t="str">
        <x:v>SIP</x:v>
      </x:c>
    </x:row>
    <x:row r="3128">
      <x:c r="A3128" s="50" t="str">
        <x:v>019fdee2-5961-74c3-af96-edf455f49784</x:v>
      </x:c>
      <x:c r="B3128" s="50" t="str">
        <x:v>PFE</x:v>
      </x:c>
      <x:c r="C3128" s="70" t="n">
        <x:v>46242.04171075232</x:v>
      </x:c>
      <x:c r="D3128" s="50" t="str">
        <x:v>SWING_SETUP</x:v>
      </x:c>
      <x:c r="E3128" s="50" t="str">
        <x:v>PFE SWING SETUP</x:v>
      </x:c>
      <x:c r="F3128" s="50" t="str">
        <x:v>WATCH</x:v>
      </x:c>
      <x:c r="G3128" s="50"/>
      <x:c r="H3128" s="50" t="str">
        <x:v>LONG</x:v>
      </x:c>
      <x:c r="I3128" s="71" t="n">
        <x:v>26.6231</x:v>
      </x:c>
      <x:c r="J3128" s="76" t="str">
        <x:v>SIP</x:v>
      </x:c>
    </x:row>
    <x:row r="3129">
      <x:c r="A3129" s="50" t="str">
        <x:v>019fdee2-5a94-7e74-99b8-6c96510859ff</x:v>
      </x:c>
      <x:c r="B3129" s="50" t="str">
        <x:v>NUE</x:v>
      </x:c>
      <x:c r="C3129" s="70" t="n">
        <x:v>46242.04171430555</x:v>
      </x:c>
      <x:c r="D3129" s="50" t="str">
        <x:v>SWING_SETUP</x:v>
      </x:c>
      <x:c r="E3129" s="50" t="str">
        <x:v>NUE SWING SETUP</x:v>
      </x:c>
      <x:c r="F3129" s="50" t="str">
        <x:v>WATCH</x:v>
      </x:c>
      <x:c r="G3129" s="50"/>
      <x:c r="H3129" s="50" t="str">
        <x:v>LONG</x:v>
      </x:c>
      <x:c r="I3129" s="71" t="n">
        <x:v>272.57</x:v>
      </x:c>
      <x:c r="J3129" s="76" t="str">
        <x:v>SIP</x:v>
      </x:c>
    </x:row>
    <x:row r="3130">
      <x:c r="A3130" s="50" t="str">
        <x:v>019fdee2-5ad1-798c-8fe1-5c4b88523ee8</x:v>
      </x:c>
      <x:c r="B3130" s="50" t="str">
        <x:v>DLR</x:v>
      </x:c>
      <x:c r="C3130" s="70" t="n">
        <x:v>46242.041715011575</x:v>
      </x:c>
      <x:c r="D3130" s="50" t="str">
        <x:v>SWING_SETUP</x:v>
      </x:c>
      <x:c r="E3130" s="50" t="str">
        <x:v>DLR SWING SETUP</x:v>
      </x:c>
      <x:c r="F3130" s="50" t="str">
        <x:v>WATCH</x:v>
      </x:c>
      <x:c r="G3130" s="50"/>
      <x:c r="H3130" s="50" t="str">
        <x:v>LONG</x:v>
      </x:c>
      <x:c r="I3130" s="71" t="n">
        <x:v>193.8</x:v>
      </x:c>
      <x:c r="J3130" s="76" t="str">
        <x:v>SIP</x:v>
      </x:c>
    </x:row>
    <x:row r="3131">
      <x:c r="A3131" s="50" t="str">
        <x:v>019fdee3-43da-7da9-b9d3-27161a41db19</x:v>
      </x:c>
      <x:c r="B3131" s="50" t="str">
        <x:v>AMGN</x:v>
      </x:c>
      <x:c r="C3131" s="70" t="n">
        <x:v>46242.04240547454</x:v>
      </x:c>
      <x:c r="D3131" s="50" t="str">
        <x:v>SWING_SETUP</x:v>
      </x:c>
      <x:c r="E3131" s="50" t="str">
        <x:v>AMGN SWING SETUP</x:v>
      </x:c>
      <x:c r="F3131" s="50" t="str">
        <x:v>WATCH</x:v>
      </x:c>
      <x:c r="G3131" s="50"/>
      <x:c r="H3131" s="50" t="str">
        <x:v>LONG</x:v>
      </x:c>
      <x:c r="I3131" s="71" t="n">
        <x:v>410.35</x:v>
      </x:c>
      <x:c r="J3131" s="76" t="str">
        <x:v>SIP</x:v>
      </x:c>
    </x:row>
    <x:row r="3132">
      <x:c r="A3132" s="50" t="str">
        <x:v>019fdee3-44a6-75ec-8789-9210e683e3e6</x:v>
      </x:c>
      <x:c r="B3132" s="50" t="str">
        <x:v>CROX</x:v>
      </x:c>
      <x:c r="C3132" s="70" t="n">
        <x:v>46242.04240784722</x:v>
      </x:c>
      <x:c r="D3132" s="50" t="str">
        <x:v>SWING_SETUP</x:v>
      </x:c>
      <x:c r="E3132" s="50" t="str">
        <x:v>CROX SWING SETUP</x:v>
      </x:c>
      <x:c r="F3132" s="50" t="str">
        <x:v>WATCH</x:v>
      </x:c>
      <x:c r="G3132" s="50"/>
      <x:c r="H3132" s="50" t="str">
        <x:v>LONG</x:v>
      </x:c>
      <x:c r="I3132" s="71" t="n">
        <x:v>136.56</x:v>
      </x:c>
      <x:c r="J3132" s="76" t="str">
        <x:v>SIP</x:v>
      </x:c>
    </x:row>
    <x:row r="3133">
      <x:c r="A3133" s="50" t="str">
        <x:v>019fdee5-184d-7dfa-966d-dd1db15554e1</x:v>
      </x:c>
      <x:c r="B3133" s="50" t="str">
        <x:v>JPM</x:v>
      </x:c>
      <x:c r="C3133" s="70" t="n">
        <x:v>46242.0437934838</x:v>
      </x:c>
      <x:c r="D3133" s="50" t="str">
        <x:v>SWING_SETUP</x:v>
      </x:c>
      <x:c r="E3133" s="50" t="str">
        <x:v>JPM SWING SETUP</x:v>
      </x:c>
      <x:c r="F3133" s="50" t="str">
        <x:v>WATCH</x:v>
      </x:c>
      <x:c r="G3133" s="50"/>
      <x:c r="H3133" s="50" t="str">
        <x:v>LONG</x:v>
      </x:c>
      <x:c r="I3133" s="71" t="n">
        <x:v>357.4511</x:v>
      </x:c>
      <x:c r="J3133" s="76" t="str">
        <x:v>SIP</x:v>
      </x:c>
    </x:row>
    <x:row r="3134">
      <x:c r="A3134" s="50" t="str">
        <x:v>019fdee5-18a4-7d34-98fa-5724da06002f</x:v>
      </x:c>
      <x:c r="B3134" s="50" t="str">
        <x:v>ETHA</x:v>
      </x:c>
      <x:c r="C3134" s="70" t="n">
        <x:v>46242.04379449074</x:v>
      </x:c>
      <x:c r="D3134" s="50" t="str">
        <x:v>SWING_SETUP</x:v>
      </x:c>
      <x:c r="E3134" s="50" t="str">
        <x:v>ETHA SWING SETUP</x:v>
      </x:c>
      <x:c r="F3134" s="50" t="str">
        <x:v>WATCH</x:v>
      </x:c>
      <x:c r="G3134" s="50"/>
      <x:c r="H3134" s="50" t="str">
        <x:v>LONG</x:v>
      </x:c>
      <x:c r="I3134" s="71" t="n">
        <x:v>14.4947</x:v>
      </x:c>
      <x:c r="J3134" s="76" t="str">
        <x:v>SIP</x:v>
      </x:c>
    </x:row>
    <x:row r="3135">
      <x:c r="A3135" s="50" t="str">
        <x:v>019fdee5-18f8-71c1-bac4-5e59eeba4eb8</x:v>
      </x:c>
      <x:c r="B3135" s="50" t="str">
        <x:v>CEG</x:v>
      </x:c>
      <x:c r="C3135" s="70" t="n">
        <x:v>46242.04379546296</x:v>
      </x:c>
      <x:c r="D3135" s="50" t="str">
        <x:v>SWING_SETUP</x:v>
      </x:c>
      <x:c r="E3135" s="50" t="str">
        <x:v>CEG SWING SETUP</x:v>
      </x:c>
      <x:c r="F3135" s="50" t="str">
        <x:v>WATCH</x:v>
      </x:c>
      <x:c r="G3135" s="50"/>
      <x:c r="H3135" s="50" t="str">
        <x:v>LONG</x:v>
      </x:c>
      <x:c r="I3135" s="71" t="n">
        <x:v>269.9</x:v>
      </x:c>
      <x:c r="J3135" s="76" t="str">
        <x:v>SIP</x:v>
      </x:c>
    </x:row>
    <x:row r="3136">
      <x:c r="A3136" s="50" t="str">
        <x:v>019fdee5-1a97-72f0-bbc8-98b15353063d</x:v>
      </x:c>
      <x:c r="B3136" s="50" t="str">
        <x:v>ANET</x:v>
      </x:c>
      <x:c r="C3136" s="70" t="n">
        <x:v>46242.043800266205</x:v>
      </x:c>
      <x:c r="D3136" s="50" t="str">
        <x:v>SWING_SETUP</x:v>
      </x:c>
      <x:c r="E3136" s="50" t="str">
        <x:v>ANET SWING SETUP</x:v>
      </x:c>
      <x:c r="F3136" s="50" t="str">
        <x:v>WATCH</x:v>
      </x:c>
      <x:c r="G3136" s="50"/>
      <x:c r="H3136" s="50" t="str">
        <x:v>LONG</x:v>
      </x:c>
      <x:c r="I3136" s="71" t="n">
        <x:v>189.14</x:v>
      </x:c>
      <x:c r="J3136" s="76" t="str">
        <x:v>SIP</x:v>
      </x:c>
    </x:row>
    <x:row r="3137">
      <x:c r="A3137" s="50" t="str">
        <x:v>019fdee5-1aac-7706-8781-cc52e673d3b5</x:v>
      </x:c>
      <x:c r="B3137" s="50" t="str">
        <x:v>UNP</x:v>
      </x:c>
      <x:c r="C3137" s="70" t="n">
        <x:v>46242.04380049768</x:v>
      </x:c>
      <x:c r="D3137" s="50" t="str">
        <x:v>SWING_SETUP</x:v>
      </x:c>
      <x:c r="E3137" s="50" t="str">
        <x:v>UNP SWING SETUP</x:v>
      </x:c>
      <x:c r="F3137" s="50" t="str">
        <x:v>WATCH</x:v>
      </x:c>
      <x:c r="G3137" s="50"/>
      <x:c r="H3137" s="50" t="str">
        <x:v>LONG</x:v>
      </x:c>
      <x:c r="I3137" s="71" t="n">
        <x:v>293.13</x:v>
      </x:c>
      <x:c r="J3137" s="76" t="str">
        <x:v>SIP</x:v>
      </x:c>
    </x:row>
    <x:row r="3138">
      <x:c r="A3138" s="50" t="str">
        <x:v>019fdee5-1ac6-79f0-95f3-926b9934a81b</x:v>
      </x:c>
      <x:c r="B3138" s="50" t="str">
        <x:v>COP</x:v>
      </x:c>
      <x:c r="C3138" s="70" t="n">
        <x:v>46242.043800810185</x:v>
      </x:c>
      <x:c r="D3138" s="50" t="str">
        <x:v>SWING_SETUP</x:v>
      </x:c>
      <x:c r="E3138" s="50" t="str">
        <x:v>COP SWING SETUP</x:v>
      </x:c>
      <x:c r="F3138" s="50" t="str">
        <x:v>WATCH</x:v>
      </x:c>
      <x:c r="G3138" s="50"/>
      <x:c r="H3138" s="50" t="str">
        <x:v>LONG</x:v>
      </x:c>
      <x:c r="I3138" s="71" t="n">
        <x:v>117.6</x:v>
      </x:c>
      <x:c r="J3138" s="76" t="str">
        <x:v>SIP</x:v>
      </x:c>
    </x:row>
    <x:row r="3139">
      <x:c r="A3139" s="50" t="str">
        <x:v>019fdee6-030d-7e19-9f23-bf3f2a915a34</x:v>
      </x:c>
      <x:c r="B3139" s="50" t="str">
        <x:v>PYPL</x:v>
      </x:c>
      <x:c r="C3139" s="70" t="n">
        <x:v>46242.04448902778</x:v>
      </x:c>
      <x:c r="D3139" s="50" t="str">
        <x:v>SWING_SETUP</x:v>
      </x:c>
      <x:c r="E3139" s="50" t="str">
        <x:v>PYPL SWING SETUP</x:v>
      </x:c>
      <x:c r="F3139" s="50" t="str">
        <x:v>WATCH</x:v>
      </x:c>
      <x:c r="G3139" s="50"/>
      <x:c r="H3139" s="50" t="str">
        <x:v>LONG</x:v>
      </x:c>
      <x:c r="I3139" s="71" t="n">
        <x:v>59.095</x:v>
      </x:c>
      <x:c r="J3139" s="76" t="str">
        <x:v>SIP</x:v>
      </x:c>
    </x:row>
    <x:row r="3140">
      <x:c r="A3140" s="50" t="str">
        <x:v>019fdee6-040d-733f-9757-8b82b4f3008f</x:v>
      </x:c>
      <x:c r="B3140" s="50" t="str">
        <x:v>BMY</x:v>
      </x:c>
      <x:c r="C3140" s="70" t="n">
        <x:v>46242.044492002315</x:v>
      </x:c>
      <x:c r="D3140" s="50" t="str">
        <x:v>SWING_SETUP</x:v>
      </x:c>
      <x:c r="E3140" s="50" t="str">
        <x:v>BMY SWING SETUP</x:v>
      </x:c>
      <x:c r="F3140" s="50" t="str">
        <x:v>WATCH</x:v>
      </x:c>
      <x:c r="G3140" s="50"/>
      <x:c r="H3140" s="50" t="str">
        <x:v>LONG</x:v>
      </x:c>
      <x:c r="I3140" s="71" t="n">
        <x:v>64.69</x:v>
      </x:c>
      <x:c r="J3140" s="76" t="str">
        <x:v>SIP</x:v>
      </x:c>
    </x:row>
    <x:row r="3141">
      <x:c r="A3141" s="50" t="str">
        <x:v>019fdee6-0475-77ff-8204-e587e2fb0afc</x:v>
      </x:c>
      <x:c r="B3141" s="50" t="str">
        <x:v>INTU</x:v>
      </x:c>
      <x:c r="C3141" s="70" t="n">
        <x:v>46242.04449320602</x:v>
      </x:c>
      <x:c r="D3141" s="50" t="str">
        <x:v>SWING_SETUP</x:v>
      </x:c>
      <x:c r="E3141" s="50" t="str">
        <x:v>INTU SWING SETUP</x:v>
      </x:c>
      <x:c r="F3141" s="50" t="str">
        <x:v>WATCH</x:v>
      </x:c>
      <x:c r="G3141" s="50"/>
      <x:c r="H3141" s="50" t="str">
        <x:v>LONG</x:v>
      </x:c>
      <x:c r="I3141" s="71" t="n">
        <x:v>325.25</x:v>
      </x:c>
      <x:c r="J3141" s="76" t="str">
        <x:v>SIP</x:v>
      </x:c>
    </x:row>
    <x:row r="3142">
      <x:c r="A3142" s="50" t="str">
        <x:v>019fdee6-efa1-7f94-9cc5-85fac5a29ae2</x:v>
      </x:c>
      <x:c r="B3142" s="50" t="str">
        <x:v>PLTR</x:v>
      </x:c>
      <x:c r="C3142" s="70" t="n">
        <x:v>46242.04519001157</x:v>
      </x:c>
      <x:c r="D3142" s="50" t="str">
        <x:v>SWING_SETUP</x:v>
      </x:c>
      <x:c r="E3142" s="50" t="str">
        <x:v>PLTR SWING SETUP</x:v>
      </x:c>
      <x:c r="F3142" s="50" t="str">
        <x:v>WATCH</x:v>
      </x:c>
      <x:c r="G3142" s="50"/>
      <x:c r="H3142" s="50" t="str">
        <x:v>LONG</x:v>
      </x:c>
      <x:c r="I3142" s="71" t="n">
        <x:v>171.58</x:v>
      </x:c>
      <x:c r="J3142" s="76" t="str">
        <x:v>SIP</x:v>
      </x:c>
    </x:row>
    <x:row r="3143">
      <x:c r="A3143" s="50" t="str">
        <x:v>019fdee6-efa7-74bd-83c3-6047f659c98f</x:v>
      </x:c>
      <x:c r="B3143" s="50" t="str">
        <x:v>RDW</x:v>
      </x:c>
      <x:c r="C3143" s="70" t="n">
        <x:v>46242.04519008102</x:v>
      </x:c>
      <x:c r="D3143" s="50" t="str">
        <x:v>SWING_SETUP</x:v>
      </x:c>
      <x:c r="E3143" s="50" t="str">
        <x:v>RDW SWING SETUP</x:v>
      </x:c>
      <x:c r="F3143" s="50" t="str">
        <x:v>WATCH</x:v>
      </x:c>
      <x:c r="G3143" s="50"/>
      <x:c r="H3143" s="50" t="str">
        <x:v>LONG</x:v>
      </x:c>
      <x:c r="I3143" s="71" t="n">
        <x:v>13.56</x:v>
      </x:c>
      <x:c r="J3143" s="76" t="str">
        <x:v>SIP</x:v>
      </x:c>
    </x:row>
    <x:row r="3144">
      <x:c r="A3144" s="50" t="str">
        <x:v>019fdee7-d73b-73b1-9846-07b230e7b365</x:v>
      </x:c>
      <x:c r="B3144" s="50" t="str">
        <x:v>NOC</x:v>
      </x:c>
      <x:c r="C3144" s="70" t="n">
        <x:v>46242.04587623842</x:v>
      </x:c>
      <x:c r="D3144" s="50" t="str">
        <x:v>SWING_SETUP</x:v>
      </x:c>
      <x:c r="E3144" s="50" t="str">
        <x:v>NOC SWING SETUP</x:v>
      </x:c>
      <x:c r="F3144" s="50" t="str">
        <x:v>WATCH</x:v>
      </x:c>
      <x:c r="G3144" s="50"/>
      <x:c r="H3144" s="50" t="str">
        <x:v>LONG</x:v>
      </x:c>
      <x:c r="I3144" s="71" t="n">
        <x:v>571.58</x:v>
      </x:c>
      <x:c r="J3144" s="76" t="str">
        <x:v>SIP</x:v>
      </x:c>
    </x:row>
    <x:row r="3145">
      <x:c r="A3145" s="50" t="str">
        <x:v>019fdee7-d766-76b8-aaf5-b6bc40d8a7a9</x:v>
      </x:c>
      <x:c r="B3145" s="50" t="str">
        <x:v>PSX</x:v>
      </x:c>
      <x:c r="C3145" s="70" t="n">
        <x:v>46242.04587673611</x:v>
      </x:c>
      <x:c r="D3145" s="50" t="str">
        <x:v>SWING_SETUP</x:v>
      </x:c>
      <x:c r="E3145" s="50" t="str">
        <x:v>PSX SWING SETUP</x:v>
      </x:c>
      <x:c r="F3145" s="50" t="str">
        <x:v>WATCH</x:v>
      </x:c>
      <x:c r="G3145" s="50"/>
      <x:c r="H3145" s="50" t="str">
        <x:v>LONG</x:v>
      </x:c>
      <x:c r="I3145" s="71" t="n">
        <x:v>203.91</x:v>
      </x:c>
      <x:c r="J3145" s="76" t="str">
        <x:v>SIP</x:v>
      </x:c>
    </x:row>
    <x:row r="3146">
      <x:c r="A3146" s="50" t="str">
        <x:v>019fdee7-d76e-7e7c-9ca9-47340ee6cfb2</x:v>
      </x:c>
      <x:c r="B3146" s="50" t="str">
        <x:v>ETN</x:v>
      </x:c>
      <x:c r="C3146" s="70" t="n">
        <x:v>46242.045876828706</x:v>
      </x:c>
      <x:c r="D3146" s="50" t="str">
        <x:v>SWING_SETUP</x:v>
      </x:c>
      <x:c r="E3146" s="50" t="str">
        <x:v>ETN SWING SETUP</x:v>
      </x:c>
      <x:c r="F3146" s="50" t="str">
        <x:v>WATCH</x:v>
      </x:c>
      <x:c r="G3146" s="50"/>
      <x:c r="H3146" s="50" t="str">
        <x:v>LONG</x:v>
      </x:c>
      <x:c r="I3146" s="71" t="n">
        <x:v>448.67</x:v>
      </x:c>
      <x:c r="J3146" s="76" t="str">
        <x:v>SIP</x:v>
      </x:c>
    </x:row>
    <x:row r="3147">
      <x:c r="A3147" s="50" t="str">
        <x:v>019fdee7-d799-7ea9-b891-84c07fdabd65</x:v>
      </x:c>
      <x:c r="B3147" s="50" t="str">
        <x:v>APA</x:v>
      </x:c>
      <x:c r="C3147" s="70" t="n">
        <x:v>46242.04587732639</x:v>
      </x:c>
      <x:c r="D3147" s="50" t="str">
        <x:v>SWING_SETUP</x:v>
      </x:c>
      <x:c r="E3147" s="50" t="str">
        <x:v>APA SWING SETUP</x:v>
      </x:c>
      <x:c r="F3147" s="50" t="str">
        <x:v>WATCH</x:v>
      </x:c>
      <x:c r="G3147" s="50"/>
      <x:c r="H3147" s="50" t="str">
        <x:v>LONG</x:v>
      </x:c>
      <x:c r="I3147" s="71" t="n">
        <x:v>37.648</x:v>
      </x:c>
      <x:c r="J3147" s="76" t="str">
        <x:v>SIP</x:v>
      </x:c>
    </x:row>
    <x:row r="3148">
      <x:c r="A3148" s="50" t="str">
        <x:v>019fdee7-d79f-7cd1-964e-6af1ecc01ce3</x:v>
      </x:c>
      <x:c r="B3148" s="50" t="str">
        <x:v>WELL</x:v>
      </x:c>
      <x:c r="C3148" s="70" t="n">
        <x:v>46242.04587739583</x:v>
      </x:c>
      <x:c r="D3148" s="50" t="str">
        <x:v>SWING_SETUP</x:v>
      </x:c>
      <x:c r="E3148" s="50" t="str">
        <x:v>WELL SWING SETUP</x:v>
      </x:c>
      <x:c r="F3148" s="50" t="str">
        <x:v>WATCH</x:v>
      </x:c>
      <x:c r="G3148" s="50"/>
      <x:c r="H3148" s="50" t="str">
        <x:v>LONG</x:v>
      </x:c>
      <x:c r="I3148" s="71" t="n">
        <x:v>236.92</x:v>
      </x:c>
      <x:c r="J3148" s="76" t="str">
        <x:v>SIP</x:v>
      </x:c>
    </x:row>
    <x:row r="3149">
      <x:c r="A3149" s="50" t="str">
        <x:v>019fdee7-d7b7-758b-ba40-f1660b87dbde</x:v>
      </x:c>
      <x:c r="B3149" s="50" t="str">
        <x:v>ABNB</x:v>
      </x:c>
      <x:c r="C3149" s="70" t="n">
        <x:v>46242.04587767361</x:v>
      </x:c>
      <x:c r="D3149" s="50" t="str">
        <x:v>SWING_SETUP</x:v>
      </x:c>
      <x:c r="E3149" s="50" t="str">
        <x:v>ABNB SWING SETUP</x:v>
      </x:c>
      <x:c r="F3149" s="50" t="str">
        <x:v>WATCH</x:v>
      </x:c>
      <x:c r="G3149" s="50"/>
      <x:c r="H3149" s="50" t="str">
        <x:v>LONG</x:v>
      </x:c>
      <x:c r="I3149" s="71" t="n">
        <x:v>177.9101</x:v>
      </x:c>
      <x:c r="J3149" s="76" t="str">
        <x:v>SIP</x:v>
      </x:c>
    </x:row>
    <x:row r="3150">
      <x:c r="A3150" s="50" t="str">
        <x:v>019fdee9-ad4b-707f-b497-d17be13b72b6</x:v>
      </x:c>
      <x:c r="B3150" s="50" t="str">
        <x:v>LMT</x:v>
      </x:c>
      <x:c r="C3150" s="70" t="n">
        <x:v>46242.047269016206</x:v>
      </x:c>
      <x:c r="D3150" s="50" t="str">
        <x:v>SWING_SETUP</x:v>
      </x:c>
      <x:c r="E3150" s="50" t="str">
        <x:v>LMT SWING SETUP</x:v>
      </x:c>
      <x:c r="F3150" s="50" t="str">
        <x:v>WATCH</x:v>
      </x:c>
      <x:c r="G3150" s="50"/>
      <x:c r="H3150" s="50" t="str">
        <x:v>LONG</x:v>
      </x:c>
      <x:c r="I3150" s="71" t="n">
        <x:v>587.92</x:v>
      </x:c>
      <x:c r="J3150" s="76" t="str">
        <x:v>SIP</x:v>
      </x:c>
    </x:row>
    <x:row r="3151">
      <x:c r="A3151" s="50" t="str">
        <x:v>019fdee9-ae71-7b55-95ed-7fffec9eddc6</x:v>
      </x:c>
      <x:c r="B3151" s="50" t="str">
        <x:v>MMM</x:v>
      </x:c>
      <x:c r="C3151" s="70" t="n">
        <x:v>46242.04727241898</x:v>
      </x:c>
      <x:c r="D3151" s="50" t="str">
        <x:v>SWING_SETUP</x:v>
      </x:c>
      <x:c r="E3151" s="50" t="str">
        <x:v>MMM SWING SETUP</x:v>
      </x:c>
      <x:c r="F3151" s="50" t="str">
        <x:v>WATCH</x:v>
      </x:c>
      <x:c r="G3151" s="50"/>
      <x:c r="H3151" s="50" t="str">
        <x:v>LONG</x:v>
      </x:c>
      <x:c r="I3151" s="71" t="n">
        <x:v>182.89</x:v>
      </x:c>
      <x:c r="J3151" s="76" t="str">
        <x:v>SIP</x:v>
      </x:c>
    </x:row>
    <x:row r="3152">
      <x:c r="A3152" s="50" t="str">
        <x:v>019fdee9-ae9a-7d71-878f-bac65108f830</x:v>
      </x:c>
      <x:c r="B3152" s="50" t="str">
        <x:v>APH</x:v>
      </x:c>
      <x:c r="C3152" s="70" t="n">
        <x:v>46242.047272881944</x:v>
      </x:c>
      <x:c r="D3152" s="50" t="str">
        <x:v>SWING_SETUP</x:v>
      </x:c>
      <x:c r="E3152" s="50" t="str">
        <x:v>APH SWING SETUP</x:v>
      </x:c>
      <x:c r="F3152" s="50" t="str">
        <x:v>WATCH</x:v>
      </x:c>
      <x:c r="G3152" s="50"/>
      <x:c r="H3152" s="50" t="str">
        <x:v>LONG</x:v>
      </x:c>
      <x:c r="I3152" s="71" t="n">
        <x:v>169.18</x:v>
      </x:c>
      <x:c r="J3152" s="76" t="str">
        <x:v>SIP</x:v>
      </x:c>
    </x:row>
    <x:row r="3153">
      <x:c r="A3153" s="50" t="str">
        <x:v>019fdee9-ae9f-7ade-991e-bb4832ede738</x:v>
      </x:c>
      <x:c r="B3153" s="50" t="str">
        <x:v>NVDA</x:v>
      </x:c>
      <x:c r="C3153" s="70" t="n">
        <x:v>46242.047272951386</x:v>
      </x:c>
      <x:c r="D3153" s="50" t="str">
        <x:v>SWING_SETUP</x:v>
      </x:c>
      <x:c r="E3153" s="50" t="str">
        <x:v>NVDA SWING SETUP</x:v>
      </x:c>
      <x:c r="F3153" s="50" t="str">
        <x:v>WATCH</x:v>
      </x:c>
      <x:c r="G3153" s="50"/>
      <x:c r="H3153" s="50" t="str">
        <x:v>LONG</x:v>
      </x:c>
      <x:c r="I3153" s="71" t="n">
        <x:v>223.65</x:v>
      </x:c>
      <x:c r="J3153" s="76" t="str">
        <x:v>SIP</x:v>
      </x:c>
    </x:row>
    <x:row r="3154">
      <x:c r="A3154" s="50" t="str">
        <x:v>019fdee9-aebc-7349-8262-7094e3d06f81</x:v>
      </x:c>
      <x:c r="B3154" s="50" t="str">
        <x:v>ACHV</x:v>
      </x:c>
      <x:c r="C3154" s="70" t="n">
        <x:v>46242.04727328704</x:v>
      </x:c>
      <x:c r="D3154" s="50" t="str">
        <x:v>SWING_SETUP</x:v>
      </x:c>
      <x:c r="E3154" s="50" t="str">
        <x:v>ACHV SWING SETUP</x:v>
      </x:c>
      <x:c r="F3154" s="50" t="str">
        <x:v>WATCH</x:v>
      </x:c>
      <x:c r="G3154" s="50"/>
      <x:c r="H3154" s="50" t="str">
        <x:v>LONG</x:v>
      </x:c>
      <x:c r="I3154" s="71" t="n">
        <x:v>6.65</x:v>
      </x:c>
      <x:c r="J3154" s="76" t="str">
        <x:v>SIP</x:v>
      </x:c>
    </x:row>
    <x:row r="3155">
      <x:c r="A3155" s="50" t="str">
        <x:v>019fdee9-aee8-7b1c-bcfc-086e4745eb08</x:v>
      </x:c>
      <x:c r="B3155" s="50" t="str">
        <x:v>XOM</x:v>
      </x:c>
      <x:c r="C3155" s="70" t="n">
        <x:v>46242.0472737963</x:v>
      </x:c>
      <x:c r="D3155" s="50" t="str">
        <x:v>SWING_SETUP</x:v>
      </x:c>
      <x:c r="E3155" s="50" t="str">
        <x:v>XOM SWING SETUP</x:v>
      </x:c>
      <x:c r="F3155" s="50" t="str">
        <x:v>WATCH</x:v>
      </x:c>
      <x:c r="G3155" s="50"/>
      <x:c r="H3155" s="50" t="str">
        <x:v>LONG</x:v>
      </x:c>
      <x:c r="I3155" s="71" t="n">
        <x:v>153.1</x:v>
      </x:c>
      <x:c r="J3155" s="76" t="str">
        <x:v>SIP</x:v>
      </x:c>
    </x:row>
    <x:row r="3156">
      <x:c r="A3156" s="50" t="str">
        <x:v>019fdee9-aeef-7b2b-a141-b33781fb8c3f</x:v>
      </x:c>
      <x:c r="B3156" s="50" t="str">
        <x:v>SBUX</x:v>
      </x:c>
      <x:c r="C3156" s="70" t="n">
        <x:v>46242.04727387732</x:v>
      </x:c>
      <x:c r="D3156" s="50" t="str">
        <x:v>SWING_SETUP</x:v>
      </x:c>
      <x:c r="E3156" s="50" t="str">
        <x:v>SBUX SWING SETUP</x:v>
      </x:c>
      <x:c r="F3156" s="50" t="str">
        <x:v>WATCH</x:v>
      </x:c>
      <x:c r="G3156" s="50"/>
      <x:c r="H3156" s="50" t="str">
        <x:v>LONG</x:v>
      </x:c>
      <x:c r="I3156" s="71" t="n">
        <x:v>105.58</x:v>
      </x:c>
      <x:c r="J3156" s="76" t="str">
        <x:v>SIP</x:v>
      </x:c>
    </x:row>
    <x:row r="3157">
      <x:c r="A3157" s="50" t="str">
        <x:v>019fdee9-aefc-7eda-a525-c3b96b851af4</x:v>
      </x:c>
      <x:c r="B3157" s="50" t="str">
        <x:v>MDLZ</x:v>
      </x:c>
      <x:c r="C3157" s="70" t="n">
        <x:v>46242.04727402778</x:v>
      </x:c>
      <x:c r="D3157" s="50" t="str">
        <x:v>SWING_SETUP</x:v>
      </x:c>
      <x:c r="E3157" s="50" t="str">
        <x:v>MDLZ SWING SETUP</x:v>
      </x:c>
      <x:c r="F3157" s="50" t="str">
        <x:v>WATCH</x:v>
      </x:c>
      <x:c r="G3157" s="50"/>
      <x:c r="H3157" s="50" t="str">
        <x:v>LONG</x:v>
      </x:c>
      <x:c r="I3157" s="71" t="n">
        <x:v>62.61</x:v>
      </x:c>
      <x:c r="J3157" s="76" t="str">
        <x:v>SIP</x:v>
      </x:c>
    </x:row>
    <x:row r="3158">
      <x:c r="A3158" s="50" t="str">
        <x:v>019fdee9-af1b-71fb-8a10-820a39be8815</x:v>
      </x:c>
      <x:c r="B3158" s="50" t="str">
        <x:v>OXY</x:v>
      </x:c>
      <x:c r="C3158" s="70" t="n">
        <x:v>46242.047274386576</x:v>
      </x:c>
      <x:c r="D3158" s="50" t="str">
        <x:v>SWING_SETUP</x:v>
      </x:c>
      <x:c r="E3158" s="50" t="str">
        <x:v>OXY SWING SETUP</x:v>
      </x:c>
      <x:c r="F3158" s="50" t="str">
        <x:v>WATCH</x:v>
      </x:c>
      <x:c r="G3158" s="50"/>
      <x:c r="H3158" s="50" t="str">
        <x:v>LONG</x:v>
      </x:c>
      <x:c r="I3158" s="71" t="n">
        <x:v>56.03</x:v>
      </x:c>
      <x:c r="J3158" s="76" t="str">
        <x:v>SIP</x:v>
      </x:c>
    </x:row>
  </x:sheetData>
  <x:pageMargins left="0.7" right="0.7" top="0.75" bottom="0.75" header="0.3" footer="0.3"/>
  <x:tableParts count="1">
    <x:tablePart xmlns:r="http://schemas.openxmlformats.org/officeDocument/2006/relationships" r:id="Rdee8e245e6d9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50" hidden="0" customWidth="1"/>
    <x:col min="4" max="4" width="8.25" hidden="0" customWidth="1"/>
    <x:col min="5" max="5" width="5.630000114440918" hidden="0" customWidth="1"/>
    <x:col min="6" max="6" width="28" hidden="0" customWidth="1"/>
  </x:cols>
  <x:sheetData>
    <x:row r="1">
      <x:c r="A1" s="78" t="str">
        <x:v>Fuentes, metodología y controles</x:v>
      </x:c>
      <x:c r="B1" s="78"/>
      <x:c r="C1" s="78"/>
      <x:c r="D1" s="78"/>
      <x:c r="E1" s="78"/>
      <x:c r="F1" s="78"/>
    </x:row>
    <x:row r="2">
      <x:c r="A2" s="50"/>
      <x:c r="B2" s="50"/>
      <x:c r="C2" s="50"/>
      <x:c r="D2" s="50"/>
      <x:c r="E2" s="50"/>
      <x:c r="F2" s="50"/>
    </x:row>
    <x:row r="3">
      <x:c r="A3" s="79" t="str">
        <x:v>Elemento</x:v>
      </x:c>
      <x:c r="B3" s="79" t="str">
        <x:v>Valor</x:v>
      </x:c>
      <x:c r="C3" s="79" t="str">
        <x:v>Notas</x:v>
      </x:c>
      <x:c r="D3" s="50"/>
      <x:c r="E3" s="50"/>
      <x:c r="F3" s="50"/>
    </x:row>
    <x:row r="4">
      <x:c r="A4" s="80" t="str">
        <x:v>Ledger de registros</x:v>
      </x:c>
      <x:c r="B4" s="81" t="str">
        <x:v>\\wsl.localhost\Ubuntu\home\lgonz\Projects\market-bot\.runtime\alerts\marketbot-alerts-2026-08-07.ndjson</x:v>
      </x:c>
      <x:c r="C4" s="81" t="str">
        <x:v>NDJSON append-only de registros confirmados en WSL</x:v>
      </x:c>
      <x:c r="D4" s="50"/>
      <x:c r="E4" s="50"/>
      <x:c r="F4" s="50"/>
    </x:row>
    <x:row r="5">
      <x:c r="A5" s="80" t="str">
        <x:v>Tabla de cierres</x:v>
      </x:c>
      <x:c r="B5" s="81" t="str">
        <x:v>market_bot.market_bars</x:v>
      </x:c>
      <x:c r="C5" s="81" t="str">
        <x:v>timeframe=1Day; timestamp=2026-08-07T04:00:00Z</x:v>
      </x:c>
      <x:c r="D5" s="50"/>
      <x:c r="E5" s="50"/>
      <x:c r="F5" s="50"/>
    </x:row>
    <x:row r="6">
      <x:c r="A6" s="80" t="str">
        <x:v>Cantidad ledger</x:v>
      </x:c>
      <x:c r="B6" s="81" t="n">
        <x:v>3157</x:v>
      </x:c>
      <x:c r="C6" s="81" t="str">
        <x:v>Filas únicas del NDJSON</x:v>
      </x:c>
      <x:c r="D6" s="50"/>
      <x:c r="E6" s="50"/>
      <x:c r="F6" s="50"/>
    </x:row>
    <x:row r="7">
      <x:c r="A7" s="80" t="str">
        <x:v>Tickers únicos</x:v>
      </x:c>
      <x:c r="B7" s="81" t="n">
        <x:v>103</x:v>
      </x:c>
      <x:c r="C7" s="81" t="str">
        <x:v>Agrupación por símbolo</x:v>
      </x:c>
      <x:c r="D7" s="50"/>
      <x:c r="E7" s="50"/>
      <x:c r="F7" s="50"/>
    </x:row>
    <x:row r="8">
      <x:c r="A8" s="80" t="str">
        <x:v>Cobertura de cierre</x:v>
      </x:c>
      <x:c r="B8" s="81" t="n">
        <x:v>103</x:v>
      </x:c>
      <x:c r="C8" s="81" t="str">
        <x:v>Cierres finales encontrados</x:v>
      </x:c>
      <x:c r="D8" s="50"/>
      <x:c r="E8" s="50"/>
      <x:c r="F8" s="50"/>
    </x:row>
    <x:row r="9">
      <x:c r="A9" s="80" t="str">
        <x:v>Regla de selección</x:v>
      </x:c>
      <x:c r="B9" s="81" t="str">
        <x:v>Primer registro confirmado con precio; se prioriza L1–L4 cuando está disponible.</x:v>
      </x:c>
      <x:c r="C9" s="81" t="str">
        <x:v>Una observación principal por ticker</x:v>
      </x:c>
      <x:c r="D9" s="50"/>
      <x:c r="E9" s="50"/>
      <x:c r="F9" s="50"/>
    </x:row>
    <x:row r="10">
      <x:c r="A10" s="50"/>
      <x:c r="B10" s="50"/>
      <x:c r="C10" s="50"/>
      <x:c r="D10" s="50"/>
      <x:c r="E10" s="50"/>
      <x:c r="F10" s="50"/>
    </x:row>
    <x:row r="11">
      <x:c r="A11" s="77" t="str">
        <x:v>Control</x:v>
      </x:c>
      <x:c r="B11" s="77" t="str">
        <x:v>Actual</x:v>
      </x:c>
      <x:c r="C11" s="77" t="str">
        <x:v>Esperado</x:v>
      </x:c>
      <x:c r="D11" s="77" t="str">
        <x:v>Diferencia</x:v>
      </x:c>
      <x:c r="E11" s="77" t="str">
        <x:v>Estado</x:v>
      </x:c>
      <x:c r="F11" s="77" t="str">
        <x:v>Notas</x:v>
      </x:c>
    </x:row>
    <x:row r="12">
      <x:c r="A12" s="50" t="str">
        <x:v>Registros confirmados</x:v>
      </x:c>
      <x:c r="B12" s="76" t="n">
        <x:f>COUNTA('Registros confirmados'!A2:A3158)</x:f>
        <x:v>3157</x:v>
      </x:c>
      <x:c r="C12" s="50" t="n">
        <x:v>3157</x:v>
      </x:c>
      <x:c r="D12" s="75" t="n">
        <x:f>B12-C12</x:f>
        <x:v>0</x:v>
      </x:c>
      <x:c r="E12" s="75" t="str">
        <x:f>IF(D12=0,"OK","REVISAR")</x:f>
        <x:v>OK</x:v>
      </x:c>
      <x:c r="F12" s="50" t="str">
        <x:v>Ledger reconciliado</x:v>
      </x:c>
    </x:row>
    <x:row r="13">
      <x:c r="A13" s="50" t="str">
        <x:v>Tickers únicos</x:v>
      </x:c>
      <x:c r="B13" s="76" t="n">
        <x:f>COUNTA('Detalle por ticker'!A2:A104)</x:f>
        <x:v>103</x:v>
      </x:c>
      <x:c r="C13" s="50" t="n">
        <x:v>103</x:v>
      </x:c>
      <x:c r="D13" s="75" t="n">
        <x:f>B13-C13</x:f>
        <x:v>0</x:v>
      </x:c>
      <x:c r="E13" s="75" t="str">
        <x:f>IF(D13=0,"OK","REVISAR")</x:f>
        <x:v>OK</x:v>
      </x:c>
      <x:c r="F13" s="50" t="str">
        <x:v>Agrupación reconciliada</x:v>
      </x:c>
    </x:row>
    <x:row r="14">
      <x:c r="A14" s="50" t="str">
        <x:v>Cierres completos</x:v>
      </x:c>
      <x:c r="B14" s="76" t="n">
        <x:f>COUNTIF('Detalle por ticker'!Y2:Y104,"OK")</x:f>
        <x:v>103</x:v>
      </x:c>
      <x:c r="C14" s="50" t="n">
        <x:v>103</x:v>
      </x:c>
      <x:c r="D14" s="75" t="n">
        <x:f>B14-C14</x:f>
        <x:v>0</x:v>
      </x:c>
      <x:c r="E14" s="75" t="str">
        <x:f>IF(D14=0,"OK","REVISAR")</x:f>
        <x:v>OK</x:v>
      </x:c>
      <x:c r="F14" s="50" t="str">
        <x:v>Sin cierres faltantes</x:v>
      </x:c>
    </x:row>
  </x:sheetData>
  <x:mergeCells>
    <x:mergeCell ref="A1:F1"/>
  </x:mergeCells>
  <x:conditionalFormatting sqref="E12:E14">
    <x:cfRule type="containsText" dxfId="4" priority="1" operator="containsText" text="OK"/>
    <x:cfRule type="containsText" dxfId="5" priority="2" operator="containsText" text="REVISAR"/>
  </x:conditionalFormatting>
  <x:pageMargins left="0.7" right="0.7" top="0.75" bottom="0.75" header="0.3" footer="0.3"/>
</x:worksheet>
</file>