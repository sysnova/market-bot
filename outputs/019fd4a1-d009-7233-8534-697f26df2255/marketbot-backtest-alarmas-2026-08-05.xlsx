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30face0f1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b92b0078cff4292"/>
    <x:sheet xmlns:r="http://schemas.openxmlformats.org/officeDocument/2006/relationships" name="Alarmas" sheetId="2" r:id="R075899da79894c47"/>
    <x:sheet xmlns:r="http://schemas.openxmlformats.org/officeDocument/2006/relationships" name="Metodologia" sheetId="3" r:id="R0fc0a002567044ed"/>
    <x:sheet xmlns:r="http://schemas.openxmlformats.org/officeDocument/2006/relationships" name="Fuentes_Auditoria" sheetId="4" r:id="Re88055453cdd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$0.0000;[Red]($0.0000);-"/>
    <x:numFmt numFmtId="203" formatCode="0.00%;[Red](0.00%);-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7233C"/>
      <x:name val="Carlito"/>
    </x:font>
    <x:font>
      <x:b/>
      <x:sz val="13"/>
      <x:color rgb="FF17233C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sz val="11"/>
      <x:color rgb="FF7C2D12"/>
      <x:name val="Carlito"/>
    </x:font>
    <x:font>
      <x:b/>
      <x:sz val="11"/>
      <x:color rgb="FF17233C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203A5F"/>
      </x:patternFill>
    </x:fill>
    <x:fill>
      <x:patternFill patternType="solid">
        <x:fgColor rgb="FF17233C"/>
      </x:patternFill>
    </x:fill>
    <x:fill>
      <x:patternFill patternType="solid">
        <x:fgColor rgb="FFEAF1F8"/>
      </x:patternFill>
    </x:fill>
    <x:fill>
      <x:patternFill patternType="solid">
        <x:fgColor rgb="FFFFFFFF"/>
      </x:patternFill>
    </x:fill>
    <x:fill>
      <x:patternFill patternType="solid">
        <x:fgColor rgb="FFFDE68A"/>
      </x:patternFill>
    </x:fill>
    <x:fill>
      <x:patternFill patternType="solid">
        <x:fgColor rgb="FF93C5FD"/>
      </x:patternFill>
    </x:fill>
    <x:fill>
      <x:patternFill patternType="solid">
        <x:fgColor rgb="FF86EFAC"/>
      </x:patternFill>
    </x:fill>
    <x:fill>
      <x:patternFill patternType="solid">
        <x:fgColor rgb="FFF0ABFC"/>
      </x:patternFill>
    </x:fill>
    <x:fill>
      <x:patternFill patternType="solid">
        <x:fgColor rgb="FFFFF7ED"/>
      </x:patternFill>
    </x:fill>
    <x:fill>
      <x:patternFill patternType="solid">
        <x:fgColor rgb="FFF3F5F7"/>
      </x:patternFill>
    </x:fill>
  </x:fills>
  <x:borders count="26">
    <x:border/>
    <x:border>
      <x:left style="thin">
        <x:color rgb="FF203A5F"/>
      </x:left>
      <x:top style="thin">
        <x:color rgb="FF203A5F"/>
      </x:top>
      <x:bottom style="thin">
        <x:color rgb="FF203A5F"/>
      </x:bottom>
    </x:border>
    <x:border>
      <x:top style="thin">
        <x:color rgb="FF203A5F"/>
      </x:top>
      <x:bottom style="thin">
        <x:color rgb="FF203A5F"/>
      </x:bottom>
    </x:border>
    <x:border>
      <x:right style="thin">
        <x:color rgb="FF203A5F"/>
      </x:right>
      <x:top style="thin">
        <x:color rgb="FF203A5F"/>
      </x:top>
      <x:bottom style="thin">
        <x:color rgb="FF203A5F"/>
      </x:bottom>
    </x:border>
    <x:border>
      <x:left style="medium">
        <x:color rgb="FFD9E0E7"/>
      </x:left>
      <x:top style="medium">
        <x:color rgb="FFD9E0E7"/>
      </x:top>
      <x:bottom style="medium">
        <x:color rgb="FFD9E0E7"/>
      </x:bottom>
    </x:border>
    <x:border>
      <x:top style="medium">
        <x:color rgb="FFD9E0E7"/>
      </x:top>
      <x:bottom style="medium">
        <x:color rgb="FFD9E0E7"/>
      </x:bottom>
    </x:border>
    <x:border>
      <x:right style="medium">
        <x:color rgb="FFD9E0E7"/>
      </x:right>
      <x:top style="medium">
        <x:color rgb="FFD9E0E7"/>
      </x:top>
      <x:bottom style="medium">
        <x:color rgb="FFD9E0E7"/>
      </x:bottom>
    </x:border>
    <x:border>
      <x:left style="thin">
        <x:color rgb="FFD9E0E7"/>
      </x:left>
      <x:top style="thin">
        <x:color rgb="FFD9E0E7"/>
      </x:top>
      <x:bottom style="thin">
        <x:color rgb="FF203A5F"/>
      </x:bottom>
    </x:border>
    <x:border>
      <x:top style="thin">
        <x:color rgb="FFD9E0E7"/>
      </x:top>
      <x:bottom style="thin">
        <x:color rgb="FF203A5F"/>
      </x:bottom>
    </x:border>
    <x:border>
      <x:right style="thin">
        <x:color rgb="FFD9E0E7"/>
      </x:right>
      <x:top style="thin">
        <x:color rgb="FFD9E0E7"/>
      </x:top>
      <x:bottom style="thin">
        <x:color rgb="FF203A5F"/>
      </x:bottom>
    </x:border>
    <x:border>
      <x:left style="thin">
        <x:color rgb="FFD9E0E7"/>
      </x:left>
    </x:border>
    <x:border>
      <x:right style="thin">
        <x:color rgb="FFD9E0E7"/>
      </x:right>
    </x:border>
    <x:border>
      <x:left style="thin">
        <x:color rgb="FFD9E0E7"/>
      </x:left>
      <x:bottom style="thin">
        <x:color rgb="FFD9E0E7"/>
      </x:bottom>
    </x:border>
    <x:border>
      <x:bottom style="thin">
        <x:color rgb="FFD9E0E7"/>
      </x:bottom>
    </x:border>
    <x:border>
      <x:right style="thin">
        <x:color rgb="FFD9E0E7"/>
      </x:right>
      <x:bottom style="thin">
        <x:color rgb="FFD9E0E7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  <x:border>
      <x:left style="thin">
        <x:color rgb="FFD9E0E7"/>
      </x:left>
      <x:top style="thin">
        <x:color rgb="FFD9E0E7"/>
      </x:top>
    </x:border>
    <x:border>
      <x:top style="thin">
        <x:color rgb="FFD9E0E7"/>
      </x:top>
    </x:border>
    <x:border>
      <x:right style="thin">
        <x:color rgb="FFD9E0E7"/>
      </x:right>
      <x:top style="thin">
        <x:color rgb="FFD9E0E7"/>
      </x:top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3" fontId="4" fillId="5" borderId="5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5" fillId="7" borderId="10" xfId="0" applyNumberFormat="1" applyFont="1" applyFill="1" applyBorder="1" applyAlignment="1">
      <x:alignment horizontal="center"/>
    </x:xf>
    <x:xf numFmtId="0" fontId="5" fillId="8" borderId="10" xfId="0" applyNumberFormat="1" applyFont="1" applyFill="1" applyBorder="1" applyAlignment="1">
      <x:alignment horizontal="center"/>
    </x:xf>
    <x:xf numFmtId="0" fontId="5" fillId="9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203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15" xfId="0" applyNumberFormat="1" applyFont="1" applyFill="1" applyBorder="1"/>
    <x:xf numFmtId="0" fontId="7" fillId="10" borderId="16" xfId="0" applyNumberFormat="1" applyFont="1" applyFill="1" applyBorder="1"/>
    <x:xf numFmtId="0" fontId="7" fillId="10" borderId="17" xfId="0" applyNumberFormat="1" applyFont="1" applyFill="1" applyBorder="1"/>
    <x:xf numFmtId="0" fontId="7" fillId="10" borderId="18" xfId="0" applyNumberFormat="1" applyFont="1" applyFill="1" applyBorder="1"/>
    <x:xf numFmtId="0" fontId="7" fillId="10" borderId="19" xfId="0" applyNumberFormat="1" applyFont="1" applyFill="1" applyBorder="1"/>
    <x:xf numFmtId="0" fontId="7" fillId="10" borderId="20" xfId="0" applyNumberFormat="1" applyFont="1" applyFill="1" applyBorder="1"/>
    <x:xf numFmtId="0" fontId="7" fillId="10" borderId="21" xfId="0" applyNumberFormat="1" applyFont="1" applyFill="1" applyBorder="1"/>
    <x:xf numFmtId="0" fontId="7" fillId="10" borderId="22" xfId="0" applyNumberFormat="1" applyFont="1" applyFill="1" applyBorder="1"/>
    <x:xf numFmtId="0" fontId="7" fillId="10" borderId="15" xfId="0" applyNumberFormat="1" applyFont="1" applyFill="1" applyBorder="1" applyAlignment="1">
      <x:alignment wrapText="1"/>
    </x:xf>
    <x:xf numFmtId="0" fontId="7" fillId="10" borderId="16" xfId="0" applyNumberFormat="1" applyFont="1" applyFill="1" applyBorder="1" applyAlignment="1">
      <x:alignment wrapText="1"/>
    </x:xf>
    <x:xf numFmtId="0" fontId="7" fillId="10" borderId="17" xfId="0" applyNumberFormat="1" applyFont="1" applyFill="1" applyBorder="1" applyAlignment="1">
      <x:alignment wrapText="1"/>
    </x:xf>
    <x:xf numFmtId="0" fontId="7" fillId="10" borderId="18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  <x:xf numFmtId="0" fontId="7" fillId="10" borderId="19" xfId="0" applyNumberFormat="1" applyFont="1" applyFill="1" applyBorder="1" applyAlignment="1">
      <x:alignment wrapText="1"/>
    </x:xf>
    <x:xf numFmtId="0" fontId="7" fillId="10" borderId="20" xfId="0" applyNumberFormat="1" applyFont="1" applyFill="1" applyBorder="1" applyAlignment="1">
      <x:alignment wrapText="1"/>
    </x:xf>
    <x:xf numFmtId="0" fontId="7" fillId="10" borderId="21" xfId="0" applyNumberFormat="1" applyFont="1" applyFill="1" applyBorder="1" applyAlignment="1">
      <x:alignment wrapText="1"/>
    </x:xf>
    <x:xf numFmtId="0" fontId="7" fillId="10" borderId="22" xfId="0" applyNumberFormat="1" applyFont="1" applyFill="1" applyBorder="1" applyAlignment="1">
      <x:alignment wrapText="1"/>
    </x:xf>
    <x:xf numFmtId="0" fontId="7" fillId="10" borderId="15" xfId="0" applyNumberFormat="1" applyFont="1" applyFill="1" applyBorder="1" applyAlignment="1">
      <x:alignment vertical="top" wrapText="1"/>
    </x:xf>
    <x:xf numFmtId="0" fontId="7" fillId="10" borderId="16" xfId="0" applyNumberFormat="1" applyFont="1" applyFill="1" applyBorder="1" applyAlignment="1">
      <x:alignment vertical="top" wrapText="1"/>
    </x:xf>
    <x:xf numFmtId="0" fontId="7" fillId="10" borderId="17" xfId="0" applyNumberFormat="1" applyFont="1" applyFill="1" applyBorder="1" applyAlignment="1">
      <x:alignment vertical="top" wrapText="1"/>
    </x:xf>
    <x:xf numFmtId="0" fontId="7" fillId="10" borderId="18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7" fillId="10" borderId="19" xfId="0" applyNumberFormat="1" applyFont="1" applyFill="1" applyBorder="1" applyAlignment="1">
      <x:alignment vertical="top" wrapText="1"/>
    </x:xf>
    <x:xf numFmtId="0" fontId="7" fillId="10" borderId="20" xfId="0" applyNumberFormat="1" applyFont="1" applyFill="1" applyBorder="1" applyAlignment="1">
      <x:alignment vertical="top" wrapText="1"/>
    </x:xf>
    <x:xf numFmtId="0" fontId="7" fillId="10" borderId="21" xfId="0" applyNumberFormat="1" applyFont="1" applyFill="1" applyBorder="1" applyAlignment="1">
      <x:alignment vertical="top" wrapText="1"/>
    </x:xf>
    <x:xf numFmtId="0" fontId="7" fillId="10" borderId="22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23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8" fillId="11" borderId="10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8" fillId="11" borderId="12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ont>
        <x:b/>
        <x:color rgb="FF111827"/>
      </x:font>
      <x:fill>
        <x:patternFill patternType="solid">
          <x:bgColor rgb="FFFDE68A"/>
        </x:patternFill>
      </x:fill>
    </x:dxf>
    <x:dxf>
      <x:font>
        <x:b/>
        <x:color rgb="FF111827"/>
      </x:font>
      <x:fill>
        <x:patternFill patternType="solid">
          <x:bgColor rgb="FF93C5FD"/>
        </x:patternFill>
      </x:fill>
    </x:dxf>
    <x:dxf>
      <x:font>
        <x:b/>
        <x:color rgb="FF111827"/>
      </x:font>
      <x:fill>
        <x:patternFill patternType="solid">
          <x:bgColor rgb="FF86EFAC"/>
        </x:patternFill>
      </x:fill>
    </x:dxf>
    <x:dxf>
      <x:font>
        <x:b/>
        <x:color rgb="FF111827"/>
      </x:font>
      <x:fill>
        <x:patternFill patternType="solid">
          <x:bgColor rgb="FFF0ABFC"/>
        </x:patternFill>
      </x:fill>
    </x:dxf>
    <x:dxf>
      <x:font>
        <x:b/>
        <x:color rgb="FF16803C"/>
      </x:font>
    </x:dxf>
    <x:dxf>
      <x:font>
        <x:b/>
        <x:color rgb="FFC62828"/>
      </x:font>
    </x:dxf>
    <x:dxf>
      <x:font>
        <x:b/>
        <x:color rgb="FF16803C"/>
      </x:font>
      <x:fill>
        <x:patternFill patternType="solid">
          <x:bgColor rgb="FFDCFCE7"/>
        </x:patternFill>
      </x:fill>
    </x:dxf>
    <x:dxf>
      <x:font>
        <x:b/>
        <x:color rgb="FFC62828"/>
      </x:font>
      <x:fill>
        <x:patternFill patternType="solid">
          <x:bgColor rgb="FFFEE2E2"/>
        </x:patternFill>
      </x:fill>
    </x:dxf>
    <x:dxf>
      <x:font>
        <x:b/>
        <x:color rgb="FF16803C"/>
      </x:font>
      <x:fill>
        <x:patternFill patternType="solid">
          <x:bgColor rgb="FFDCFCE7"/>
        </x:patternFill>
      </x:fill>
    </x:dxf>
    <x:dxf>
      <x:font>
        <x:b/>
        <x:color rgb="FF16803C"/>
      </x:font>
      <x:fill>
        <x:patternFill patternType="solid">
          <x:bgColor rgb="FFDCFCE7"/>
        </x:patternFill>
      </x:fill>
    </x:dxf>
    <x:dxf>
      <x:font>
        <x:b/>
        <x:color rgb="FFC62828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124e29495f40ab" /><Relationship Type="http://schemas.openxmlformats.org/officeDocument/2006/relationships/theme" Target="/xl/theme/theme1.xml" Id="Ra28f2df58bea45d6" /><Relationship Type="http://schemas.openxmlformats.org/officeDocument/2006/relationships/sharedStrings" Target="/xl/sharedStrings.xml" Id="R3af3642b3cfe4991" /><Relationship Type="http://schemas.openxmlformats.org/officeDocument/2006/relationships/worksheet" Target="/xl/worksheets/sheet1.xml" Id="R4b92b0078cff4292" /><Relationship Type="http://schemas.openxmlformats.org/officeDocument/2006/relationships/worksheet" Target="/xl/worksheets/sheet2.xml" Id="R075899da79894c47" /><Relationship Type="http://schemas.openxmlformats.org/officeDocument/2006/relationships/worksheet" Target="/xl/worksheets/sheet3.xml" Id="R0fc0a002567044ed" /><Relationship Type="http://schemas.openxmlformats.org/officeDocument/2006/relationships/worksheet" Target="/xl/worksheets/sheet4.xml" Id="Re88055453cdd4e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8b36541da740d1" /><Relationship Type="http://schemas.openxmlformats.org/officeDocument/2006/relationships/chart" Target="/xl/drawings/charts/chart2.xml" Id="Rfad17bf526004d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Retorno medio de estrategia por nivel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Retorno medio</c:v>
          </c:tx>
          <c:spPr>
            <a:solidFill xmlns:a="http://schemas.openxmlformats.org/drawingml/2006/main">
              <a:srgbClr val="203A5F"/>
            </a:solidFill>
          </c:spPr>
          <c:cat>
            <c:strRef>
              <c:f>'Resumen'!$A$10:$A$13</c:f>
              <c:strCache>
                <c:ptCount val="0"/>
              </c:strCache>
            </c:strRef>
          </c:cat>
          <c:val>
            <c:numRef>
              <c:f>'Resumen'!$H$10:$H$13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Win rate por maduración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Win rate</c:v>
          </c:tx>
          <c:spPr>
            <a:solidFill xmlns:a="http://schemas.openxmlformats.org/drawingml/2006/main">
              <a:srgbClr val="3B82F6"/>
            </a:solidFill>
          </c:spPr>
          <c:cat>
            <c:strRef>
              <c:f>'Resumen'!$A$10:$A$13</c:f>
              <c:strCache>
                <c:ptCount val="0"/>
              </c:strCache>
            </c:strRef>
          </c:cat>
          <c:val>
            <c:numRef>
              <c:f>'Resumen'!$G$10:$G$13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15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8b36541da740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d17bf526004dc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armasTable" displayName="AlarmasTable" ref="A1:AK92" headerRowCount="1" totalsRowCount="0" totalsRowShown="0">
  <x:tableColumns count="37">
    <x:tableColumn id="1" name="Seq. JetStream"/>
    <x:tableColumn id="2" name="Fecha"/>
    <x:tableColumn id="3" name="Hora AR"/>
    <x:tableColumn id="4" name="Hora NY"/>
    <x:tableColumn id="5" name="Nivel"/>
    <x:tableColumn id="6" name="Color"/>
    <x:tableColumn id="7" name="Tonos"/>
    <x:tableColumn id="8" name="Fuente"/>
    <x:tableColumn id="9" name="Ticker"/>
    <x:tableColumn id="10" name="Señal"/>
    <x:tableColumn id="11" name="Horizontes"/>
    <x:tableColumn id="12" name="Score"/>
    <x:tableColumn id="13" name="Entrada"/>
    <x:tableColumn id="14" name="Stop"/>
    <x:tableColumn id="15" name="Objetivo"/>
    <x:tableColumn id="16" name="Px 15m"/>
    <x:tableColumn id="17" name="Px 30m"/>
    <x:tableColumn id="18" name="Px 60m"/>
    <x:tableColumn id="19" name="Cierre"/>
    <x:tableColumn id="20" name="Máx 60m"/>
    <x:tableColumn id="21" name="Mín 60m"/>
    <x:tableColumn id="22" name="Primer nivel"/>
    <x:tableColumn id="23" name="Ret 15m"/>
    <x:tableColumn id="24" name="Ret 30m"/>
    <x:tableColumn id="25" name="Ret 60m"/>
    <x:tableColumn id="26" name="Ret cierre"/>
    <x:tableColumn id="27" name="MFE 60m"/>
    <x:tableColumn id="28" name="MAE 60m"/>
    <x:tableColumn id="29" name="Precio salida"/>
    <x:tableColumn id="30" name="Motivo salida"/>
    <x:tableColumn id="31" name="Ret estrategia"/>
    <x:tableColumn id="32" name="Resultado"/>
    <x:tableColumn id="33" name="Primera ticker/nivel"/>
    <x:tableColumn id="34" name="Barras"/>
    <x:tableColumn id="35" name="Fuente precio"/>
    <x:tableColumn id="36" name="ID fuente"/>
    <x:tableColumn id="37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5e7d34917f4c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2c74a0bbf14d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8" hidden="0" customWidth="1"/>
  </x:cols>
  <x:sheetData>
    <x:row r="1" ht="34" customHeight="1">
      <x:c r="A1" s="28" t="str">
        <x:v>Market Bot · Backtest de alarmas L1–L4 · 5 de agosto de 2026</x:v>
      </x:c>
      <x:c r="B1" s="28" t="str">
        <x:v>Market Bot · Backtest de alarmas L1–L4 · 5 de agosto de 2026</x:v>
      </x:c>
      <x:c r="C1" s="28" t="str">
        <x:v>Market Bot · Backtest de alarmas L1–L4 · 5 de agosto de 2026</x:v>
      </x:c>
      <x:c r="D1" s="28" t="str">
        <x:v>Market Bot · Backtest de alarmas L1–L4 · 5 de agosto de 2026</x:v>
      </x:c>
      <x:c r="E1" s="28" t="str">
        <x:v>Market Bot · Backtest de alarmas L1–L4 · 5 de agosto de 2026</x:v>
      </x:c>
      <x:c r="F1" s="28" t="str">
        <x:v>Market Bot · Backtest de alarmas L1–L4 · 5 de agosto de 2026</x:v>
      </x:c>
      <x:c r="G1" s="28" t="str">
        <x:v>Market Bot · Backtest de alarmas L1–L4 · 5 de agosto de 2026</x:v>
      </x:c>
      <x:c r="H1" s="28" t="str">
        <x:v>Market Bot · Backtest de alarmas L1–L4 · 5 de agosto de 2026</x:v>
      </x:c>
      <x:c r="I1" s="28" t="str">
        <x:v>Market Bot · Backtest de alarmas L1–L4 · 5 de agosto de 2026</x:v>
      </x:c>
      <x:c r="J1" s="28" t="str">
        <x:v>Market Bot · Backtest de alarmas L1–L4 · 5 de agosto de 2026</x:v>
      </x:c>
      <x:c r="K1" s="28" t="str">
        <x:v>Market Bot · Backtest de alarmas L1–L4 · 5 de agosto de 2026</x:v>
      </x:c>
      <x:c r="L1" s="28" t="str">
        <x:v>Market Bot · Backtest de alarmas L1–L4 · 5 de agosto de 2026</x:v>
      </x:c>
      <x:c r="M1" s="28" t="str">
        <x:v>Market Bot · Backtest de alarmas L1–L4 · 5 de agosto de 2026</x:v>
      </x:c>
      <x:c r="N1" s="28" t="str">
        <x:v>Market Bot · Backtest de alarmas L1–L4 · 5 de agosto de 2026</x:v>
      </x:c>
      <x:c r="O1" s="28" t="str">
        <x:v>Market Bot · Backtest de alarmas L1–L4 · 5 de agosto de 2026</x:v>
      </x:c>
      <x:c r="P1" s="28" t="str">
        <x:v>Market Bot · Backtest de alarmas L1–L4 · 5 de agosto de 2026</x:v>
      </x:c>
    </x:row>
    <x:row r="2" ht="34" customHeight="1">
      <x:c r="A2" s="28" t="str">
        <x:v>Market Bot · Backtest de alarmas L1–L4 · 5 de agosto de 2026</x:v>
      </x:c>
      <x:c r="B2" s="28" t="str">
        <x:v>Market Bot · Backtest de alarmas L1–L4 · 5 de agosto de 2026</x:v>
      </x:c>
      <x:c r="C2" s="28" t="str">
        <x:v>Market Bot · Backtest de alarmas L1–L4 · 5 de agosto de 2026</x:v>
      </x:c>
      <x:c r="D2" s="28" t="str">
        <x:v>Market Bot · Backtest de alarmas L1–L4 · 5 de agosto de 2026</x:v>
      </x:c>
      <x:c r="E2" s="28" t="str">
        <x:v>Market Bot · Backtest de alarmas L1–L4 · 5 de agosto de 2026</x:v>
      </x:c>
      <x:c r="F2" s="28" t="str">
        <x:v>Market Bot · Backtest de alarmas L1–L4 · 5 de agosto de 2026</x:v>
      </x:c>
      <x:c r="G2" s="28" t="str">
        <x:v>Market Bot · Backtest de alarmas L1–L4 · 5 de agosto de 2026</x:v>
      </x:c>
      <x:c r="H2" s="28" t="str">
        <x:v>Market Bot · Backtest de alarmas L1–L4 · 5 de agosto de 2026</x:v>
      </x:c>
      <x:c r="I2" s="28" t="str">
        <x:v>Market Bot · Backtest de alarmas L1–L4 · 5 de agosto de 2026</x:v>
      </x:c>
      <x:c r="J2" s="28" t="str">
        <x:v>Market Bot · Backtest de alarmas L1–L4 · 5 de agosto de 2026</x:v>
      </x:c>
      <x:c r="K2" s="28" t="str">
        <x:v>Market Bot · Backtest de alarmas L1–L4 · 5 de agosto de 2026</x:v>
      </x:c>
      <x:c r="L2" s="28" t="str">
        <x:v>Market Bot · Backtest de alarmas L1–L4 · 5 de agosto de 2026</x:v>
      </x:c>
      <x:c r="M2" s="28" t="str">
        <x:v>Market Bot · Backtest de alarmas L1–L4 · 5 de agosto de 2026</x:v>
      </x:c>
      <x:c r="N2" s="28" t="str">
        <x:v>Market Bot · Backtest de alarmas L1–L4 · 5 de agosto de 2026</x:v>
      </x:c>
      <x:c r="O2" s="28" t="str">
        <x:v>Market Bot · Backtest de alarmas L1–L4 · 5 de agosto de 2026</x:v>
      </x:c>
      <x:c r="P2" s="28" t="str">
        <x:v>Market Bot · Backtest de alarmas L1–L4 · 5 de agosto de 2026</x:v>
      </x:c>
    </x:row>
    <x:row r="3" ht="28" customHeight="1">
      <x:c r="A3" s="31" t="str">
        <x:v>Replay contrafactual sobre la sesión regular NY (09:30–16:00), con reglas actuales y barras Alpaca SIP de 1 minuto.</x:v>
      </x:c>
      <x:c r="B3" s="31" t="str">
        <x:v>Replay contrafactual sobre la sesión regular NY (09:30–16:00), con reglas actuales y barras Alpaca SIP de 1 minuto.</x:v>
      </x:c>
      <x:c r="C3" s="31" t="str">
        <x:v>Replay contrafactual sobre la sesión regular NY (09:30–16:00), con reglas actuales y barras Alpaca SIP de 1 minuto.</x:v>
      </x:c>
      <x:c r="D3" s="31" t="str">
        <x:v>Replay contrafactual sobre la sesión regular NY (09:30–16:00), con reglas actuales y barras Alpaca SIP de 1 minuto.</x:v>
      </x:c>
      <x:c r="E3" s="31" t="str">
        <x:v>Replay contrafactual sobre la sesión regular NY (09:30–16:00), con reglas actuales y barras Alpaca SIP de 1 minuto.</x:v>
      </x:c>
      <x:c r="F3" s="31" t="str">
        <x:v>Replay contrafactual sobre la sesión regular NY (09:30–16:00), con reglas actuales y barras Alpaca SIP de 1 minuto.</x:v>
      </x:c>
      <x:c r="G3" s="31" t="str">
        <x:v>Replay contrafactual sobre la sesión regular NY (09:30–16:00), con reglas actuales y barras Alpaca SIP de 1 minuto.</x:v>
      </x:c>
      <x:c r="H3" s="31" t="str">
        <x:v>Replay contrafactual sobre la sesión regular NY (09:30–16:00), con reglas actuales y barras Alpaca SIP de 1 minuto.</x:v>
      </x:c>
      <x:c r="I3" s="31" t="str">
        <x:v>Replay contrafactual sobre la sesión regular NY (09:30–16:00), con reglas actuales y barras Alpaca SIP de 1 minuto.</x:v>
      </x:c>
      <x:c r="J3" s="31" t="str">
        <x:v>Replay contrafactual sobre la sesión regular NY (09:30–16:00), con reglas actuales y barras Alpaca SIP de 1 minuto.</x:v>
      </x:c>
      <x:c r="K3" s="31" t="str">
        <x:v>Replay contrafactual sobre la sesión regular NY (09:30–16:00), con reglas actuales y barras Alpaca SIP de 1 minuto.</x:v>
      </x:c>
      <x:c r="L3" s="31" t="str">
        <x:v>Replay contrafactual sobre la sesión regular NY (09:30–16:00), con reglas actuales y barras Alpaca SIP de 1 minuto.</x:v>
      </x:c>
      <x:c r="M3" s="31" t="str">
        <x:v>Replay contrafactual sobre la sesión regular NY (09:30–16:00), con reglas actuales y barras Alpaca SIP de 1 minuto.</x:v>
      </x:c>
      <x:c r="N3" s="31" t="str">
        <x:v>Replay contrafactual sobre la sesión regular NY (09:30–16:00), con reglas actuales y barras Alpaca SIP de 1 minuto.</x:v>
      </x:c>
      <x:c r="O3" s="31" t="str">
        <x:v>Replay contrafactual sobre la sesión regular NY (09:30–16:00), con reglas actuales y barras Alpaca SIP de 1 minuto.</x:v>
      </x:c>
      <x:c r="P3" s="31" t="str">
        <x:v>Replay contrafactual sobre la sesión regular NY (09:30–16:00), con reglas actuales y barras Alpaca SIP de 1 minuto.</x:v>
      </x:c>
    </x:row>
    <x:row r="5" ht="32" customHeight="1">
      <x:c r="A5" s="12" t="str">
        <x:v>Alarmas</x:v>
      </x:c>
      <x:c r="B5" s="13" t="str">
        <x:v>Tickers</x:v>
      </x:c>
      <x:c r="C5" s="13" t="str">
        <x:v>GAIN</x:v>
      </x:c>
      <x:c r="D5" s="13" t="str">
        <x:v>LOSS</x:v>
      </x:c>
      <x:c r="E5" s="13" t="str">
        <x:v>Win rate</x:v>
      </x:c>
      <x:c r="F5" s="13" t="str">
        <x:v>Ret. estrategia</x:v>
      </x:c>
      <x:c r="G5" s="13" t="str">
        <x:v>Ret. cierre</x:v>
      </x:c>
      <x:c r="H5" s="14" t="str">
        <x:v>Estado</x:v>
      </x:c>
    </x:row>
    <x:row r="6">
      <x:c r="A6" s="34" t="n">
        <x:f>COUNTA(Alarmas!$A$2:$A$92)</x:f>
        <x:v>91</x:v>
      </x:c>
      <x:c r="B6" s="35" t="n">
        <x:f>Fuentes_Auditoria!$C$20</x:f>
        <x:v>39</x:v>
      </x:c>
      <x:c r="C6" s="35" t="n">
        <x:f>COUNTIF(Alarmas!$AF$2:$AF$92,"GAIN")</x:f>
        <x:v>27</x:v>
      </x:c>
      <x:c r="D6" s="35" t="n">
        <x:f>COUNTIF(Alarmas!$AF$2:$AF$92,"LOSS")</x:f>
        <x:v>64</x:v>
      </x:c>
      <x:c r="E6" s="37" t="n">
        <x:f>IF(C6+D6=0,"",C6/(C6+D6))</x:f>
        <x:v>0.2967032967032967</x:v>
      </x:c>
      <x:c r="F6" s="37" t="n">
        <x:f>AVERAGE(Alarmas!$AE$2:$AE$92)</x:f>
        <x:v>-0.0008582338158781765</x:v>
      </x:c>
      <x:c r="G6" s="37" t="n">
        <x:f>AVERAGE(Alarmas!$Z$2:$Z$92)</x:f>
        <x:v>-0.003623789970707026</x:v>
      </x:c>
      <x:c r="H6" s="36" t="str">
        <x:f>IF(COUNTIF(Fuentes_Auditoria!$F$6:$F$10,"REVISAR")&gt;0,"REVISAR","OK")</x:f>
        <x:v>OK</x:v>
      </x:c>
    </x:row>
    <x:row r="8" ht="22" customHeight="1">
      <x:c r="A8" s="38" t="str">
        <x:v>Resultado por maduración · todas las alarmas emitidas</x:v>
      </x:c>
      <x:c r="B8" s="38" t="str">
        <x:v>Resultado por maduración · todas las alarmas emitidas</x:v>
      </x:c>
      <x:c r="C8" s="38" t="str">
        <x:v>Resultado por maduración · todas las alarmas emitidas</x:v>
      </x:c>
      <x:c r="D8" s="38" t="str">
        <x:v>Resultado por maduración · todas las alarmas emitidas</x:v>
      </x:c>
      <x:c r="E8" s="38" t="str">
        <x:v>Resultado por maduración · todas las alarmas emitidas</x:v>
      </x:c>
      <x:c r="F8" s="38" t="str">
        <x:v>Resultado por maduración · todas las alarmas emitidas</x:v>
      </x:c>
      <x:c r="G8" s="38" t="str">
        <x:v>Resultado por maduración · todas las alarmas emitidas</x:v>
      </x:c>
      <x:c r="H8" s="38" t="str">
        <x:v>Resultado por maduración · todas las alarmas emitidas</x:v>
      </x:c>
      <x:c r="I8" s="38" t="str">
        <x:v>Resultado por maduración · todas las alarmas emitidas</x:v>
      </x:c>
      <x:c r="J8" s="38" t="str">
        <x:v>Resultado por maduración · todas las alarmas emitidas</x:v>
      </x:c>
      <x:c r="K8" s="38" t="str">
        <x:v>Resultado por maduración · todas las alarmas emitidas</x:v>
      </x:c>
      <x:c r="L8" s="38" t="str">
        <x:v>Resultado por maduración · todas las alarmas emitidas</x:v>
      </x:c>
      <x:c r="M8" s="38" t="str">
        <x:v>Resultado por maduración · todas las alarmas emitidas</x:v>
      </x:c>
      <x:c r="N8" s="38" t="str">
        <x:v>Resultado por maduración · todas las alarmas emitidas</x:v>
      </x:c>
      <x:c r="O8" s="38" t="str">
        <x:v>Resultado por maduración · todas las alarmas emitidas</x:v>
      </x:c>
      <x:c r="P8" s="38" t="str">
        <x:v>Resultado por maduración · todas las alarmas emitidas</x:v>
      </x:c>
    </x:row>
    <x:row r="9" ht="32" customHeight="1">
      <x:c r="A9" s="51" t="str">
        <x:v>Nivel</x:v>
      </x:c>
      <x:c r="B9" s="52" t="str">
        <x:v>Maduración</x:v>
      </x:c>
      <x:c r="C9" s="52" t="str">
        <x:v>Alarmas</x:v>
      </x:c>
      <x:c r="D9" s="52" t="str">
        <x:v>Tickers</x:v>
      </x:c>
      <x:c r="E9" s="52" t="str">
        <x:v>GAIN</x:v>
      </x:c>
      <x:c r="F9" s="52" t="str">
        <x:v>LOSS</x:v>
      </x:c>
      <x:c r="G9" s="52" t="str">
        <x:v>Win rate</x:v>
      </x:c>
      <x:c r="H9" s="52" t="str">
        <x:v>Ret. estrategia</x:v>
      </x:c>
      <x:c r="I9" s="52" t="str">
        <x:v>Suma retornos</x:v>
      </x:c>
      <x:c r="J9" s="52" t="str">
        <x:v>Ret. cierre</x:v>
      </x:c>
      <x:c r="K9" s="52" t="str">
        <x:v>MFE 60m</x:v>
      </x:c>
      <x:c r="L9" s="52" t="str">
        <x:v>MAE 60m</x:v>
      </x:c>
      <x:c r="M9" s="52" t="str">
        <x:v>Targets</x:v>
      </x:c>
      <x:c r="N9" s="52" t="str">
        <x:v>Stops</x:v>
      </x:c>
      <x:c r="O9" s="52" t="str">
        <x:v>Salida tiempo</x:v>
      </x:c>
      <x:c r="P9" s="53" t="str">
        <x:v>Color/sonido</x:v>
      </x:c>
    </x:row>
    <x:row r="10">
      <x:c r="A10" s="54" t="str">
        <x:v>L1</x:v>
      </x:c>
      <x:c r="B10" s="63" t="str">
        <x:v>Long + Intraday</x:v>
      </x:c>
      <x:c r="C10" s="55" t="n">
        <x:f>COUNTIF(Alarmas!$E$2:$E$92,A10)</x:f>
        <x:v>6</x:v>
      </x:c>
      <x:c r="D10" s="55" t="n">
        <x:f>COUNTIFS(Alarmas!$E$2:$E$92,A10,Alarmas!$AG$2:$AG$92,1)</x:f>
        <x:v>5</x:v>
      </x:c>
      <x:c r="E10" s="55" t="n">
        <x:f>COUNTIFS(Alarmas!$E$2:$E$92,A10,Alarmas!$AF$2:$AF$92,"GAIN")</x:f>
        <x:v>4</x:v>
      </x:c>
      <x:c r="F10" s="55" t="n">
        <x:f>COUNTIFS(Alarmas!$E$2:$E$92,A10,Alarmas!$AF$2:$AF$92,"LOSS")</x:f>
        <x:v>2</x:v>
      </x:c>
      <x:c r="G10" s="18" t="n">
        <x:f>IF(E10+F10=0,"",E10/(E10+F10))</x:f>
        <x:v>0.6666666666666666</x:v>
      </x:c>
      <x:c r="H10" s="18" t="n">
        <x:f>AVERAGEIF(Alarmas!$E$2:$E$92,A10,Alarmas!$AE$2:$AE$92)</x:f>
        <x:v>0.0017960315696070965</x:v>
      </x:c>
      <x:c r="I10" s="18" t="n">
        <x:f>SUMIF(Alarmas!$E$2:$E$92,A10,Alarmas!$AE$2:$AE$92)</x:f>
        <x:v>0.010776189417642579</x:v>
      </x:c>
      <x:c r="J10" s="18" t="n">
        <x:f>AVERAGEIF(Alarmas!$E$2:$E$92,A10,Alarmas!$Z$2:$Z$92)</x:f>
        <x:v>-0.0016423917848535363</x:v>
      </x:c>
      <x:c r="K10" s="18" t="n">
        <x:f>AVERAGEIF(Alarmas!$E$2:$E$92,A10,Alarmas!$AA$2:$AA$92)</x:f>
        <x:v>0.0034240316981955323</x:v>
      </x:c>
      <x:c r="L10" s="18" t="n">
        <x:f>AVERAGEIF(Alarmas!$E$2:$E$92,A10,Alarmas!$AB$2:$AB$92)</x:f>
        <x:v>-0.0024883343109508758</x:v>
      </x:c>
      <x:c r="M10" s="55" t="n">
        <x:f>COUNTIFS(Alarmas!$E$2:$E$92,A10,Alarmas!$AD$2:$AD$92,"TARGET")</x:f>
        <x:v>4</x:v>
      </x:c>
      <x:c r="N10" s="55" t="n">
        <x:f>COUNTIFS(Alarmas!$E$2:$E$92,A10,Alarmas!$AD$2:$AD$92,"STOP")+COUNTIFS(Alarmas!$E$2:$E$92,A10,Alarmas!$AD$2:$AD$92,"AMBIGUO→STOP")</x:f>
        <x:v>1</x:v>
      </x:c>
      <x:c r="O10" s="55" t="n">
        <x:f>COUNTIFS(Alarmas!$E$2:$E$92,A10,Alarmas!$AD$2:$AD$92,"60M")+COUNTIFS(Alarmas!$E$2:$E$92,A10,Alarmas!$AD$2:$AD$92,"CIERRE")</x:f>
        <x:v>1</x:v>
      </x:c>
      <x:c r="P10" s="56" t="str">
        <x:v>Amarillo · 1 tono</x:v>
      </x:c>
    </x:row>
    <x:row r="11">
      <x:c r="A11" s="57" t="str">
        <x:v>L2</x:v>
      </x:c>
      <x:c r="B11" s="63" t="str">
        <x:v>Swing + Intraday</x:v>
      </x:c>
      <x:c r="C11" s="55" t="n">
        <x:f>COUNTIF(Alarmas!$E$2:$E$92,A11)</x:f>
        <x:v>64</x:v>
      </x:c>
      <x:c r="D11" s="55" t="n">
        <x:f>COUNTIFS(Alarmas!$E$2:$E$92,A11,Alarmas!$AG$2:$AG$92,1)</x:f>
        <x:v>27</x:v>
      </x:c>
      <x:c r="E11" s="55" t="n">
        <x:f>COUNTIFS(Alarmas!$E$2:$E$92,A11,Alarmas!$AF$2:$AF$92,"GAIN")</x:f>
        <x:v>19</x:v>
      </x:c>
      <x:c r="F11" s="55" t="n">
        <x:f>COUNTIFS(Alarmas!$E$2:$E$92,A11,Alarmas!$AF$2:$AF$92,"LOSS")</x:f>
        <x:v>45</x:v>
      </x:c>
      <x:c r="G11" s="18" t="n">
        <x:f>IF(E11+F11=0,"",E11/(E11+F11))</x:f>
        <x:v>0.296875</x:v>
      </x:c>
      <x:c r="H11" s="18" t="n">
        <x:f>AVERAGEIF(Alarmas!$E$2:$E$92,A11,Alarmas!$AE$2:$AE$92)</x:f>
        <x:v>-0.0007884904339517922</x:v>
      </x:c>
      <x:c r="I11" s="18" t="n">
        <x:f>SUMIF(Alarmas!$E$2:$E$92,A11,Alarmas!$AE$2:$AE$92)</x:f>
        <x:v>-0.0504633877729147</x:v>
      </x:c>
      <x:c r="J11" s="18" t="n">
        <x:f>AVERAGEIF(Alarmas!$E$2:$E$92,A11,Alarmas!$Z$2:$Z$92)</x:f>
        <x:v>-0.001060078624222107</x:v>
      </x:c>
      <x:c r="K11" s="18" t="n">
        <x:f>AVERAGEIF(Alarmas!$E$2:$E$92,A11,Alarmas!$AA$2:$AA$92)</x:f>
        <x:v>0.0039635535875895515</x:v>
      </x:c>
      <x:c r="L11" s="18" t="n">
        <x:f>AVERAGEIF(Alarmas!$E$2:$E$92,A11,Alarmas!$AB$2:$AB$92)</x:f>
        <x:v>-0.006335246825198617</x:v>
      </x:c>
      <x:c r="M11" s="55" t="n">
        <x:f>COUNTIFS(Alarmas!$E$2:$E$92,A11,Alarmas!$AD$2:$AD$92,"TARGET")</x:f>
        <x:v>13</x:v>
      </x:c>
      <x:c r="N11" s="55" t="n">
        <x:f>COUNTIFS(Alarmas!$E$2:$E$92,A11,Alarmas!$AD$2:$AD$92,"STOP")+COUNTIFS(Alarmas!$E$2:$E$92,A11,Alarmas!$AD$2:$AD$92,"AMBIGUO→STOP")</x:f>
        <x:v>40</x:v>
      </x:c>
      <x:c r="O11" s="55" t="n">
        <x:f>COUNTIFS(Alarmas!$E$2:$E$92,A11,Alarmas!$AD$2:$AD$92,"60M")+COUNTIFS(Alarmas!$E$2:$E$92,A11,Alarmas!$AD$2:$AD$92,"CIERRE")</x:f>
        <x:v>11</x:v>
      </x:c>
      <x:c r="P11" s="56" t="str">
        <x:v>Azul · 2 tonos</x:v>
      </x:c>
    </x:row>
    <x:row r="12">
      <x:c r="A12" s="58" t="str">
        <x:v>L3</x:v>
      </x:c>
      <x:c r="B12" s="63" t="str">
        <x:v>Long + Swing + Intraday</x:v>
      </x:c>
      <x:c r="C12" s="55" t="n">
        <x:f>COUNTIF(Alarmas!$E$2:$E$92,A12)</x:f>
        <x:v>4</x:v>
      </x:c>
      <x:c r="D12" s="55" t="n">
        <x:f>COUNTIFS(Alarmas!$E$2:$E$92,A12,Alarmas!$AG$2:$AG$92,1)</x:f>
        <x:v>3</x:v>
      </x:c>
      <x:c r="E12" s="55" t="n">
        <x:f>COUNTIFS(Alarmas!$E$2:$E$92,A12,Alarmas!$AF$2:$AF$92,"GAIN")</x:f>
        <x:v>2</x:v>
      </x:c>
      <x:c r="F12" s="55" t="n">
        <x:f>COUNTIFS(Alarmas!$E$2:$E$92,A12,Alarmas!$AF$2:$AF$92,"LOSS")</x:f>
        <x:v>2</x:v>
      </x:c>
      <x:c r="G12" s="18" t="n">
        <x:f>IF(E12+F12=0,"",E12/(E12+F12))</x:f>
        <x:v>0.5</x:v>
      </x:c>
      <x:c r="H12" s="18" t="n">
        <x:f>AVERAGEIF(Alarmas!$E$2:$E$92,A12,Alarmas!$AE$2:$AE$92)</x:f>
        <x:v>-0.0004466657758588066</x:v>
      </x:c>
      <x:c r="I12" s="18" t="n">
        <x:f>SUMIF(Alarmas!$E$2:$E$92,A12,Alarmas!$AE$2:$AE$92)</x:f>
        <x:v>-0.0017866631034352265</x:v>
      </x:c>
      <x:c r="J12" s="18" t="n">
        <x:f>AVERAGEIF(Alarmas!$E$2:$E$92,A12,Alarmas!$Z$2:$Z$92)</x:f>
        <x:v>-0.0001258159485439947</x:v>
      </x:c>
      <x:c r="K12" s="18" t="n">
        <x:f>AVERAGEIF(Alarmas!$E$2:$E$92,A12,Alarmas!$AA$2:$AA$92)</x:f>
        <x:v>0.002233694297088362</x:v>
      </x:c>
      <x:c r="L12" s="18" t="n">
        <x:f>AVERAGEIF(Alarmas!$E$2:$E$92,A12,Alarmas!$AB$2:$AB$92)</x:f>
        <x:v>-0.0029861150639440837</x:v>
      </x:c>
      <x:c r="M12" s="55" t="n">
        <x:f>COUNTIFS(Alarmas!$E$2:$E$92,A12,Alarmas!$AD$2:$AD$92,"TARGET")</x:f>
        <x:v>0</x:v>
      </x:c>
      <x:c r="N12" s="55" t="n">
        <x:f>COUNTIFS(Alarmas!$E$2:$E$92,A12,Alarmas!$AD$2:$AD$92,"STOP")+COUNTIFS(Alarmas!$E$2:$E$92,A12,Alarmas!$AD$2:$AD$92,"AMBIGUO→STOP")</x:f>
        <x:v>2</x:v>
      </x:c>
      <x:c r="O12" s="55" t="n">
        <x:f>COUNTIFS(Alarmas!$E$2:$E$92,A12,Alarmas!$AD$2:$AD$92,"60M")+COUNTIFS(Alarmas!$E$2:$E$92,A12,Alarmas!$AD$2:$AD$92,"CIERRE")</x:f>
        <x:v>2</x:v>
      </x:c>
      <x:c r="P12" s="56" t="str">
        <x:v>Verde · 3 tonos</x:v>
      </x:c>
    </x:row>
    <x:row r="13">
      <x:c r="A13" s="59" t="str">
        <x:v>L4</x:v>
      </x:c>
      <x:c r="B13" s="64" t="str">
        <x:v>Entry Watcher / Fusion / Portfolio / Patreon</x:v>
      </x:c>
      <x:c r="C13" s="60" t="n">
        <x:f>COUNTIF(Alarmas!$E$2:$E$92,A13)</x:f>
        <x:v>17</x:v>
      </x:c>
      <x:c r="D13" s="60" t="n">
        <x:f>COUNTIFS(Alarmas!$E$2:$E$92,A13,Alarmas!$AG$2:$AG$92,1)</x:f>
        <x:v>5</x:v>
      </x:c>
      <x:c r="E13" s="60" t="n">
        <x:f>COUNTIFS(Alarmas!$E$2:$E$92,A13,Alarmas!$AF$2:$AF$92,"GAIN")</x:f>
        <x:v>2</x:v>
      </x:c>
      <x:c r="F13" s="60" t="n">
        <x:f>COUNTIFS(Alarmas!$E$2:$E$92,A13,Alarmas!$AF$2:$AF$92,"LOSS")</x:f>
        <x:v>15</x:v>
      </x:c>
      <x:c r="G13" s="61" t="n">
        <x:f>IF(E13+F13=0,"",E13/(E13+F13))</x:f>
        <x:v>0.11764705882352941</x:v>
      </x:c>
      <x:c r="H13" s="61" t="n">
        <x:f>AVERAGEIF(Alarmas!$E$2:$E$92,A13,Alarmas!$AE$2:$AE$92)</x:f>
        <x:v>-0.0021544362227180415</x:v>
      </x:c>
      <x:c r="I13" s="61" t="n">
        <x:f>SUMIF(Alarmas!$E$2:$E$92,A13,Alarmas!$AE$2:$AE$92)</x:f>
        <x:v>-0.036625415786206705</x:v>
      </x:c>
      <x:c r="J13" s="61" t="n">
        <x:f>AVERAGEIF(Alarmas!$E$2:$E$92,A13,Alarmas!$Z$2:$Z$92)</x:f>
        <x:v>-0.014797778875342785</x:v>
      </x:c>
      <x:c r="K13" s="61" t="n">
        <x:f>AVERAGEIF(Alarmas!$E$2:$E$92,A13,Alarmas!$AA$2:$AA$92)</x:f>
        <x:v>0.005051796524947204</x:v>
      </x:c>
      <x:c r="L13" s="61" t="n">
        <x:f>AVERAGEIF(Alarmas!$E$2:$E$92,A13,Alarmas!$AB$2:$AB$92)</x:f>
        <x:v>-0.015292285124047266</x:v>
      </x:c>
      <x:c r="M13" s="60" t="n">
        <x:f>COUNTIFS(Alarmas!$E$2:$E$92,A13,Alarmas!$AD$2:$AD$92,"TARGET")</x:f>
        <x:v>0</x:v>
      </x:c>
      <x:c r="N13" s="60" t="n">
        <x:f>COUNTIFS(Alarmas!$E$2:$E$92,A13,Alarmas!$AD$2:$AD$92,"STOP")+COUNTIFS(Alarmas!$E$2:$E$92,A13,Alarmas!$AD$2:$AD$92,"AMBIGUO→STOP")</x:f>
        <x:v>14</x:v>
      </x:c>
      <x:c r="O13" s="60" t="n">
        <x:f>COUNTIFS(Alarmas!$E$2:$E$92,A13,Alarmas!$AD$2:$AD$92,"60M")+COUNTIFS(Alarmas!$E$2:$E$92,A13,Alarmas!$AD$2:$AD$92,"CIERRE")</x:f>
        <x:v>3</x:v>
      </x:c>
      <x:c r="P13" s="62" t="str">
        <x:v>Magenta · 3 tonos</x:v>
      </x:c>
    </x:row>
    <x:row r="16" ht="22" customHeight="1">
      <x:c r="A16" s="38" t="str">
        <x:v>Robustez · sólo primera alarma de cada ticker por nivel</x:v>
      </x:c>
      <x:c r="B16" s="38" t="str">
        <x:v>Robustez · sólo primera alarma de cada ticker por nivel</x:v>
      </x:c>
      <x:c r="C16" s="38" t="str">
        <x:v>Robustez · sólo primera alarma de cada ticker por nivel</x:v>
      </x:c>
      <x:c r="D16" s="38" t="str">
        <x:v>Robustez · sólo primera alarma de cada ticker por nivel</x:v>
      </x:c>
      <x:c r="E16" s="38" t="str">
        <x:v>Robustez · sólo primera alarma de cada ticker por nivel</x:v>
      </x:c>
      <x:c r="F16" s="38" t="str">
        <x:v>Robustez · sólo primera alarma de cada ticker por nivel</x:v>
      </x:c>
      <x:c r="G16" s="38" t="str">
        <x:v>Robustez · sólo primera alarma de cada ticker por nivel</x:v>
      </x:c>
      <x:c r="H16" s="38" t="str">
        <x:v>Robustez · sólo primera alarma de cada ticker por nivel</x:v>
      </x:c>
    </x:row>
    <x:row r="17" ht="32" customHeight="1">
      <x:c r="A17" s="12" t="str">
        <x:v>Nivel</x:v>
      </x:c>
      <x:c r="B17" s="13" t="str">
        <x:v>Tickers</x:v>
      </x:c>
      <x:c r="C17" s="13" t="str">
        <x:v>GAIN</x:v>
      </x:c>
      <x:c r="D17" s="13" t="str">
        <x:v>LOSS</x:v>
      </x:c>
      <x:c r="E17" s="13" t="str">
        <x:v>Win rate</x:v>
      </x:c>
      <x:c r="F17" s="13" t="str">
        <x:v>Ret. estrategia</x:v>
      </x:c>
      <x:c r="G17" s="13" t="str">
        <x:v>Ret. cierre</x:v>
      </x:c>
      <x:c r="H17" s="14" t="str">
        <x:v>Lectura</x:v>
      </x:c>
    </x:row>
    <x:row r="18">
      <x:c r="A18" s="66" t="str">
        <x:v>L1</x:v>
      </x:c>
      <x:c r="B18" t="n">
        <x:f>COUNTIFS(Alarmas!$E$2:$E$92,A18,Alarmas!$AG$2:$AG$92,1)</x:f>
        <x:v>5</x:v>
      </x:c>
      <x:c r="C18" t="n">
        <x:f>COUNTIFS(Alarmas!$E$2:$E$92,A18,Alarmas!$AG$2:$AG$92,1,Alarmas!$AF$2:$AF$92,"GAIN")</x:f>
        <x:v>3</x:v>
      </x:c>
      <x:c r="D18" t="n">
        <x:f>COUNTIFS(Alarmas!$E$2:$E$92,A18,Alarmas!$AG$2:$AG$92,1,Alarmas!$AF$2:$AF$92,"LOSS")</x:f>
        <x:v>2</x:v>
      </x:c>
      <x:c r="E18" s="18" t="n">
        <x:f>IF(C18+D18=0,"",C18/(C18+D18))</x:f>
        <x:v>0.6</x:v>
      </x:c>
      <x:c r="F18" s="18" t="n">
        <x:f>IF(B18=0,"",SUMIFS(Alarmas!$AE$2:$AE$92,Alarmas!$E$2:$E$92,A18,Alarmas!$AG$2:$AG$92,1)/B18)</x:f>
        <x:v>0.0014052378835285317</x:v>
      </x:c>
      <x:c r="G18" s="18" t="n">
        <x:f>IF(B18=0,"",SUMIFS(Alarmas!$Z$2:$Z$92,Alarmas!$E$2:$E$92,A18,Alarmas!$AG$2:$AG$92,1)/B18)</x:f>
        <x:v>-0.0019391173899190762</x:v>
      </x:c>
      <x:c r="H18" s="63" t="str">
        <x:f>IF(B18&lt;10,"MUESTRA MUY CHICA","USAR CON CAUTELA")</x:f>
        <x:v>MUESTRA MUY CHICA</x:v>
      </x:c>
    </x:row>
    <x:row r="19">
      <x:c r="A19" s="68" t="str">
        <x:v>L2</x:v>
      </x:c>
      <x:c r="B19" t="n">
        <x:f>COUNTIFS(Alarmas!$E$2:$E$92,A19,Alarmas!$AG$2:$AG$92,1)</x:f>
        <x:v>27</x:v>
      </x:c>
      <x:c r="C19" t="n">
        <x:f>COUNTIFS(Alarmas!$E$2:$E$92,A19,Alarmas!$AG$2:$AG$92,1,Alarmas!$AF$2:$AF$92,"GAIN")</x:f>
        <x:v>7</x:v>
      </x:c>
      <x:c r="D19" t="n">
        <x:f>COUNTIFS(Alarmas!$E$2:$E$92,A19,Alarmas!$AG$2:$AG$92,1,Alarmas!$AF$2:$AF$92,"LOSS")</x:f>
        <x:v>20</x:v>
      </x:c>
      <x:c r="E19" s="18" t="n">
        <x:f>IF(C19+D19=0,"",C19/(C19+D19))</x:f>
        <x:v>0.25925925925925924</x:v>
      </x:c>
      <x:c r="F19" s="18" t="n">
        <x:f>IF(B19=0,"",SUMIFS(Alarmas!$AE$2:$AE$92,Alarmas!$E$2:$E$92,A19,Alarmas!$AG$2:$AG$92,1)/B19)</x:f>
        <x:v>-0.001176885214508271</x:v>
      </x:c>
      <x:c r="G19" s="18" t="n">
        <x:f>IF(B19=0,"",SUMIFS(Alarmas!$Z$2:$Z$92,Alarmas!$E$2:$E$92,A19,Alarmas!$AG$2:$AG$92,1)/B19)</x:f>
        <x:v>-0.0038130771666632</x:v>
      </x:c>
      <x:c r="H19" s="63" t="str">
        <x:f>IF(B19&lt;10,"MUESTRA MUY CHICA","USAR CON CAUTELA")</x:f>
        <x:v>USAR CON CAUTELA</x:v>
      </x:c>
    </x:row>
    <x:row r="20">
      <x:c r="A20" s="70" t="str">
        <x:v>L3</x:v>
      </x:c>
      <x:c r="B20" t="n">
        <x:f>COUNTIFS(Alarmas!$E$2:$E$92,A20,Alarmas!$AG$2:$AG$92,1)</x:f>
        <x:v>3</x:v>
      </x:c>
      <x:c r="C20" t="n">
        <x:f>COUNTIFS(Alarmas!$E$2:$E$92,A20,Alarmas!$AG$2:$AG$92,1,Alarmas!$AF$2:$AF$92,"GAIN")</x:f>
        <x:v>1</x:v>
      </x:c>
      <x:c r="D20" t="n">
        <x:f>COUNTIFS(Alarmas!$E$2:$E$92,A20,Alarmas!$AG$2:$AG$92,1,Alarmas!$AF$2:$AF$92,"LOSS")</x:f>
        <x:v>2</x:v>
      </x:c>
      <x:c r="E20" s="18" t="n">
        <x:f>IF(C20+D20=0,"",C20/(C20+D20))</x:f>
        <x:v>0.3333333333333333</x:v>
      </x:c>
      <x:c r="F20" s="18" t="n">
        <x:f>IF(B20=0,"",SUMIFS(Alarmas!$AE$2:$AE$92,Alarmas!$E$2:$E$92,A20,Alarmas!$AG$2:$AG$92,1)/B20)</x:f>
        <x:v>-0.0010349354681475538</x:v>
      </x:c>
      <x:c r="G20" s="18" t="n">
        <x:f>IF(B20=0,"",SUMIFS(Alarmas!$Z$2:$Z$92,Alarmas!$E$2:$E$92,A20,Alarmas!$AG$2:$AG$92,1)/B20)</x:f>
        <x:v>0.000491317052445058</x:v>
      </x:c>
      <x:c r="H20" s="63" t="str">
        <x:f>IF(B20&lt;10,"MUESTRA MUY CHICA","USAR CON CAUTELA")</x:f>
        <x:v>MUESTRA MUY CHICA</x:v>
      </x:c>
    </x:row>
    <x:row r="21">
      <x:c r="A21" s="72" t="str">
        <x:v>L4</x:v>
      </x:c>
      <x:c r="B21" t="n">
        <x:f>COUNTIFS(Alarmas!$E$2:$E$92,A21,Alarmas!$AG$2:$AG$92,1)</x:f>
        <x:v>5</x:v>
      </x:c>
      <x:c r="C21" t="n">
        <x:f>COUNTIFS(Alarmas!$E$2:$E$92,A21,Alarmas!$AG$2:$AG$92,1,Alarmas!$AF$2:$AF$92,"GAIN")</x:f>
        <x:v>1</x:v>
      </x:c>
      <x:c r="D21" t="n">
        <x:f>COUNTIFS(Alarmas!$E$2:$E$92,A21,Alarmas!$AG$2:$AG$92,1,Alarmas!$AF$2:$AF$92,"LOSS")</x:f>
        <x:v>4</x:v>
      </x:c>
      <x:c r="E21" s="18" t="n">
        <x:f>IF(C21+D21=0,"",C21/(C21+D21))</x:f>
        <x:v>0.2</x:v>
      </x:c>
      <x:c r="F21" s="18" t="n">
        <x:f>IF(B21=0,"",SUMIFS(Alarmas!$AE$2:$AE$92,Alarmas!$E$2:$E$92,A21,Alarmas!$AG$2:$AG$92,1)/B21)</x:f>
        <x:v>-0.002452652902184904</x:v>
      </x:c>
      <x:c r="G21" s="18" t="n">
        <x:f>IF(B21=0,"",SUMIFS(Alarmas!$Z$2:$Z$92,Alarmas!$E$2:$E$92,A21,Alarmas!$AG$2:$AG$92,1)/B21)</x:f>
        <x:v>-0.0090708650126065</x:v>
      </x:c>
      <x:c r="H21" s="63" t="str">
        <x:f>IF(B21&lt;10,"MUESTRA MUY CHICA","USAR CON CAUTELA")</x:f>
        <x:v>MUESTRA MUY CHICA</x:v>
      </x:c>
    </x:row>
    <x:row r="24">
      <x:c r="A24" s="92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B24" s="93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C24" s="93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D24" s="93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E24" s="93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F24" s="93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G24" s="93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H24" s="94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</x:row>
    <x:row r="25">
      <x:c r="A25" s="95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B25" s="96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C25" s="96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D25" s="96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E25" s="96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F25" s="96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G25" s="96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H25" s="97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</x:row>
    <x:row r="26">
      <x:c r="A26" s="95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B26" s="96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C26" s="96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D26" s="96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E26" s="96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F26" s="96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G26" s="96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H26" s="97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</x:row>
    <x:row r="27">
      <x:c r="A27" s="98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B27" s="99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C27" s="99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D27" s="99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E27" s="99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F27" s="99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G27" s="99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  <x:c r="H27" s="100" t="str">
        <x:v>Convención de P&amp;L: se sale al primer objetivo o stop dentro de 60 minutos; si ambos niveles aparecen en la misma vela, se usa el stop (conservador). Si no se toca ningún nivel, se marca a 60 minutos o al cierre. Sin comisiones ni slippage. La suma de retornos no es un retorno de cartera porque puede haber señales repetidas y posiciones superpuestas.</x:v>
      </x:c>
    </x:row>
  </x:sheetData>
  <x:mergeCells>
    <x:mergeCell ref="A1:P2"/>
    <x:mergeCell ref="A3:P3"/>
    <x:mergeCell ref="A8:P8"/>
    <x:mergeCell ref="A16:H16"/>
    <x:mergeCell ref="A24:H27"/>
  </x:mergeCells>
  <x:conditionalFormatting sqref="H6:H6">
    <x:cfRule type="containsText" dxfId="8" priority="1" operator="containsText" text="OK"/>
  </x:conditionalFormatting>
  <x:pageMargins left="0.7" right="0.7" top="0.75" bottom="0.75" header="0.3" footer="0.3"/>
  <x:drawing xmlns:r="http://schemas.openxmlformats.org/officeDocument/2006/relationships" r:id="R1b5e7d34917f4c7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1" hidden="0" customWidth="1"/>
    <x:col min="4" max="4" width="11" hidden="0" customWidth="1"/>
    <x:col min="5" max="5" width="8" hidden="0" customWidth="1"/>
    <x:col min="6" max="6" width="12" hidden="0" customWidth="1"/>
    <x:col min="7" max="7" width="8" hidden="0" customWidth="1"/>
    <x:col min="8" max="8" width="23" hidden="0" customWidth="1"/>
    <x:col min="9" max="9" width="10" hidden="0" customWidth="1"/>
    <x:col min="10" max="10" width="24" hidden="0" customWidth="1"/>
    <x:col min="11" max="11" width="30" hidden="0" customWidth="1"/>
    <x:col min="12" max="12" width="10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6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3" hidden="0" customWidth="1"/>
    <x:col min="30" max="30" width="17" hidden="0" customWidth="1"/>
    <x:col min="31" max="31" width="13" hidden="0" customWidth="1"/>
    <x:col min="32" max="32" width="12" hidden="0" customWidth="1"/>
    <x:col min="33" max="33" width="18" hidden="0" customWidth="1"/>
    <x:col min="34" max="34" width="10" hidden="0" customWidth="1"/>
    <x:col min="35" max="35" width="23" hidden="0" customWidth="1"/>
    <x:col min="36" max="36" width="38" hidden="0" customWidth="1"/>
    <x:col min="37" max="37" width="55" hidden="0" customWidth="1"/>
  </x:cols>
  <x:sheetData>
    <x:row r="1" ht="32" customHeight="1">
      <x:c r="A1" s="12" t="str">
        <x:v>Seq. JetStream</x:v>
      </x:c>
      <x:c r="B1" s="13" t="str">
        <x:v>Fecha</x:v>
      </x:c>
      <x:c r="C1" s="13" t="str">
        <x:v>Hora AR</x:v>
      </x:c>
      <x:c r="D1" s="13" t="str">
        <x:v>Hora NY</x:v>
      </x:c>
      <x:c r="E1" s="13" t="str">
        <x:v>Nivel</x:v>
      </x:c>
      <x:c r="F1" s="13" t="str">
        <x:v>Color</x:v>
      </x:c>
      <x:c r="G1" s="13" t="str">
        <x:v>Tonos</x:v>
      </x:c>
      <x:c r="H1" s="13" t="str">
        <x:v>Fuente</x:v>
      </x:c>
      <x:c r="I1" s="13" t="str">
        <x:v>Ticker</x:v>
      </x:c>
      <x:c r="J1" s="13" t="str">
        <x:v>Señal</x:v>
      </x:c>
      <x:c r="K1" s="13" t="str">
        <x:v>Horizontes</x:v>
      </x:c>
      <x:c r="L1" s="13" t="str">
        <x:v>Score</x:v>
      </x:c>
      <x:c r="M1" s="13" t="str">
        <x:v>Entrada</x:v>
      </x:c>
      <x:c r="N1" s="13" t="str">
        <x:v>Stop</x:v>
      </x:c>
      <x:c r="O1" s="13" t="str">
        <x:v>Objetivo</x:v>
      </x:c>
      <x:c r="P1" s="13" t="str">
        <x:v>Px 15m</x:v>
      </x:c>
      <x:c r="Q1" s="13" t="str">
        <x:v>Px 30m</x:v>
      </x:c>
      <x:c r="R1" s="13" t="str">
        <x:v>Px 60m</x:v>
      </x:c>
      <x:c r="S1" s="13" t="str">
        <x:v>Cierre</x:v>
      </x:c>
      <x:c r="T1" s="13" t="str">
        <x:v>Máx 60m</x:v>
      </x:c>
      <x:c r="U1" s="13" t="str">
        <x:v>Mín 60m</x:v>
      </x:c>
      <x:c r="V1" s="13" t="str">
        <x:v>Primer nivel</x:v>
      </x:c>
      <x:c r="W1" s="13" t="str">
        <x:v>Ret 15m</x:v>
      </x:c>
      <x:c r="X1" s="13" t="str">
        <x:v>Ret 30m</x:v>
      </x:c>
      <x:c r="Y1" s="13" t="str">
        <x:v>Ret 60m</x:v>
      </x:c>
      <x:c r="Z1" s="13" t="str">
        <x:v>Ret cierre</x:v>
      </x:c>
      <x:c r="AA1" s="13" t="str">
        <x:v>MFE 60m</x:v>
      </x:c>
      <x:c r="AB1" s="13" t="str">
        <x:v>MAE 60m</x:v>
      </x:c>
      <x:c r="AC1" s="13" t="str">
        <x:v>Precio salida</x:v>
      </x:c>
      <x:c r="AD1" s="13" t="str">
        <x:v>Motivo salida</x:v>
      </x:c>
      <x:c r="AE1" s="13" t="str">
        <x:v>Ret estrategia</x:v>
      </x:c>
      <x:c r="AF1" s="13" t="str">
        <x:v>Resultado</x:v>
      </x:c>
      <x:c r="AG1" s="13" t="str">
        <x:v>Primera ticker/nivel</x:v>
      </x:c>
      <x:c r="AH1" s="13" t="str">
        <x:v>Barras</x:v>
      </x:c>
      <x:c r="AI1" s="13" t="str">
        <x:v>Fuente precio</x:v>
      </x:c>
      <x:c r="AJ1" s="13" t="str">
        <x:v>ID fuente</x:v>
      </x:c>
      <x:c r="AK1" s="14" t="str">
        <x:v>Notas</x:v>
      </x:c>
    </x:row>
    <x:row r="2">
      <x:c r="A2" s="19" t="n">
        <x:v>10295706</x:v>
      </x:c>
      <x:c r="B2" s="20" t="n">
        <x:v>46239</x:v>
      </x:c>
      <x:c r="C2" s="19" t="str">
        <x:v>10:30:00</x:v>
      </x:c>
      <x:c r="D2" s="19" t="str">
        <x:v>09:30:00</x:v>
      </x:c>
      <x:c r="E2" s="19" t="str">
        <x:v>L1</x:v>
      </x:c>
      <x:c r="F2" s="19" t="str">
        <x:v>AMARILLO</x:v>
      </x:c>
      <x:c r="G2" s="19" t="n">
        <x:v>1</x:v>
      </x:c>
      <x:c r="H2" s="24" t="str">
        <x:v>Alert Engine V2 replay</x:v>
      </x:c>
      <x:c r="I2" s="24" t="str">
        <x:v>JNJ</x:v>
      </x:c>
      <x:c r="J2" s="24" t="str">
        <x:v>ENTRY_CONFIRMED</x:v>
      </x:c>
      <x:c r="K2" s="24" t="str">
        <x:v>LONG_TERM+INTRADAY</x:v>
      </x:c>
      <x:c r="L2" s="21" t="n">
        <x:v>86.89</x:v>
      </x:c>
      <x:c r="M2" s="22" t="n">
        <x:v>256.2</x:v>
      </x:c>
      <x:c r="N2" s="22" t="n">
        <x:v>255.5595</x:v>
      </x:c>
      <x:c r="O2" s="22" t="n">
        <x:v>257.1608</x:v>
      </x:c>
      <x:c r="P2" s="22" t="n">
        <x:v>255.48</x:v>
      </x:c>
      <x:c r="Q2" s="22" t="n">
        <x:v>257.22</x:v>
      </x:c>
      <x:c r="R2" s="22" t="n">
        <x:v>257.085</x:v>
      </x:c>
      <x:c r="S2" s="22" t="n">
        <x:v>257.59</x:v>
      </x:c>
      <x:c r="T2" s="22" t="n">
        <x:v>257.6435</x:v>
      </x:c>
      <x:c r="U2" s="22" t="n">
        <x:v>254.47</x:v>
      </x:c>
      <x:c r="V2" s="19" t="str">
        <x:v>TARGET</x:v>
      </x:c>
      <x:c r="W2" s="23" t="n">
        <x:f>IF(OR(M2="",P2=""),"",P2/M2-1)</x:f>
        <x:v>-0.002810304449648693</x:v>
      </x:c>
      <x:c r="X2" s="23" t="n">
        <x:f>IF(OR(M2="",Q2=""),"",Q2/M2-1)</x:f>
        <x:v>0.003981264637002546</x:v>
      </x:c>
      <x:c r="Y2" s="23" t="n">
        <x:f>IF(OR(M2="",R2=""),"",R2/M2-1)</x:f>
        <x:v>0.003454332552693229</x:v>
      </x:c>
      <x:c r="Z2" s="23" t="n">
        <x:f>IF(OR(M2="",S2=""),"",S2/M2-1)</x:f>
        <x:v>0.005425448868071836</x:v>
      </x:c>
      <x:c r="AA2" s="23" t="n">
        <x:f>IF(OR(M2="",T2=""),"",T2/M2-1)</x:f>
        <x:v>0.0056342701014833185</x:v>
      </x:c>
      <x:c r="AB2" s="23" t="n">
        <x:f>IF(OR(M2="",U2=""),"",U2/M2-1)</x:f>
        <x:v>-0.006752537080405907</x:v>
      </x:c>
      <x:c r="AC2" s="22" t="n">
        <x:f>IF(V2="TARGET",O2,IF(OR(V2="INVALIDATION",V2="AMBIGUOUS"),N2,IF(R2&lt;&gt;"",R2,S2)))</x:f>
        <x:v>257.1608</x:v>
      </x:c>
      <x:c r="AD2" s="19" t="str">
        <x:f>IF(V2="TARGET","TARGET",IF(V2="INVALIDATION","STOP",IF(V2="AMBIGUOUS","AMBIGUO→STOP",IF(R2&lt;&gt;"","60M","CIERRE"))))</x:f>
        <x:v>TARGET</x:v>
      </x:c>
      <x:c r="AE2" s="23" t="n">
        <x:f>IF(OR(M2="",AC2=""),"",AC2/M2-1)</x:f>
        <x:v>0.0037501951600311667</x:v>
      </x:c>
      <x:c r="AF2" s="19" t="str">
        <x:f>IF(AE2="","SIN DATO",IF(AE2&gt;0,"GAIN",IF(AE2&lt;0,"LOSS","FLAT")))</x:f>
        <x:v>GAIN</x:v>
      </x:c>
      <x:c r="AG2" s="19" t="n">
        <x:f>IF(COUNTIFS($E$2:E2,E2,$I$2:I2,I2)=1,1,0)</x:f>
        <x:v>1</x:v>
      </x:c>
      <x:c r="AH2" s="19" t="n">
        <x:v>391</x:v>
      </x:c>
      <x:c r="AI2" s="19" t="str">
        <x:v>Alpaca SIP 1Min raw bars</x:v>
      </x:c>
      <x:c r="AJ2" s="24" t="str">
        <x:v>019fd4f3-66cd-7f5d-a7f8-aa04f2e535c7</x:v>
      </x:c>
      <x:c r="AK2" s="24" t="str">
        <x:v>entry_confirmed; long_term:watch:85.90; intraday:favorable:100.00; dilution_analysis_unavailable</x:v>
      </x:c>
    </x:row>
    <x:row r="3">
      <x:c r="A3" s="19" t="n">
        <x:v>10296170</x:v>
      </x:c>
      <x:c r="B3" s="20" t="n">
        <x:v>46239</x:v>
      </x:c>
      <x:c r="C3" s="19" t="str">
        <x:v>10:30:00</x:v>
      </x:c>
      <x:c r="D3" s="19" t="str">
        <x:v>09:30:00</x:v>
      </x:c>
      <x:c r="E3" s="19" t="str">
        <x:v>L2</x:v>
      </x:c>
      <x:c r="F3" s="19" t="str">
        <x:v>AZUL</x:v>
      </x:c>
      <x:c r="G3" s="19" t="n">
        <x:v>2</x:v>
      </x:c>
      <x:c r="H3" s="24" t="str">
        <x:v>Alert Engine V2 replay</x:v>
      </x:c>
      <x:c r="I3" s="24" t="str">
        <x:v>ONDS</x:v>
      </x:c>
      <x:c r="J3" s="24" t="str">
        <x:v>ENTRY_CONFIRMED</x:v>
      </x:c>
      <x:c r="K3" s="24" t="str">
        <x:v>SWING+INTRADAY</x:v>
      </x:c>
      <x:c r="L3" s="21" t="n">
        <x:v>66.03</x:v>
      </x:c>
      <x:c r="M3" s="22" t="n">
        <x:v>8.995</x:v>
      </x:c>
      <x:c r="N3" s="22" t="n">
        <x:v>8.9697</x:v>
      </x:c>
      <x:c r="O3" s="22" t="n">
        <x:v>9.033</x:v>
      </x:c>
      <x:c r="P3" s="22" t="n">
        <x:v>8.965</x:v>
      </x:c>
      <x:c r="Q3" s="22" t="n">
        <x:v>8.93</x:v>
      </x:c>
      <x:c r="R3" s="22" t="n">
        <x:v>8.945</x:v>
      </x:c>
      <x:c r="S3" s="22" t="n">
        <x:v>8.8501</x:v>
      </x:c>
      <x:c r="T3" s="22" t="n">
        <x:v>9.13</x:v>
      </x:c>
      <x:c r="U3" s="22" t="n">
        <x:v>8.78</x:v>
      </x:c>
      <x:c r="V3" s="19" t="str">
        <x:v>AMBIGUOUS</x:v>
      </x:c>
      <x:c r="W3" s="23" t="n">
        <x:f>IF(OR(M3="",P3=""),"",P3/M3-1)</x:f>
        <x:v>-0.0033351862145635236</x:v>
      </x:c>
      <x:c r="X3" s="23" t="n">
        <x:f>IF(OR(M3="",Q3=""),"",Q3/M3-1)</x:f>
        <x:v>-0.007226236798221208</x:v>
      </x:c>
      <x:c r="Y3" s="23" t="n">
        <x:f>IF(OR(M3="",R3=""),"",R3/M3-1)</x:f>
        <x:v>-0.00555864369093928</x:v>
      </x:c>
      <x:c r="Z3" s="23" t="n">
        <x:f>IF(OR(M3="",S3=""),"",S3/M3-1)</x:f>
        <x:v>-0.016108949416342444</x:v>
      </x:c>
      <x:c r="AA3" s="23" t="n">
        <x:f>IF(OR(M3="",T3=""),"",T3/M3-1)</x:f>
        <x:v>0.015008337965536578</x:v>
      </x:c>
      <x:c r="AB3" s="23" t="n">
        <x:f>IF(OR(M3="",U3=""),"",U3/M3-1)</x:f>
        <x:v>-0.023902167871039492</x:v>
      </x:c>
      <x:c r="AC3" s="22" t="n">
        <x:f>IF(V3="TARGET",O3,IF(OR(V3="INVALIDATION",V3="AMBIGUOUS"),N3,IF(R3&lt;&gt;"",R3,S3)))</x:f>
        <x:v>8.9697</x:v>
      </x:c>
      <x:c r="AD3" s="19" t="str">
        <x:f>IF(V3="TARGET","TARGET",IF(V3="INVALIDATION","STOP",IF(V3="AMBIGUOUS","AMBIGUO→STOP",IF(R3&lt;&gt;"","60M","CIERRE"))))</x:f>
        <x:v>AMBIGUO→STOP</x:v>
      </x:c>
      <x:c r="AE3" s="23" t="n">
        <x:f>IF(OR(M3="",AC3=""),"",AC3/M3-1)</x:f>
        <x:v>-0.0028126737076152875</x:v>
      </x:c>
      <x:c r="AF3" s="19" t="str">
        <x:f>IF(AE3="","SIN DATO",IF(AE3&gt;0,"GAIN",IF(AE3&lt;0,"LOSS","FLAT")))</x:f>
        <x:v>LOSS</x:v>
      </x:c>
      <x:c r="AG3" s="19" t="n">
        <x:f>IF(COUNTIFS($E$2:E3,E3,$I$2:I3,I3)=1,1,0)</x:f>
        <x:v>1</x:v>
      </x:c>
      <x:c r="AH3" s="19" t="n">
        <x:v>392</x:v>
      </x:c>
      <x:c r="AI3" s="19" t="str">
        <x:v>Alpaca SIP 1Min raw bars</x:v>
      </x:c>
      <x:c r="AJ3" s="24" t="str">
        <x:v>019fd4f3-66d4-72fd-bd97-9452e8543673</x:v>
      </x:c>
      <x:c r="AK3" s="24" t="str">
        <x:v>entry_confirmed; swing:watch:78.00; intraday:favorable:85.00; dilution_analysis_unavailable</x:v>
      </x:c>
    </x:row>
    <x:row r="4">
      <x:c r="A4" s="19" t="n">
        <x:v>10297406</x:v>
      </x:c>
      <x:c r="B4" s="20" t="n">
        <x:v>46239</x:v>
      </x:c>
      <x:c r="C4" s="19" t="str">
        <x:v>10:31:00</x:v>
      </x:c>
      <x:c r="D4" s="19" t="str">
        <x:v>09:31:00</x:v>
      </x:c>
      <x:c r="E4" s="19" t="str">
        <x:v>L2</x:v>
      </x:c>
      <x:c r="F4" s="19" t="str">
        <x:v>AZUL</x:v>
      </x:c>
      <x:c r="G4" s="19" t="n">
        <x:v>2</x:v>
      </x:c>
      <x:c r="H4" s="24" t="str">
        <x:v>Alert Engine V2 replay</x:v>
      </x:c>
      <x:c r="I4" s="24" t="str">
        <x:v>NU</x:v>
      </x:c>
      <x:c r="J4" s="24" t="str">
        <x:v>ENTRY_CONFIRMED</x:v>
      </x:c>
      <x:c r="K4" s="24" t="str">
        <x:v>SWING+INTRADAY</x:v>
      </x:c>
      <x:c r="L4" s="21" t="n">
        <x:v>100</x:v>
      </x:c>
      <x:c r="M4" s="22" t="n">
        <x:v>14.58</x:v>
      </x:c>
      <x:c r="N4" s="22" t="n">
        <x:v>14.5312</x:v>
      </x:c>
      <x:c r="O4" s="22" t="n">
        <x:v>14.6532</x:v>
      </x:c>
      <x:c r="P4" s="22" t="n">
        <x:v>14.52</x:v>
      </x:c>
      <x:c r="Q4" s="22" t="n">
        <x:v>14.46</x:v>
      </x:c>
      <x:c r="R4" s="22" t="n">
        <x:v>14.455</x:v>
      </x:c>
      <x:c r="S4" s="22" t="n">
        <x:v>14.475</x:v>
      </x:c>
      <x:c r="T4" s="22" t="n">
        <x:v>14.6595</x:v>
      </x:c>
      <x:c r="U4" s="22" t="n">
        <x:v>14.44</x:v>
      </x:c>
      <x:c r="V4" s="19" t="str">
        <x:v>INVALIDATION</x:v>
      </x:c>
      <x:c r="W4" s="23" t="n">
        <x:f>IF(OR(M4="",P4=""),"",P4/M4-1)</x:f>
        <x:v>-0.004115226337448541</x:v>
      </x:c>
      <x:c r="X4" s="23" t="n">
        <x:f>IF(OR(M4="",Q4=""),"",Q4/M4-1)</x:f>
        <x:v>-0.008230452674897082</x:v>
      </x:c>
      <x:c r="Y4" s="23" t="n">
        <x:f>IF(OR(M4="",R4=""),"",R4/M4-1)</x:f>
        <x:v>-0.008573388203017784</x:v>
      </x:c>
      <x:c r="Z4" s="23" t="n">
        <x:f>IF(OR(M4="",S4=""),"",S4/M4-1)</x:f>
        <x:v>-0.007201646090534974</x:v>
      </x:c>
      <x:c r="AA4" s="23" t="n">
        <x:f>IF(OR(M4="",T4=""),"",T4/M4-1)</x:f>
        <x:v>0.005452674897119314</x:v>
      </x:c>
      <x:c r="AB4" s="23" t="n">
        <x:f>IF(OR(M4="",U4=""),"",U4/M4-1)</x:f>
        <x:v>-0.009602194787380003</x:v>
      </x:c>
      <x:c r="AC4" s="22" t="n">
        <x:f>IF(V4="TARGET",O4,IF(OR(V4="INVALIDATION",V4="AMBIGUOUS"),N4,IF(R4&lt;&gt;"",R4,S4)))</x:f>
        <x:v>14.5312</x:v>
      </x:c>
      <x:c r="AD4" s="19" t="str">
        <x:f>IF(V4="TARGET","TARGET",IF(V4="INVALIDATION","STOP",IF(V4="AMBIGUOUS","AMBIGUO→STOP",IF(R4&lt;&gt;"","60M","CIERRE"))))</x:f>
        <x:v>STOP</x:v>
      </x:c>
      <x:c r="AE4" s="23" t="n">
        <x:f>IF(OR(M4="",AC4=""),"",AC4/M4-1)</x:f>
        <x:v>-0.0033470507544581807</x:v>
      </x:c>
      <x:c r="AF4" s="19" t="str">
        <x:f>IF(AE4="","SIN DATO",IF(AE4&gt;0,"GAIN",IF(AE4&lt;0,"LOSS","FLAT")))</x:f>
        <x:v>LOSS</x:v>
      </x:c>
      <x:c r="AG4" s="19" t="n">
        <x:f>IF(COUNTIFS($E$2:E4,E4,$I$2:I4,I4)=1,1,0)</x:f>
        <x:v>1</x:v>
      </x:c>
      <x:c r="AH4" s="19" t="n">
        <x:v>392</x:v>
      </x:c>
      <x:c r="AI4" s="19" t="str">
        <x:v>Alpaca SIP 1Min raw bars</x:v>
      </x:c>
      <x:c r="AJ4" s="24" t="str">
        <x:v>019fd4f3-6704-7386-bfaa-d0d6de469439</x:v>
      </x:c>
      <x:c r="AK4" s="24" t="str">
        <x:v>entry_confirmed; swing:favorable:100.00; intraday:favorable:100.00; dilution_analysis_unavailable</x:v>
      </x:c>
    </x:row>
    <x:row r="5">
      <x:c r="A5" s="19" t="n">
        <x:v>10303635</x:v>
      </x:c>
      <x:c r="B5" s="20" t="n">
        <x:v>46239</x:v>
      </x:c>
      <x:c r="C5" s="19" t="str">
        <x:v>10:36:00</x:v>
      </x:c>
      <x:c r="D5" s="19" t="str">
        <x:v>09:36:00</x:v>
      </x:c>
      <x:c r="E5" s="19" t="str">
        <x:v>L2</x:v>
      </x:c>
      <x:c r="F5" s="19" t="str">
        <x:v>AZUL</x:v>
      </x:c>
      <x:c r="G5" s="19" t="n">
        <x:v>2</x:v>
      </x:c>
      <x:c r="H5" s="24" t="str">
        <x:v>Alert Engine V2 replay</x:v>
      </x:c>
      <x:c r="I5" s="24" t="str">
        <x:v>MRK</x:v>
      </x:c>
      <x:c r="J5" s="24" t="str">
        <x:v>ENTRY_CONFIRMED</x:v>
      </x:c>
      <x:c r="K5" s="24" t="str">
        <x:v>SWING+INTRADAY</x:v>
      </x:c>
      <x:c r="L5" s="21" t="n">
        <x:v>85.8</x:v>
      </x:c>
      <x:c r="M5" s="22" t="n">
        <x:v>130.045</x:v>
      </x:c>
      <x:c r="N5" s="22" t="n">
        <x:v>129.5958</x:v>
      </x:c>
      <x:c r="O5" s="22" t="n">
        <x:v>130.7188</x:v>
      </x:c>
      <x:c r="P5" s="22" t="n">
        <x:v>127.91</x:v>
      </x:c>
      <x:c r="Q5" s="22" t="n">
        <x:v>130.68</x:v>
      </x:c>
      <x:c r="R5" s="22" t="n">
        <x:v>130.77</x:v>
      </x:c>
      <x:c r="S5" s="22" t="n">
        <x:v>128.32</x:v>
      </x:c>
      <x:c r="T5" s="22" t="n">
        <x:v>130.92</x:v>
      </x:c>
      <x:c r="U5" s="22" t="n">
        <x:v>127.555</x:v>
      </x:c>
      <x:c r="V5" s="19" t="str">
        <x:v>INVALIDATION</x:v>
      </x:c>
      <x:c r="W5" s="23" t="n">
        <x:f>IF(OR(M5="",P5=""),"",P5/M5-1)</x:f>
        <x:v>-0.01641739397900721</x:v>
      </x:c>
      <x:c r="X5" s="23" t="n">
        <x:f>IF(OR(M5="",Q5=""),"",Q5/M5-1)</x:f>
        <x:v>0.004882925141297401</x:v>
      </x:c>
      <x:c r="Y5" s="23" t="n">
        <x:f>IF(OR(M5="",R5=""),"",R5/M5-1)</x:f>
        <x:v>0.00557499327156008</x:v>
      </x:c>
      <x:c r="Z5" s="23" t="n">
        <x:f>IF(OR(M5="",S5=""),"",S5/M5-1)</x:f>
        <x:v>-0.01326463916336651</x:v>
      </x:c>
      <x:c r="AA5" s="23" t="n">
        <x:f>IF(OR(M5="",T5=""),"",T5/M5-1)</x:f>
        <x:v>0.006728440155330917</x:v>
      </x:c>
      <x:c r="AB5" s="23" t="n">
        <x:f>IF(OR(M5="",U5=""),"",U5/M5-1)</x:f>
        <x:v>-0.01914721827059851</x:v>
      </x:c>
      <x:c r="AC5" s="22" t="n">
        <x:f>IF(V5="TARGET",O5,IF(OR(V5="INVALIDATION",V5="AMBIGUOUS"),N5,IF(R5&lt;&gt;"",R5,S5)))</x:f>
        <x:v>129.5958</x:v>
      </x:c>
      <x:c r="AD5" s="19" t="str">
        <x:f>IF(V5="TARGET","TARGET",IF(V5="INVALIDATION","STOP",IF(V5="AMBIGUOUS","AMBIGUO→STOP",IF(R5&lt;&gt;"","60M","CIERRE"))))</x:f>
        <x:v>STOP</x:v>
      </x:c>
      <x:c r="AE5" s="23" t="n">
        <x:f>IF(OR(M5="",AC5=""),"",AC5/M5-1)</x:f>
        <x:v>-0.003454188934599478</x:v>
      </x:c>
      <x:c r="AF5" s="19" t="str">
        <x:f>IF(AE5="","SIN DATO",IF(AE5&gt;0,"GAIN",IF(AE5&lt;0,"LOSS","FLAT")))</x:f>
        <x:v>LOSS</x:v>
      </x:c>
      <x:c r="AG5" s="19" t="n">
        <x:f>IF(COUNTIFS($E$2:E5,E5,$I$2:I5,I5)=1,1,0)</x:f>
        <x:v>1</x:v>
      </x:c>
      <x:c r="AH5" s="19" t="n">
        <x:v>390</x:v>
      </x:c>
      <x:c r="AI5" s="19" t="str">
        <x:v>Alpaca SIP 1Min raw bars</x:v>
      </x:c>
      <x:c r="AJ5" s="24" t="str">
        <x:v>019fd4f3-67fd-79b9-adf8-bf2aab18434c</x:v>
      </x:c>
      <x:c r="AK5" s="24" t="str">
        <x:v>entry_confirmed; swing:favorable:86.00; intraday:favorable:100.00; dilution_analysis_unavailable</x:v>
      </x:c>
    </x:row>
    <x:row r="6">
      <x:c r="A6" s="19" t="n">
        <x:v>10318047</x:v>
      </x:c>
      <x:c r="B6" s="20" t="n">
        <x:v>46239</x:v>
      </x:c>
      <x:c r="C6" s="19" t="str">
        <x:v>10:48:00</x:v>
      </x:c>
      <x:c r="D6" s="19" t="str">
        <x:v>09:48:00</x:v>
      </x:c>
      <x:c r="E6" s="19" t="str">
        <x:v>L2</x:v>
      </x:c>
      <x:c r="F6" s="19" t="str">
        <x:v>AZUL</x:v>
      </x:c>
      <x:c r="G6" s="19" t="n">
        <x:v>2</x:v>
      </x:c>
      <x:c r="H6" s="24" t="str">
        <x:v>Alert Engine V2 replay</x:v>
      </x:c>
      <x:c r="I6" s="24" t="str">
        <x:v>APH</x:v>
      </x:c>
      <x:c r="J6" s="24" t="str">
        <x:v>ENTRY_CONFIRMED</x:v>
      </x:c>
      <x:c r="K6" s="24" t="str">
        <x:v>SWING+INTRADAY</x:v>
      </x:c>
      <x:c r="L6" s="21" t="n">
        <x:v>100</x:v>
      </x:c>
      <x:c r="M6" s="22" t="n">
        <x:v>174.23</x:v>
      </x:c>
      <x:c r="N6" s="22" t="n">
        <x:v>173.7944</x:v>
      </x:c>
      <x:c r="O6" s="22" t="n">
        <x:v>174.8834</x:v>
      </x:c>
      <x:c r="P6" s="22" t="n">
        <x:v>173.4</x:v>
      </x:c>
      <x:c r="Q6" s="22" t="n">
        <x:v>173.94</x:v>
      </x:c>
      <x:c r="R6" s="22" t="n">
        <x:v>172.55</x:v>
      </x:c>
      <x:c r="S6" s="22" t="n">
        <x:v>172.24</x:v>
      </x:c>
      <x:c r="T6" s="22" t="n">
        <x:v>174.66</x:v>
      </x:c>
      <x:c r="U6" s="22" t="n">
        <x:v>171.17</x:v>
      </x:c>
      <x:c r="V6" s="19" t="str">
        <x:v>INVALIDATION</x:v>
      </x:c>
      <x:c r="W6" s="23" t="n">
        <x:f>IF(OR(M6="",P6=""),"",P6/M6-1)</x:f>
        <x:v>-0.00476381794180103</x:v>
      </x:c>
      <x:c r="X6" s="23" t="n">
        <x:f>IF(OR(M6="",Q6=""),"",Q6/M6-1)</x:f>
        <x:v>-0.0016644665097859113</x:v>
      </x:c>
      <x:c r="Y6" s="23" t="n">
        <x:f>IF(OR(M6="",R6=""),"",R6/M6-1)</x:f>
        <x:v>-0.009642426677380356</x:v>
      </x:c>
      <x:c r="Z6" s="23" t="n">
        <x:f>IF(OR(M6="",S6=""),"",S6/M6-1)</x:f>
        <x:v>-0.011421683980944564</x:v>
      </x:c>
      <x:c r="AA6" s="23" t="n">
        <x:f>IF(OR(M6="",T6=""),"",T6/M6-1)</x:f>
        <x:v>0.0024680020662344315</x:v>
      </x:c>
      <x:c r="AB6" s="23" t="n">
        <x:f>IF(OR(M6="",U6=""),"",U6/M6-1)</x:f>
        <x:v>-0.01756299144808593</x:v>
      </x:c>
      <x:c r="AC6" s="22" t="n">
        <x:f>IF(V6="TARGET",O6,IF(OR(V6="INVALIDATION",V6="AMBIGUOUS"),N6,IF(R6&lt;&gt;"",R6,S6)))</x:f>
        <x:v>173.7944</x:v>
      </x:c>
      <x:c r="AD6" s="19" t="str">
        <x:f>IF(V6="TARGET","TARGET",IF(V6="INVALIDATION","STOP",IF(V6="AMBIGUOUS","AMBIGUO→STOP",IF(R6&lt;&gt;"","60M","CIERRE"))))</x:f>
        <x:v>STOP</x:v>
      </x:c>
      <x:c r="AE6" s="23" t="n">
        <x:f>IF(OR(M6="",AC6=""),"",AC6/M6-1)</x:f>
        <x:v>-0.002500143488492146</x:v>
      </x:c>
      <x:c r="AF6" s="19" t="str">
        <x:f>IF(AE6="","SIN DATO",IF(AE6&gt;0,"GAIN",IF(AE6&lt;0,"LOSS","FLAT")))</x:f>
        <x:v>LOSS</x:v>
      </x:c>
      <x:c r="AG6" s="19" t="n">
        <x:f>IF(COUNTIFS($E$2:E6,E6,$I$2:I6,I6)=1,1,0)</x:f>
        <x:v>1</x:v>
      </x:c>
      <x:c r="AH6" s="19" t="n">
        <x:v>391</x:v>
      </x:c>
      <x:c r="AI6" s="19" t="str">
        <x:v>Alpaca SIP 1Min raw bars</x:v>
      </x:c>
      <x:c r="AJ6" s="24" t="str">
        <x:v>019fd4f3-6ad7-7d8b-aa5d-926c49337987</x:v>
      </x:c>
      <x:c r="AK6" s="24" t="str">
        <x:v>entry_confirmed; swing:favorable:100.00; intraday:favorable:100.00; dilution_analysis_unavailable</x:v>
      </x:c>
    </x:row>
    <x:row r="7">
      <x:c r="A7" s="19" t="n">
        <x:v>10320460</x:v>
      </x:c>
      <x:c r="B7" s="20" t="n">
        <x:v>46239</x:v>
      </x:c>
      <x:c r="C7" s="19" t="str">
        <x:v>10:50:00</x:v>
      </x:c>
      <x:c r="D7" s="19" t="str">
        <x:v>09:50:00</x:v>
      </x:c>
      <x:c r="E7" s="19" t="str">
        <x:v>L4</x:v>
      </x:c>
      <x:c r="F7" s="19" t="str">
        <x:v>MAGENTA</x:v>
      </x:c>
      <x:c r="G7" s="19" t="n">
        <x:v>3</x:v>
      </x:c>
      <x:c r="H7" s="24" t="str">
        <x:v>Signal Fusion</x:v>
      </x:c>
      <x:c r="I7" s="24" t="str">
        <x:v>NBIS</x:v>
      </x:c>
      <x:c r="J7" s="24" t="str">
        <x:v>RECOVERY_CONFIRMED</x:v>
      </x:c>
      <x:c r="K7" s="24" t="str"/>
      <x:c r="L7" s="21" t="n">
        <x:v>50</x:v>
      </x:c>
      <x:c r="M7" s="22" t="n">
        <x:v>225.35</x:v>
      </x:c>
      <x:c r="N7" s="22" t="n">
        <x:v>224.0751</x:v>
      </x:c>
      <x:c r="O7" s="22" t="n">
        <x:v>244.907</x:v>
      </x:c>
      <x:c r="P7" s="22" t="n">
        <x:v>224.07</x:v>
      </x:c>
      <x:c r="Q7" s="22" t="n">
        <x:v>223.7</x:v>
      </x:c>
      <x:c r="R7" s="22" t="n">
        <x:v>221.94</x:v>
      </x:c>
      <x:c r="S7" s="22" t="n">
        <x:v>219.5</x:v>
      </x:c>
      <x:c r="T7" s="22" t="n">
        <x:v>227.65</x:v>
      </x:c>
      <x:c r="U7" s="22" t="n">
        <x:v>219.13</x:v>
      </x:c>
      <x:c r="V7" s="19" t="str">
        <x:v>INVALIDATION</x:v>
      </x:c>
      <x:c r="W7" s="23" t="n">
        <x:f>IF(OR(M7="",P7=""),"",P7/M7-1)</x:f>
        <x:v>-0.005680053250499251</x:v>
      </x:c>
      <x:c r="X7" s="23" t="n">
        <x:f>IF(OR(M7="",Q7=""),"",Q7/M7-1)</x:f>
        <x:v>-0.0073219436432216956</x:v>
      </x:c>
      <x:c r="Y7" s="23" t="n">
        <x:f>IF(OR(M7="",R7=""),"",R7/M7-1)</x:f>
        <x:v>-0.015132016862658082</x:v>
      </x:c>
      <x:c r="Z7" s="23" t="n">
        <x:f>IF(OR(M7="",S7=""),"",S7/M7-1)</x:f>
        <x:v>-0.025959618371422244</x:v>
      </x:c>
      <x:c r="AA7" s="23" t="n">
        <x:f>IF(OR(M7="",T7=""),"",T7/M7-1)</x:f>
        <x:v>0.010206345684490747</x:v>
      </x:c>
      <x:c r="AB7" s="23" t="n">
        <x:f>IF(OR(M7="",U7=""),"",U7/M7-1)</x:f>
        <x:v>-0.02760150876414469</x:v>
      </x:c>
      <x:c r="AC7" s="22" t="n">
        <x:f>IF(V7="TARGET",O7,IF(OR(V7="INVALIDATION",V7="AMBIGUOUS"),N7,IF(R7&lt;&gt;"",R7,S7)))</x:f>
        <x:v>224.0751</x:v>
      </x:c>
      <x:c r="AD7" s="19" t="str">
        <x:f>IF(V7="TARGET","TARGET",IF(V7="INVALIDATION","STOP",IF(V7="AMBIGUOUS","AMBIGUO→STOP",IF(R7&lt;&gt;"","60M","CIERRE"))))</x:f>
        <x:v>STOP</x:v>
      </x:c>
      <x:c r="AE7" s="23" t="n">
        <x:f>IF(OR(M7="",AC7=""),"",AC7/M7-1)</x:f>
        <x:v>-0.0056574217883292865</x:v>
      </x:c>
      <x:c r="AF7" s="19" t="str">
        <x:f>IF(AE7="","SIN DATO",IF(AE7&gt;0,"GAIN",IF(AE7&lt;0,"LOSS","FLAT")))</x:f>
        <x:v>LOSS</x:v>
      </x:c>
      <x:c r="AG7" s="19" t="n">
        <x:f>IF(COUNTIFS($E$2:E7,E7,$I$2:I7,I7)=1,1,0)</x:f>
        <x:v>1</x:v>
      </x:c>
      <x:c r="AH7" s="19" t="n">
        <x:v>392</x:v>
      </x:c>
      <x:c r="AI7" s="19" t="str">
        <x:v>Alpaca SIP 1Min raw bars</x:v>
      </x:c>
      <x:c r="AJ7" s="24" t="str">
        <x:v>019fd231-1a04-79bf-9205-843b631bd246</x:v>
      </x:c>
      <x:c r="AK7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support_b_wave_risk; patreon_context:SUPPORT_TEST</x:v>
      </x:c>
    </x:row>
    <x:row r="8">
      <x:c r="A8" s="19" t="n">
        <x:v>10321225</x:v>
      </x:c>
      <x:c r="B8" s="20" t="n">
        <x:v>46239</x:v>
      </x:c>
      <x:c r="C8" s="19" t="str">
        <x:v>10:51:00</x:v>
      </x:c>
      <x:c r="D8" s="19" t="str">
        <x:v>09:51:00</x:v>
      </x:c>
      <x:c r="E8" s="19" t="str">
        <x:v>L2</x:v>
      </x:c>
      <x:c r="F8" s="19" t="str">
        <x:v>AZUL</x:v>
      </x:c>
      <x:c r="G8" s="19" t="n">
        <x:v>2</x:v>
      </x:c>
      <x:c r="H8" s="24" t="str">
        <x:v>Alert Engine V2 replay</x:v>
      </x:c>
      <x:c r="I8" s="24" t="str">
        <x:v>LITE</x:v>
      </x:c>
      <x:c r="J8" s="24" t="str">
        <x:v>ENTRY_CONFIRMED</x:v>
      </x:c>
      <x:c r="K8" s="24" t="str">
        <x:v>SWING+INTRADAY</x:v>
      </x:c>
      <x:c r="L8" s="21" t="n">
        <x:v>83.03</x:v>
      </x:c>
      <x:c r="M8" s="22" t="n">
        <x:v>870.385</x:v>
      </x:c>
      <x:c r="N8" s="22" t="n">
        <x:v>867.1082</x:v>
      </x:c>
      <x:c r="O8" s="22" t="n">
        <x:v>875.3003</x:v>
      </x:c>
      <x:c r="P8" s="22" t="n">
        <x:v>858.545</x:v>
      </x:c>
      <x:c r="Q8" s="22" t="n">
        <x:v>852.56</x:v>
      </x:c>
      <x:c r="R8" s="22" t="n">
        <x:v>833.115</x:v>
      </x:c>
      <x:c r="S8" s="22" t="n">
        <x:v>820.32</x:v>
      </x:c>
      <x:c r="T8" s="22" t="n">
        <x:v>883.65</x:v>
      </x:c>
      <x:c r="U8" s="22" t="n">
        <x:v>826.61</x:v>
      </x:c>
      <x:c r="V8" s="19" t="str">
        <x:v>INVALIDATION</x:v>
      </x:c>
      <x:c r="W8" s="23" t="n">
        <x:f>IF(OR(M8="",P8=""),"",P8/M8-1)</x:f>
        <x:v>-0.013603175606197282</x:v>
      </x:c>
      <x:c r="X8" s="23" t="n">
        <x:f>IF(OR(M8="",Q8=""),"",Q8/M8-1)</x:f>
        <x:v>-0.020479443005106956</x:v>
      </x:c>
      <x:c r="Y8" s="23" t="n">
        <x:f>IF(OR(M8="",R8=""),"",R8/M8-1)</x:f>
        <x:v>-0.042820131321196886</x:v>
      </x:c>
      <x:c r="Z8" s="23" t="n">
        <x:f>IF(OR(M8="",S8=""),"",S8/M8-1)</x:f>
        <x:v>-0.05752052252738726</x:v>
      </x:c>
      <x:c r="AA8" s="23" t="n">
        <x:f>IF(OR(M8="",T8=""),"",T8/M8-1)</x:f>
        <x:v>0.015240382129747099</x:v>
      </x:c>
      <x:c r="AB8" s="23" t="n">
        <x:f>IF(OR(M8="",U8=""),"",U8/M8-1)</x:f>
        <x:v>-0.05029383548659494</x:v>
      </x:c>
      <x:c r="AC8" s="22" t="n">
        <x:f>IF(V8="TARGET",O8,IF(OR(V8="INVALIDATION",V8="AMBIGUOUS"),N8,IF(R8&lt;&gt;"",R8,S8)))</x:f>
        <x:v>867.1082</x:v>
      </x:c>
      <x:c r="AD8" s="19" t="str">
        <x:f>IF(V8="TARGET","TARGET",IF(V8="INVALIDATION","STOP",IF(V8="AMBIGUOUS","AMBIGUO→STOP",IF(R8&lt;&gt;"","60M","CIERRE"))))</x:f>
        <x:v>STOP</x:v>
      </x:c>
      <x:c r="AE8" s="23" t="n">
        <x:f>IF(OR(M8="",AC8=""),"",AC8/M8-1)</x:f>
        <x:v>-0.0037647707623638116</x:v>
      </x:c>
      <x:c r="AF8" s="19" t="str">
        <x:f>IF(AE8="","SIN DATO",IF(AE8&gt;0,"GAIN",IF(AE8&lt;0,"LOSS","FLAT")))</x:f>
        <x:v>LOSS</x:v>
      </x:c>
      <x:c r="AG8" s="19" t="n">
        <x:f>IF(COUNTIFS($E$2:E8,E8,$I$2:I8,I8)=1,1,0)</x:f>
        <x:v>1</x:v>
      </x:c>
      <x:c r="AH8" s="19" t="n">
        <x:v>392</x:v>
      </x:c>
      <x:c r="AI8" s="19" t="str">
        <x:v>Alpaca SIP 1Min raw bars</x:v>
      </x:c>
      <x:c r="AJ8" s="24" t="str">
        <x:v>019fd4f3-6b4a-7651-8137-132d5bdcad81</x:v>
      </x:c>
      <x:c r="AK8" s="24" t="str">
        <x:v>entry_confirmed; swing:watch:83.00; intraday:favorable:100.00; dilution_analysis_unavailable</x:v>
      </x:c>
    </x:row>
    <x:row r="9">
      <x:c r="A9" s="19" t="n">
        <x:v>10326515</x:v>
      </x:c>
      <x:c r="B9" s="20" t="n">
        <x:v>46239</x:v>
      </x:c>
      <x:c r="C9" s="19" t="str">
        <x:v>10:55:00</x:v>
      </x:c>
      <x:c r="D9" s="19" t="str">
        <x:v>09:55:00</x:v>
      </x:c>
      <x:c r="E9" s="19" t="str">
        <x:v>L2</x:v>
      </x:c>
      <x:c r="F9" s="19" t="str">
        <x:v>AZUL</x:v>
      </x:c>
      <x:c r="G9" s="19" t="n">
        <x:v>2</x:v>
      </x:c>
      <x:c r="H9" s="24" t="str">
        <x:v>Alert Engine V2 replay</x:v>
      </x:c>
      <x:c r="I9" s="24" t="str">
        <x:v>RTX</x:v>
      </x:c>
      <x:c r="J9" s="24" t="str">
        <x:v>ENTRY_CONFIRMED</x:v>
      </x:c>
      <x:c r="K9" s="24" t="str">
        <x:v>SWING+INTRADAY</x:v>
      </x:c>
      <x:c r="L9" s="21" t="n">
        <x:v>80.36</x:v>
      </x:c>
      <x:c r="M9" s="22" t="n">
        <x:v>220.2</x:v>
      </x:c>
      <x:c r="N9" s="22" t="n">
        <x:v>219.6495</x:v>
      </x:c>
      <x:c r="O9" s="22" t="n">
        <x:v>221.0258</x:v>
      </x:c>
      <x:c r="P9" s="22" t="n">
        <x:v>220.68</x:v>
      </x:c>
      <x:c r="Q9" s="22" t="n">
        <x:v>220.3</x:v>
      </x:c>
      <x:c r="R9" s="22" t="n">
        <x:v>219.7</x:v>
      </x:c>
      <x:c r="S9" s="22" t="n">
        <x:v>222.31</x:v>
      </x:c>
      <x:c r="T9" s="22" t="n">
        <x:v>220.749</x:v>
      </x:c>
      <x:c r="U9" s="22" t="n">
        <x:v>219.54</x:v>
      </x:c>
      <x:c r="V9" s="19" t="str">
        <x:v>INVALIDATION</x:v>
      </x:c>
      <x:c r="W9" s="23" t="n">
        <x:f>IF(OR(M9="",P9=""),"",P9/M9-1)</x:f>
        <x:v>0.0021798365122616126</x:v>
      </x:c>
      <x:c r="X9" s="23" t="n">
        <x:f>IF(OR(M9="",Q9=""),"",Q9/M9-1)</x:f>
        <x:v>0.0004541326067213358</x:v>
      </x:c>
      <x:c r="Y9" s="23" t="n">
        <x:f>IF(OR(M9="",R9=""),"",R9/M9-1)</x:f>
        <x:v>-0.002270663033605791</x:v>
      </x:c>
      <x:c r="Z9" s="23" t="n">
        <x:f>IF(OR(M9="",S9=""),"",S9/M9-1)</x:f>
        <x:v>0.0095821980018167</x:v>
      </x:c>
      <x:c r="AA9" s="23" t="n">
        <x:f>IF(OR(M9="",T9=""),"",T9/M9-1)</x:f>
        <x:v>0.00249318801089915</x:v>
      </x:c>
      <x:c r="AB9" s="23" t="n">
        <x:f>IF(OR(M9="",U9=""),"",U9/M9-1)</x:f>
        <x:v>-0.0029972752043596618</x:v>
      </x:c>
      <x:c r="AC9" s="22" t="n">
        <x:f>IF(V9="TARGET",O9,IF(OR(V9="INVALIDATION",V9="AMBIGUOUS"),N9,IF(R9&lt;&gt;"",R9,S9)))</x:f>
        <x:v>219.6495</x:v>
      </x:c>
      <x:c r="AD9" s="19" t="str">
        <x:f>IF(V9="TARGET","TARGET",IF(V9="INVALIDATION","STOP",IF(V9="AMBIGUOUS","AMBIGUO→STOP",IF(R9&lt;&gt;"","60M","CIERRE"))))</x:f>
        <x:v>STOP</x:v>
      </x:c>
      <x:c r="AE9" s="23" t="n">
        <x:f>IF(OR(M9="",AC9=""),"",AC9/M9-1)</x:f>
        <x:v>-0.0024999999999999467</x:v>
      </x:c>
      <x:c r="AF9" s="19" t="str">
        <x:f>IF(AE9="","SIN DATO",IF(AE9&gt;0,"GAIN",IF(AE9&lt;0,"LOSS","FLAT")))</x:f>
        <x:v>LOSS</x:v>
      </x:c>
      <x:c r="AG9" s="19" t="n">
        <x:f>IF(COUNTIFS($E$2:E9,E9,$I$2:I9,I9)=1,1,0)</x:f>
        <x:v>1</x:v>
      </x:c>
      <x:c r="AH9" s="19" t="n">
        <x:v>391</x:v>
      </x:c>
      <x:c r="AI9" s="19" t="str">
        <x:v>Alpaca SIP 1Min raw bars</x:v>
      </x:c>
      <x:c r="AJ9" s="24" t="str">
        <x:v>019fd4f3-6c11-7731-a1a6-893ef3360b9b</x:v>
      </x:c>
      <x:c r="AK9" s="24" t="str">
        <x:v>entry_confirmed; swing:favorable:80.00; intraday:favorable:100.00; dilution_analysis_unavailable</x:v>
      </x:c>
    </x:row>
    <x:row r="10">
      <x:c r="A10" s="19" t="n">
        <x:v>10327330</x:v>
      </x:c>
      <x:c r="B10" s="20" t="n">
        <x:v>46239</x:v>
      </x:c>
      <x:c r="C10" s="19" t="str">
        <x:v>10:56:00</x:v>
      </x:c>
      <x:c r="D10" s="19" t="str">
        <x:v>09:56:00</x:v>
      </x:c>
      <x:c r="E10" s="19" t="str">
        <x:v>L2</x:v>
      </x:c>
      <x:c r="F10" s="19" t="str">
        <x:v>AZUL</x:v>
      </x:c>
      <x:c r="G10" s="19" t="n">
        <x:v>2</x:v>
      </x:c>
      <x:c r="H10" s="24" t="str">
        <x:v>Alert Engine V2 replay</x:v>
      </x:c>
      <x:c r="I10" s="24" t="str">
        <x:v>NU</x:v>
      </x:c>
      <x:c r="J10" s="24" t="str">
        <x:v>ENTRY_CONFIRMED</x:v>
      </x:c>
      <x:c r="K10" s="24" t="str">
        <x:v>SWING+INTRADAY</x:v>
      </x:c>
      <x:c r="L10" s="21" t="n">
        <x:v>100</x:v>
      </x:c>
      <x:c r="M10" s="22" t="n">
        <x:v>14.555</x:v>
      </x:c>
      <x:c r="N10" s="22" t="n">
        <x:v>14.5186</x:v>
      </x:c>
      <x:c r="O10" s="22" t="n">
        <x:v>14.6096</x:v>
      </x:c>
      <x:c r="P10" s="22" t="n">
        <x:v>14.595</x:v>
      </x:c>
      <x:c r="Q10" s="22" t="n">
        <x:v>14.53</x:v>
      </x:c>
      <x:c r="R10" s="22" t="n">
        <x:v>14.355</x:v>
      </x:c>
      <x:c r="S10" s="22" t="n">
        <x:v>14.475</x:v>
      </x:c>
      <x:c r="T10" s="22" t="n">
        <x:v>14.6595</x:v>
      </x:c>
      <x:c r="U10" s="22" t="n">
        <x:v>14.35</x:v>
      </x:c>
      <x:c r="V10" s="19" t="str">
        <x:v>INVALIDATION</x:v>
      </x:c>
      <x:c r="W10" s="23" t="n">
        <x:f>IF(OR(M10="",P10=""),"",P10/M10-1)</x:f>
        <x:v>0.0027481964960496263</x:v>
      </x:c>
      <x:c r="X10" s="23" t="n">
        <x:f>IF(OR(M10="",Q10=""),"",Q10/M10-1)</x:f>
        <x:v>-0.001717622810030961</x:v>
      </x:c>
      <x:c r="Y10" s="23" t="n">
        <x:f>IF(OR(M10="",R10=""),"",R10/M10-1)</x:f>
        <x:v>-0.013740982480247244</x:v>
      </x:c>
      <x:c r="Z10" s="23" t="n">
        <x:f>IF(OR(M10="",S10=""),"",S10/M10-1)</x:f>
        <x:v>-0.00549639299209892</x:v>
      </x:c>
      <x:c r="AA10" s="23" t="n">
        <x:f>IF(OR(M10="",T10=""),"",T10/M10-1)</x:f>
        <x:v>0.0071796633459291215</x:v>
      </x:c>
      <x:c r="AB10" s="23" t="n">
        <x:f>IF(OR(M10="",U10=""),"",U10/M10-1)</x:f>
        <x:v>-0.014084507042253502</x:v>
      </x:c>
      <x:c r="AC10" s="22" t="n">
        <x:f>IF(V10="TARGET",O10,IF(OR(V10="INVALIDATION",V10="AMBIGUOUS"),N10,IF(R10&lt;&gt;"",R10,S10)))</x:f>
        <x:v>14.5186</x:v>
      </x:c>
      <x:c r="AD10" s="19" t="str">
        <x:f>IF(V10="TARGET","TARGET",IF(V10="INVALIDATION","STOP",IF(V10="AMBIGUOUS","AMBIGUO→STOP",IF(R10&lt;&gt;"","60M","CIERRE"))))</x:f>
        <x:v>STOP</x:v>
      </x:c>
      <x:c r="AE10" s="23" t="n">
        <x:f>IF(OR(M10="",AC10=""),"",AC10/M10-1)</x:f>
        <x:v>-0.002500858811405049</x:v>
      </x:c>
      <x:c r="AF10" s="19" t="str">
        <x:f>IF(AE10="","SIN DATO",IF(AE10&gt;0,"GAIN",IF(AE10&lt;0,"LOSS","FLAT")))</x:f>
        <x:v>LOSS</x:v>
      </x:c>
      <x:c r="AG10" s="19" t="n">
        <x:f>IF(COUNTIFS($E$2:E10,E10,$I$2:I10,I10)=1,1,0)</x:f>
        <x:v>0</x:v>
      </x:c>
      <x:c r="AH10" s="19" t="n">
        <x:v>392</x:v>
      </x:c>
      <x:c r="AI10" s="19" t="str">
        <x:v>Alpaca SIP 1Min raw bars</x:v>
      </x:c>
      <x:c r="AJ10" s="24" t="str">
        <x:v>019fd4f3-6c33-7985-bb6c-3d02001ab3aa</x:v>
      </x:c>
      <x:c r="AK10" s="24" t="str">
        <x:v>entry_confirmed; swing:favorable:100.00; intraday:favorable:100.00; dilution_analysis_unavailable</x:v>
      </x:c>
    </x:row>
    <x:row r="11">
      <x:c r="A11" s="19" t="n">
        <x:v>10329475</x:v>
      </x:c>
      <x:c r="B11" s="20" t="n">
        <x:v>46239</x:v>
      </x:c>
      <x:c r="C11" s="19" t="str">
        <x:v>10:59:00</x:v>
      </x:c>
      <x:c r="D11" s="19" t="str">
        <x:v>09:59:00</x:v>
      </x:c>
      <x:c r="E11" s="19" t="str">
        <x:v>L2</x:v>
      </x:c>
      <x:c r="F11" s="19" t="str">
        <x:v>AZUL</x:v>
      </x:c>
      <x:c r="G11" s="19" t="n">
        <x:v>2</x:v>
      </x:c>
      <x:c r="H11" s="24" t="str">
        <x:v>Alert Engine V2 replay</x:v>
      </x:c>
      <x:c r="I11" s="24" t="str">
        <x:v>NUE</x:v>
      </x:c>
      <x:c r="J11" s="24" t="str">
        <x:v>ENTRY_CONFIRMED</x:v>
      </x:c>
      <x:c r="K11" s="24" t="str">
        <x:v>SWING+INTRADAY</x:v>
      </x:c>
      <x:c r="L11" s="21" t="n">
        <x:v>100</x:v>
      </x:c>
      <x:c r="M11" s="22" t="n">
        <x:v>279.83</x:v>
      </x:c>
      <x:c r="N11" s="22" t="n">
        <x:v>279.1304</x:v>
      </x:c>
      <x:c r="O11" s="22" t="n">
        <x:v>280.8794</x:v>
      </x:c>
      <x:c r="P11" s="22" t="n">
        <x:v>278.51</x:v>
      </x:c>
      <x:c r="Q11" s="22" t="n">
        <x:v>277.71</x:v>
      </x:c>
      <x:c r="R11" s="22" t="n">
        <x:v>275.235</x:v>
      </x:c>
      <x:c r="S11" s="22" t="n">
        <x:v>274.74</x:v>
      </x:c>
      <x:c r="T11" s="22" t="n">
        <x:v>280.11</x:v>
      </x:c>
      <x:c r="U11" s="22" t="n">
        <x:v>275.235</x:v>
      </x:c>
      <x:c r="V11" s="19" t="str">
        <x:v>INVALIDATION</x:v>
      </x:c>
      <x:c r="W11" s="23" t="n">
        <x:f>IF(OR(M11="",P11=""),"",P11/M11-1)</x:f>
        <x:v>-0.004717149698030942</x:v>
      </x:c>
      <x:c r="X11" s="23" t="n">
        <x:f>IF(OR(M11="",Q11=""),"",Q11/M11-1)</x:f>
        <x:v>-0.007576028302898163</x:v>
      </x:c>
      <x:c r="Y11" s="23" t="n">
        <x:f>IF(OR(M11="",R11=""),"",R11/M11-1)</x:f>
        <x:v>-0.016420683986706153</x:v>
      </x:c>
      <x:c r="Z11" s="23" t="n">
        <x:f>IF(OR(M11="",S11=""),"",S11/M11-1)</x:f>
        <x:v>-0.01818961512346773</x:v>
      </x:c>
      <x:c r="AA11" s="23" t="n">
        <x:f>IF(OR(M11="",T11=""),"",T11/M11-1)</x:f>
        <x:v>0.0010006075117037216</x:v>
      </x:c>
      <x:c r="AB11" s="23" t="n">
        <x:f>IF(OR(M11="",U11=""),"",U11/M11-1)</x:f>
        <x:v>-0.016420683986706153</x:v>
      </x:c>
      <x:c r="AC11" s="22" t="n">
        <x:f>IF(V11="TARGET",O11,IF(OR(V11="INVALIDATION",V11="AMBIGUOUS"),N11,IF(R11&lt;&gt;"",R11,S11)))</x:f>
        <x:v>279.1304</x:v>
      </x:c>
      <x:c r="AD11" s="19" t="str">
        <x:f>IF(V11="TARGET","TARGET",IF(V11="INVALIDATION","STOP",IF(V11="AMBIGUOUS","AMBIGUO→STOP",IF(R11&lt;&gt;"","60M","CIERRE"))))</x:f>
        <x:v>STOP</x:v>
      </x:c>
      <x:c r="AE11" s="23" t="n">
        <x:f>IF(OR(M11="",AC11=""),"",AC11/M11-1)</x:f>
        <x:v>-0.0025000893399562685</x:v>
      </x:c>
      <x:c r="AF11" s="19" t="str">
        <x:f>IF(AE11="","SIN DATO",IF(AE11&gt;0,"GAIN",IF(AE11&lt;0,"LOSS","FLAT")))</x:f>
        <x:v>LOSS</x:v>
      </x:c>
      <x:c r="AG11" s="19" t="n">
        <x:f>IF(COUNTIFS($E$2:E11,E11,$I$2:I11,I11)=1,1,0)</x:f>
        <x:v>1</x:v>
      </x:c>
      <x:c r="AH11" s="19" t="n">
        <x:v>376</x:v>
      </x:c>
      <x:c r="AI11" s="19" t="str">
        <x:v>Alpaca SIP 1Min raw bars</x:v>
      </x:c>
      <x:c r="AJ11" s="24" t="str">
        <x:v>019fd4f3-6c8c-7523-b65e-f3a44f749676</x:v>
      </x:c>
      <x:c r="AK11" s="24" t="str">
        <x:v>entry_confirmed; swing:favorable:100.00; intraday:favorable:100.00; dilution_analysis_unavailable</x:v>
      </x:c>
    </x:row>
    <x:row r="12">
      <x:c r="A12" s="19" t="n">
        <x:v>10335876</x:v>
      </x:c>
      <x:c r="B12" s="20" t="n">
        <x:v>46239</x:v>
      </x:c>
      <x:c r="C12" s="19" t="str">
        <x:v>11:04:00</x:v>
      </x:c>
      <x:c r="D12" s="19" t="str">
        <x:v>10:04:00</x:v>
      </x:c>
      <x:c r="E12" s="19" t="str">
        <x:v>L2</x:v>
      </x:c>
      <x:c r="F12" s="19" t="str">
        <x:v>AZUL</x:v>
      </x:c>
      <x:c r="G12" s="19" t="n">
        <x:v>2</x:v>
      </x:c>
      <x:c r="H12" s="24" t="str">
        <x:v>Alert Engine V2 replay</x:v>
      </x:c>
      <x:c r="I12" s="24" t="str">
        <x:v>SCHW</x:v>
      </x:c>
      <x:c r="J12" s="24" t="str">
        <x:v>ENTRY_CONFIRMED</x:v>
      </x:c>
      <x:c r="K12" s="24" t="str">
        <x:v>SWING+INTRADAY</x:v>
      </x:c>
      <x:c r="L12" s="21" t="n">
        <x:v>100</x:v>
      </x:c>
      <x:c r="M12" s="22" t="n">
        <x:v>107.97</x:v>
      </x:c>
      <x:c r="N12" s="22" t="n">
        <x:v>107.7001</x:v>
      </x:c>
      <x:c r="O12" s="22" t="n">
        <x:v>108.3749</x:v>
      </x:c>
      <x:c r="P12" s="22" t="n">
        <x:v>107.89</x:v>
      </x:c>
      <x:c r="Q12" s="22" t="n">
        <x:v>107.87</x:v>
      </x:c>
      <x:c r="R12" s="22" t="n">
        <x:v>107.795</x:v>
      </x:c>
      <x:c r="S12" s="22" t="n">
        <x:v>108.02</x:v>
      </x:c>
      <x:c r="T12" s="22" t="n">
        <x:v>107.99</x:v>
      </x:c>
      <x:c r="U12" s="22" t="n">
        <x:v>107.595</x:v>
      </x:c>
      <x:c r="V12" s="19" t="str">
        <x:v>INVALIDATION</x:v>
      </x:c>
      <x:c r="W12" s="23" t="n">
        <x:f>IF(OR(M12="",P12=""),"",P12/M12-1)</x:f>
        <x:v>-0.0007409465592294051</x:v>
      </x:c>
      <x:c r="X12" s="23" t="n">
        <x:f>IF(OR(M12="",Q12=""),"",Q12/M12-1)</x:f>
        <x:v>-0.0009261831990367009</x:v>
      </x:c>
      <x:c r="Y12" s="23" t="n">
        <x:f>IF(OR(M12="",R12=""),"",R12/M12-1)</x:f>
        <x:v>-0.0016208205983143653</x:v>
      </x:c>
      <x:c r="Z12" s="23" t="n">
        <x:f>IF(OR(M12="",S12=""),"",S12/M12-1)</x:f>
        <x:v>0.00046309159951829493</x:v>
      </x:c>
      <x:c r="AA12" s="23" t="n">
        <x:f>IF(OR(M12="",T12=""),"",T12/M12-1)</x:f>
        <x:v>0.0001852366398074068</x:v>
      </x:c>
      <x:c r="AB12" s="23" t="n">
        <x:f>IF(OR(M12="",U12=""),"",U12/M12-1)</x:f>
        <x:v>-0.003473186996387878</x:v>
      </x:c>
      <x:c r="AC12" s="22" t="n">
        <x:f>IF(V12="TARGET",O12,IF(OR(V12="INVALIDATION",V12="AMBIGUOUS"),N12,IF(R12&lt;&gt;"",R12,S12)))</x:f>
        <x:v>107.7001</x:v>
      </x:c>
      <x:c r="AD12" s="19" t="str">
        <x:f>IF(V12="TARGET","TARGET",IF(V12="INVALIDATION","STOP",IF(V12="AMBIGUOUS","AMBIGUO→STOP",IF(R12&lt;&gt;"","60M","CIERRE"))))</x:f>
        <x:v>STOP</x:v>
      </x:c>
      <x:c r="AE12" s="23" t="n">
        <x:f>IF(OR(M12="",AC12=""),"",AC12/M12-1)</x:f>
        <x:v>-0.0024997684542001908</x:v>
      </x:c>
      <x:c r="AF12" s="19" t="str">
        <x:f>IF(AE12="","SIN DATO",IF(AE12&gt;0,"GAIN",IF(AE12&lt;0,"LOSS","FLAT")))</x:f>
        <x:v>LOSS</x:v>
      </x:c>
      <x:c r="AG12" s="19" t="n">
        <x:f>IF(COUNTIFS($E$2:E12,E12,$I$2:I12,I12)=1,1,0)</x:f>
        <x:v>1</x:v>
      </x:c>
      <x:c r="AH12" s="19" t="n">
        <x:v>391</x:v>
      </x:c>
      <x:c r="AI12" s="19" t="str">
        <x:v>Alpaca SIP 1Min raw bars</x:v>
      </x:c>
      <x:c r="AJ12" s="24" t="str">
        <x:v>019fd4f3-6d80-778e-af20-1d4a13876240</x:v>
      </x:c>
      <x:c r="AK12" s="24" t="str">
        <x:v>entry_confirmed; swing:favorable:100.00; intraday:favorable:100.00; dilution_analysis_unavailable</x:v>
      </x:c>
    </x:row>
    <x:row r="13">
      <x:c r="A13" s="19" t="n">
        <x:v>10336295</x:v>
      </x:c>
      <x:c r="B13" s="20" t="n">
        <x:v>46239</x:v>
      </x:c>
      <x:c r="C13" s="19" t="str">
        <x:v>11:04:00</x:v>
      </x:c>
      <x:c r="D13" s="19" t="str">
        <x:v>10:04:00</x:v>
      </x:c>
      <x:c r="E13" s="19" t="str">
        <x:v>L3</x:v>
      </x:c>
      <x:c r="F13" s="19" t="str">
        <x:v>VERDE</x:v>
      </x:c>
      <x:c r="G13" s="19" t="n">
        <x:v>3</x:v>
      </x:c>
      <x:c r="H13" s="24" t="str">
        <x:v>Alert Engine V2 replay</x:v>
      </x:c>
      <x:c r="I13" s="24" t="str">
        <x:v>SBUX</x:v>
      </x:c>
      <x:c r="J13" s="24" t="str">
        <x:v>HIGH_CONVICTION_BUY</x:v>
      </x:c>
      <x:c r="K13" s="24" t="str">
        <x:v>LONG_TERM+SWING+INTRADAY</x:v>
      </x:c>
      <x:c r="L13" s="21" t="n">
        <x:v>87.8</x:v>
      </x:c>
      <x:c r="M13" s="22" t="n">
        <x:v>105.73</x:v>
      </x:c>
      <x:c r="N13" s="22" t="n">
        <x:v>105.4657</x:v>
      </x:c>
      <x:c r="O13" s="22" t="n">
        <x:v>106.1265</x:v>
      </x:c>
      <x:c r="P13" s="22" t="n">
        <x:v>105.375</x:v>
      </x:c>
      <x:c r="Q13" s="22" t="n">
        <x:v>105.42</x:v>
      </x:c>
      <x:c r="R13" s="22" t="n">
        <x:v>105.28</x:v>
      </x:c>
      <x:c r="S13" s="22" t="n">
        <x:v>106</x:v>
      </x:c>
      <x:c r="T13" s="22" t="n">
        <x:v>105.865</x:v>
      </x:c>
      <x:c r="U13" s="22" t="n">
        <x:v>105.08</x:v>
      </x:c>
      <x:c r="V13" s="19" t="str">
        <x:v>INVALIDATION</x:v>
      </x:c>
      <x:c r="W13" s="23" t="n">
        <x:f>IF(OR(M13="",P13=""),"",P13/M13-1)</x:f>
        <x:v>-0.003357609004067008</x:v>
      </x:c>
      <x:c r="X13" s="23" t="n">
        <x:f>IF(OR(M13="",Q13=""),"",Q13/M13-1)</x:f>
        <x:v>-0.0029319965951007942</x:v>
      </x:c>
      <x:c r="Y13" s="23" t="n">
        <x:f>IF(OR(M13="",R13=""),"",R13/M13-1)</x:f>
        <x:v>-0.004256124089662361</x:v>
      </x:c>
      <x:c r="Z13" s="23" t="n">
        <x:f>IF(OR(M13="",S13=""),"",S13/M13-1)</x:f>
        <x:v>0.0025536744537972833</x:v>
      </x:c>
      <x:c r="AA13" s="23" t="n">
        <x:f>IF(OR(M13="",T13=""),"",T13/M13-1)</x:f>
        <x:v>0.0012768372268985306</x:v>
      </x:c>
      <x:c r="AB13" s="23" t="n">
        <x:f>IF(OR(M13="",U13=""),"",U13/M13-1)</x:f>
        <x:v>-0.006147734796179027</x:v>
      </x:c>
      <x:c r="AC13" s="22" t="n">
        <x:f>IF(V13="TARGET",O13,IF(OR(V13="INVALIDATION",V13="AMBIGUOUS"),N13,IF(R13&lt;&gt;"",R13,S13)))</x:f>
        <x:v>105.4657</x:v>
      </x:c>
      <x:c r="AD13" s="19" t="str">
        <x:f>IF(V13="TARGET","TARGET",IF(V13="INVALIDATION","STOP",IF(V13="AMBIGUOUS","AMBIGUO→STOP",IF(R13&lt;&gt;"","60M","CIERRE"))))</x:f>
        <x:v>STOP</x:v>
      </x:c>
      <x:c r="AE13" s="23" t="n">
        <x:f>IF(OR(M13="",AC13=""),"",AC13/M13-1)</x:f>
        <x:v>-0.002499763548661771</x:v>
      </x:c>
      <x:c r="AF13" s="19" t="str">
        <x:f>IF(AE13="","SIN DATO",IF(AE13&gt;0,"GAIN",IF(AE13&lt;0,"LOSS","FLAT")))</x:f>
        <x:v>LOSS</x:v>
      </x:c>
      <x:c r="AG13" s="19" t="n">
        <x:f>IF(COUNTIFS($E$2:E13,E13,$I$2:I13,I13)=1,1,0)</x:f>
        <x:v>1</x:v>
      </x:c>
      <x:c r="AH13" s="19" t="n">
        <x:v>390</x:v>
      </x:c>
      <x:c r="AI13" s="19" t="str">
        <x:v>Alpaca SIP 1Min raw bars</x:v>
      </x:c>
      <x:c r="AJ13" s="24" t="str">
        <x:v>019fd4f3-6d88-77ca-8a4e-813248f9c278</x:v>
      </x:c>
      <x:c r="AK13" s="24" t="str">
        <x:v>high_conviction_buy; long_term:watch:87.85; swing:watch:93.00; intraday:favorable:100.00; dilution_analysis_unavailable</x:v>
      </x:c>
    </x:row>
    <x:row r="14">
      <x:c r="A14" s="19" t="n">
        <x:v>10345769</x:v>
      </x:c>
      <x:c r="B14" s="20" t="n">
        <x:v>46239</x:v>
      </x:c>
      <x:c r="C14" s="19" t="str">
        <x:v>11:12:00</x:v>
      </x:c>
      <x:c r="D14" s="19" t="str">
        <x:v>10:12:00</x:v>
      </x:c>
      <x:c r="E14" s="19" t="str">
        <x:v>L4</x:v>
      </x:c>
      <x:c r="F14" s="19" t="str">
        <x:v>MAGENTA</x:v>
      </x:c>
      <x:c r="G14" s="19" t="n">
        <x:v>3</x:v>
      </x:c>
      <x:c r="H14" s="24" t="str">
        <x:v>Signal Fusion</x:v>
      </x:c>
      <x:c r="I14" s="24" t="str">
        <x:v>ADUR</x:v>
      </x:c>
      <x:c r="J14" s="24" t="str">
        <x:v>RECOVERY_CONFIRMED</x:v>
      </x:c>
      <x:c r="K14" s="24" t="str"/>
      <x:c r="L14" s="21" t="n">
        <x:v>50</x:v>
      </x:c>
      <x:c r="M14" s="22" t="n">
        <x:v>15.7</x:v>
      </x:c>
      <x:c r="N14" s="22" t="n">
        <x:v>15.6563</x:v>
      </x:c>
      <x:c r="O14" s="22" t="n">
        <x:v>17.6342</x:v>
      </x:c>
      <x:c r="P14" s="22" t="n">
        <x:v>15.59</x:v>
      </x:c>
      <x:c r="Q14" s="22" t="n">
        <x:v>15.54</x:v>
      </x:c>
      <x:c r="R14" s="22" t="n">
        <x:v>15.56</x:v>
      </x:c>
      <x:c r="S14" s="22" t="n">
        <x:v>15.48</x:v>
      </x:c>
      <x:c r="T14" s="22" t="n">
        <x:v>15.75</x:v>
      </x:c>
      <x:c r="U14" s="22" t="n">
        <x:v>15.33</x:v>
      </x:c>
      <x:c r="V14" s="19" t="str">
        <x:v>INVALIDATION</x:v>
      </x:c>
      <x:c r="W14" s="23" t="n">
        <x:f>IF(OR(M14="",P14=""),"",P14/M14-1)</x:f>
        <x:v>-0.007006369426751591</x:v>
      </x:c>
      <x:c r="X14" s="23" t="n">
        <x:f>IF(OR(M14="",Q14=""),"",Q14/M14-1)</x:f>
        <x:v>-0.010191082802547768</x:v>
      </x:c>
      <x:c r="Y14" s="23" t="n">
        <x:f>IF(OR(M14="",R14=""),"",R14/M14-1)</x:f>
        <x:v>-0.008917197452229186</x:v>
      </x:c>
      <x:c r="Z14" s="23" t="n">
        <x:f>IF(OR(M14="",S14=""),"",S14/M14-1)</x:f>
        <x:v>-0.01401273885350307</x:v>
      </x:c>
      <x:c r="AA14" s="23" t="n">
        <x:f>IF(OR(M14="",T14=""),"",T14/M14-1)</x:f>
        <x:v>0.0031847133757962887</x:v>
      </x:c>
      <x:c r="AB14" s="23" t="n">
        <x:f>IF(OR(M14="",U14=""),"",U14/M14-1)</x:f>
        <x:v>-0.023566878980891715</x:v>
      </x:c>
      <x:c r="AC14" s="22" t="n">
        <x:f>IF(V14="TARGET",O14,IF(OR(V14="INVALIDATION",V14="AMBIGUOUS"),N14,IF(R14&lt;&gt;"",R14,S14)))</x:f>
        <x:v>15.6563</x:v>
      </x:c>
      <x:c r="AD14" s="19" t="str">
        <x:f>IF(V14="TARGET","TARGET",IF(V14="INVALIDATION","STOP",IF(V14="AMBIGUOUS","AMBIGUO→STOP",IF(R14&lt;&gt;"","60M","CIERRE"))))</x:f>
        <x:v>STOP</x:v>
      </x:c>
      <x:c r="AE14" s="23" t="n">
        <x:f>IF(OR(M14="",AC14=""),"",AC14/M14-1)</x:f>
        <x:v>-0.0027834394904457938</x:v>
      </x:c>
      <x:c r="AF14" s="19" t="str">
        <x:f>IF(AE14="","SIN DATO",IF(AE14&gt;0,"GAIN",IF(AE14&lt;0,"LOSS","FLAT")))</x:f>
        <x:v>LOSS</x:v>
      </x:c>
      <x:c r="AG14" s="19" t="n">
        <x:f>IF(COUNTIFS($E$2:E14,E14,$I$2:I14,I14)=1,1,0)</x:f>
        <x:v>1</x:v>
      </x:c>
      <x:c r="AH14" s="19" t="n">
        <x:v>232</x:v>
      </x:c>
      <x:c r="AI14" s="19" t="str">
        <x:v>Alpaca SIP 1Min raw bars</x:v>
      </x:c>
      <x:c r="AJ14" s="24" t="str">
        <x:v>019fd245-3e90-7b69-b3aa-b24752f3fc8c</x:v>
      </x:c>
      <x:c r="AK14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</x:v>
      </x:c>
    </x:row>
    <x:row r="15">
      <x:c r="A15" s="19" t="n">
        <x:v>10347015</x:v>
      </x:c>
      <x:c r="B15" s="20" t="n">
        <x:v>46239</x:v>
      </x:c>
      <x:c r="C15" s="19" t="str">
        <x:v>11:13:00</x:v>
      </x:c>
      <x:c r="D15" s="19" t="str">
        <x:v>10:13:00</x:v>
      </x:c>
      <x:c r="E15" s="19" t="str">
        <x:v>L2</x:v>
      </x:c>
      <x:c r="F15" s="19" t="str">
        <x:v>AZUL</x:v>
      </x:c>
      <x:c r="G15" s="19" t="n">
        <x:v>2</x:v>
      </x:c>
      <x:c r="H15" s="24" t="str">
        <x:v>Alert Engine V2 replay</x:v>
      </x:c>
      <x:c r="I15" s="24" t="str">
        <x:v>NU</x:v>
      </x:c>
      <x:c r="J15" s="24" t="str">
        <x:v>ENTRY_CONFIRMED</x:v>
      </x:c>
      <x:c r="K15" s="24" t="str">
        <x:v>SWING+INTRADAY</x:v>
      </x:c>
      <x:c r="L15" s="21" t="n">
        <x:v>100</x:v>
      </x:c>
      <x:c r="M15" s="22" t="n">
        <x:v>14.635</x:v>
      </x:c>
      <x:c r="N15" s="22" t="n">
        <x:v>14.5984</x:v>
      </x:c>
      <x:c r="O15" s="22" t="n">
        <x:v>14.6899</x:v>
      </x:c>
      <x:c r="P15" s="22" t="n">
        <x:v>14.53</x:v>
      </x:c>
      <x:c r="Q15" s="22" t="n">
        <x:v>14.365</x:v>
      </x:c>
      <x:c r="R15" s="22" t="n">
        <x:v>14.42</x:v>
      </x:c>
      <x:c r="S15" s="22" t="n">
        <x:v>14.475</x:v>
      </x:c>
      <x:c r="T15" s="22" t="n">
        <x:v>14.64</x:v>
      </x:c>
      <x:c r="U15" s="22" t="n">
        <x:v>14.35</x:v>
      </x:c>
      <x:c r="V15" s="19" t="str">
        <x:v>INVALIDATION</x:v>
      </x:c>
      <x:c r="W15" s="23" t="n">
        <x:f>IF(OR(M15="",P15=""),"",P15/M15-1)</x:f>
        <x:v>-0.007174581482746856</x:v>
      </x:c>
      <x:c r="X15" s="23" t="n">
        <x:f>IF(OR(M15="",Q15=""),"",Q15/M15-1)</x:f>
        <x:v>-0.018448923812777518</x:v>
      </x:c>
      <x:c r="Y15" s="23" t="n">
        <x:f>IF(OR(M15="",R15=""),"",R15/M15-1)</x:f>
        <x:v>-0.014690809702767371</x:v>
      </x:c>
      <x:c r="Z15" s="23" t="n">
        <x:f>IF(OR(M15="",S15=""),"",S15/M15-1)</x:f>
        <x:v>-0.010932695592757113</x:v>
      </x:c>
      <x:c r="AA15" s="23" t="n">
        <x:f>IF(OR(M15="",T15=""),"",T15/M15-1)</x:f>
        <x:v>0.0003416467372736598</x:v>
      </x:c>
      <x:c r="AB15" s="23" t="n">
        <x:f>IF(OR(M15="",U15=""),"",U15/M15-1)</x:f>
        <x:v>-0.01947386402459861</x:v>
      </x:c>
      <x:c r="AC15" s="22" t="n">
        <x:f>IF(V15="TARGET",O15,IF(OR(V15="INVALIDATION",V15="AMBIGUOUS"),N15,IF(R15&lt;&gt;"",R15,S15)))</x:f>
        <x:v>14.5984</x:v>
      </x:c>
      <x:c r="AD15" s="19" t="str">
        <x:f>IF(V15="TARGET","TARGET",IF(V15="INVALIDATION","STOP",IF(V15="AMBIGUOUS","AMBIGUO→STOP",IF(R15&lt;&gt;"","60M","CIERRE"))))</x:f>
        <x:v>STOP</x:v>
      </x:c>
      <x:c r="AE15" s="23" t="n">
        <x:f>IF(OR(M15="",AC15=""),"",AC15/M15-1)</x:f>
        <x:v>-0.0025008541168431986</x:v>
      </x:c>
      <x:c r="AF15" s="19" t="str">
        <x:f>IF(AE15="","SIN DATO",IF(AE15&gt;0,"GAIN",IF(AE15&lt;0,"LOSS","FLAT")))</x:f>
        <x:v>LOSS</x:v>
      </x:c>
      <x:c r="AG15" s="19" t="n">
        <x:f>IF(COUNTIFS($E$2:E15,E15,$I$2:I15,I15)=1,1,0)</x:f>
        <x:v>0</x:v>
      </x:c>
      <x:c r="AH15" s="19" t="n">
        <x:v>392</x:v>
      </x:c>
      <x:c r="AI15" s="19" t="str">
        <x:v>Alpaca SIP 1Min raw bars</x:v>
      </x:c>
      <x:c r="AJ15" s="24" t="str">
        <x:v>019fd4f3-6f46-7824-812b-26ffb68bc1a9</x:v>
      </x:c>
      <x:c r="AK15" s="24" t="str">
        <x:v>entry_confirmed; swing:favorable:100.00; intraday:favorable:100.00; dilution_analysis_unavailable</x:v>
      </x:c>
    </x:row>
    <x:row r="16">
      <x:c r="A16" s="19" t="n">
        <x:v>10348073</x:v>
      </x:c>
      <x:c r="B16" s="20" t="n">
        <x:v>46239</x:v>
      </x:c>
      <x:c r="C16" s="19" t="str">
        <x:v>11:14:00</x:v>
      </x:c>
      <x:c r="D16" s="19" t="str">
        <x:v>10:14:00</x:v>
      </x:c>
      <x:c r="E16" s="19" t="str">
        <x:v>L2</x:v>
      </x:c>
      <x:c r="F16" s="19" t="str">
        <x:v>AZUL</x:v>
      </x:c>
      <x:c r="G16" s="19" t="n">
        <x:v>2</x:v>
      </x:c>
      <x:c r="H16" s="24" t="str">
        <x:v>Alert Engine V2 replay</x:v>
      </x:c>
      <x:c r="I16" s="24" t="str">
        <x:v>DASH</x:v>
      </x:c>
      <x:c r="J16" s="24" t="str">
        <x:v>ENTRY_CONFIRMED</x:v>
      </x:c>
      <x:c r="K16" s="24" t="str">
        <x:v>SWING+INTRADAY</x:v>
      </x:c>
      <x:c r="L16" s="21" t="n">
        <x:v>87.69</x:v>
      </x:c>
      <x:c r="M16" s="22" t="n">
        <x:v>207.98</x:v>
      </x:c>
      <x:c r="N16" s="22" t="n">
        <x:v>207.2141</x:v>
      </x:c>
      <x:c r="O16" s="22" t="n">
        <x:v>209.1289</x:v>
      </x:c>
      <x:c r="P16" s="22" t="n">
        <x:v>207.595</x:v>
      </x:c>
      <x:c r="Q16" s="22" t="n">
        <x:v>206.55</x:v>
      </x:c>
      <x:c r="R16" s="22" t="n">
        <x:v>205.76</x:v>
      </x:c>
      <x:c r="S16" s="22" t="n">
        <x:v>208</x:v>
      </x:c>
      <x:c r="T16" s="22" t="n">
        <x:v>208.19</x:v>
      </x:c>
      <x:c r="U16" s="22" t="n">
        <x:v>205.08</x:v>
      </x:c>
      <x:c r="V16" s="19" t="str">
        <x:v>INVALIDATION</x:v>
      </x:c>
      <x:c r="W16" s="23" t="n">
        <x:f>IF(OR(M16="",P16=""),"",P16/M16-1)</x:f>
        <x:v>-0.0018511395326473723</x:v>
      </x:c>
      <x:c r="X16" s="23" t="n">
        <x:f>IF(OR(M16="",Q16=""),"",Q16/M16-1)</x:f>
        <x:v>-0.006875661121261589</x:v>
      </x:c>
      <x:c r="Y16" s="23" t="n">
        <x:f>IF(OR(M16="",R16=""),"",R16/M16-1)</x:f>
        <x:v>-0.010674103279161407</x:v>
      </x:c>
      <x:c r="Z16" s="23" t="n">
        <x:f>IF(OR(M16="",S16=""),"",S16/M16-1)</x:f>
        <x:v>0.00009616309260507272</x:v>
      </x:c>
      <x:c r="AA16" s="23" t="n">
        <x:f>IF(OR(M16="",T16=""),"",T16/M16-1)</x:f>
        <x:v>0.0010097124723531525</x:v>
      </x:c>
      <x:c r="AB16" s="23" t="n">
        <x:f>IF(OR(M16="",U16=""),"",U16/M16-1)</x:f>
        <x:v>-0.013943648427733324</x:v>
      </x:c>
      <x:c r="AC16" s="22" t="n">
        <x:f>IF(V16="TARGET",O16,IF(OR(V16="INVALIDATION",V16="AMBIGUOUS"),N16,IF(R16&lt;&gt;"",R16,S16)))</x:f>
        <x:v>207.2141</x:v>
      </x:c>
      <x:c r="AD16" s="19" t="str">
        <x:f>IF(V16="TARGET","TARGET",IF(V16="INVALIDATION","STOP",IF(V16="AMBIGUOUS","AMBIGUO→STOP",IF(R16&lt;&gt;"","60M","CIERRE"))))</x:f>
        <x:v>STOP</x:v>
      </x:c>
      <x:c r="AE16" s="23" t="n">
        <x:f>IF(OR(M16="",AC16=""),"",AC16/M16-1)</x:f>
        <x:v>-0.0036825656313106414</x:v>
      </x:c>
      <x:c r="AF16" s="19" t="str">
        <x:f>IF(AE16="","SIN DATO",IF(AE16&gt;0,"GAIN",IF(AE16&lt;0,"LOSS","FLAT")))</x:f>
        <x:v>LOSS</x:v>
      </x:c>
      <x:c r="AG16" s="19" t="n">
        <x:f>IF(COUNTIFS($E$2:E16,E16,$I$2:I16,I16)=1,1,0)</x:f>
        <x:v>1</x:v>
      </x:c>
      <x:c r="AH16" s="19" t="n">
        <x:v>392</x:v>
      </x:c>
      <x:c r="AI16" s="19" t="str">
        <x:v>Alpaca SIP 1Min raw bars</x:v>
      </x:c>
      <x:c r="AJ16" s="24" t="str">
        <x:v>019fd4f3-6f79-7d43-a2b5-192076b44246</x:v>
      </x:c>
      <x:c r="AK16" s="24" t="str">
        <x:v>entry_confirmed; swing:watch:88.00; intraday:favorable:100.00; dilution_analysis_unavailable</x:v>
      </x:c>
    </x:row>
    <x:row r="17">
      <x:c r="A17" s="19" t="n">
        <x:v>10373852</x:v>
      </x:c>
      <x:c r="B17" s="20" t="n">
        <x:v>46239</x:v>
      </x:c>
      <x:c r="C17" s="19" t="str">
        <x:v>11:35:00</x:v>
      </x:c>
      <x:c r="D17" s="19" t="str">
        <x:v>10:35:00</x:v>
      </x:c>
      <x:c r="E17" s="19" t="str">
        <x:v>L2</x:v>
      </x:c>
      <x:c r="F17" s="19" t="str">
        <x:v>AZUL</x:v>
      </x:c>
      <x:c r="G17" s="19" t="n">
        <x:v>2</x:v>
      </x:c>
      <x:c r="H17" s="24" t="str">
        <x:v>Alert Engine V2 replay</x:v>
      </x:c>
      <x:c r="I17" s="24" t="str">
        <x:v>BLFS</x:v>
      </x:c>
      <x:c r="J17" s="24" t="str">
        <x:v>ENTRY_CONFIRMED</x:v>
      </x:c>
      <x:c r="K17" s="24" t="str">
        <x:v>SWING+INTRADAY</x:v>
      </x:c>
      <x:c r="L17" s="21" t="n">
        <x:v>85.8</x:v>
      </x:c>
      <x:c r="M17" s="22" t="n">
        <x:v>33.18</x:v>
      </x:c>
      <x:c r="N17" s="22" t="n">
        <x:v>33.0971</x:v>
      </x:c>
      <x:c r="O17" s="22" t="n">
        <x:v>33.3044</x:v>
      </x:c>
      <x:c r="P17" s="22" t="n">
        <x:v>33.155</x:v>
      </x:c>
      <x:c r="Q17" s="22" t="n">
        <x:v>33.215</x:v>
      </x:c>
      <x:c r="R17" s="22"/>
      <x:c r="S17" s="22" t="n">
        <x:v>33.8</x:v>
      </x:c>
      <x:c r="T17" s="22" t="n">
        <x:v>33.3</x:v>
      </x:c>
      <x:c r="U17" s="22" t="n">
        <x:v>33.06</x:v>
      </x:c>
      <x:c r="V17" s="19" t="str">
        <x:v>INVALIDATION</x:v>
      </x:c>
      <x:c r="W17" s="23" t="n">
        <x:f>IF(OR(M17="",P17=""),"",P17/M17-1)</x:f>
        <x:v>-0.0007534659433393598</x:v>
      </x:c>
      <x:c r="X17" s="23" t="n">
        <x:f>IF(OR(M17="",Q17=""),"",Q17/M17-1)</x:f>
        <x:v>0.0010548523206752591</x:v>
      </x:c>
      <x:c r="Y17" s="23" t="str">
        <x:f>IF(OR(M17="",R17=""),"",R17/M17-1)</x:f>
      </x:c>
      <x:c r="Z17" s="23" t="n">
        <x:f>IF(OR(M17="",S17=""),"",S17/M17-1)</x:f>
        <x:v>0.01868595539481599</x:v>
      </x:c>
      <x:c r="AA17" s="23" t="n">
        <x:f>IF(OR(M17="",T17=""),"",T17/M17-1)</x:f>
        <x:v>0.0036166365280287938</x:v>
      </x:c>
      <x:c r="AB17" s="23" t="n">
        <x:f>IF(OR(M17="",U17=""),"",U17/M17-1)</x:f>
        <x:v>-0.003616636528028905</x:v>
      </x:c>
      <x:c r="AC17" s="22" t="n">
        <x:f>IF(V17="TARGET",O17,IF(OR(V17="INVALIDATION",V17="AMBIGUOUS"),N17,IF(R17&lt;&gt;"",R17,S17)))</x:f>
        <x:v>33.0971</x:v>
      </x:c>
      <x:c r="AD17" s="19" t="str">
        <x:f>IF(V17="TARGET","TARGET",IF(V17="INVALIDATION","STOP",IF(V17="AMBIGUOUS","AMBIGUO→STOP",IF(R17&lt;&gt;"","60M","CIERRE"))))</x:f>
        <x:v>STOP</x:v>
      </x:c>
      <x:c r="AE17" s="23" t="n">
        <x:f>IF(OR(M17="",AC17=""),"",AC17/M17-1)</x:f>
        <x:v>-0.002498493068113339</x:v>
      </x:c>
      <x:c r="AF17" s="19" t="str">
        <x:f>IF(AE17="","SIN DATO",IF(AE17&gt;0,"GAIN",IF(AE17&lt;0,"LOSS","FLAT")))</x:f>
        <x:v>LOSS</x:v>
      </x:c>
      <x:c r="AG17" s="19" t="n">
        <x:f>IF(COUNTIFS($E$2:E17,E17,$I$2:I17,I17)=1,1,0)</x:f>
        <x:v>1</x:v>
      </x:c>
      <x:c r="AH17" s="19" t="n">
        <x:v>241</x:v>
      </x:c>
      <x:c r="AI17" s="19" t="str">
        <x:v>Alpaca SIP 1Min raw bars</x:v>
      </x:c>
      <x:c r="AJ17" s="24" t="str">
        <x:v>019fd4f3-73a4-7381-a54d-5cc6f2204816</x:v>
      </x:c>
      <x:c r="AK17" s="24" t="str">
        <x:v>entry_confirmed; swing:favorable:86.00; intraday:favorable:100.00; dilution_analysis_unavailable</x:v>
      </x:c>
    </x:row>
    <x:row r="18">
      <x:c r="A18" s="19" t="n">
        <x:v>10376460</x:v>
      </x:c>
      <x:c r="B18" s="20" t="n">
        <x:v>46239</x:v>
      </x:c>
      <x:c r="C18" s="19" t="str">
        <x:v>11:37:00</x:v>
      </x:c>
      <x:c r="D18" s="19" t="str">
        <x:v>10:37:00</x:v>
      </x:c>
      <x:c r="E18" s="19" t="str">
        <x:v>L2</x:v>
      </x:c>
      <x:c r="F18" s="19" t="str">
        <x:v>AZUL</x:v>
      </x:c>
      <x:c r="G18" s="19" t="n">
        <x:v>2</x:v>
      </x:c>
      <x:c r="H18" s="24" t="str">
        <x:v>Alert Engine V2 replay</x:v>
      </x:c>
      <x:c r="I18" s="24" t="str">
        <x:v>AMGN</x:v>
      </x:c>
      <x:c r="J18" s="24" t="str">
        <x:v>ENTRY_CONFIRMED</x:v>
      </x:c>
      <x:c r="K18" s="24" t="str">
        <x:v>SWING+INTRADAY</x:v>
      </x:c>
      <x:c r="L18" s="21" t="n">
        <x:v>100</x:v>
      </x:c>
      <x:c r="M18" s="22" t="n">
        <x:v>415.0225</x:v>
      </x:c>
      <x:c r="N18" s="22" t="n">
        <x:v>413.9849</x:v>
      </x:c>
      <x:c r="O18" s="22" t="n">
        <x:v>416.5788</x:v>
      </x:c>
      <x:c r="P18" s="22" t="n">
        <x:v>413.55</x:v>
      </x:c>
      <x:c r="Q18" s="22" t="n">
        <x:v>411.015</x:v>
      </x:c>
      <x:c r="R18" s="22" t="n">
        <x:v>405.17</x:v>
      </x:c>
      <x:c r="S18" s="22" t="n">
        <x:v>407.83</x:v>
      </x:c>
      <x:c r="T18" s="22" t="n">
        <x:v>416.24</x:v>
      </x:c>
      <x:c r="U18" s="22" t="n">
        <x:v>404.3</x:v>
      </x:c>
      <x:c r="V18" s="19" t="str">
        <x:v>INVALIDATION</x:v>
      </x:c>
      <x:c r="W18" s="23" t="n">
        <x:f>IF(OR(M18="",P18=""),"",P18/M18-1)</x:f>
        <x:v>-0.0035480004096162254</x:v>
      </x:c>
      <x:c r="X18" s="23" t="n">
        <x:f>IF(OR(M18="",Q18=""),"",Q18/M18-1)</x:f>
        <x:v>-0.009656102982368409</x:v>
      </x:c>
      <x:c r="Y18" s="23" t="n">
        <x:f>IF(OR(M18="",R18=""),"",R18/M18-1)</x:f>
        <x:v>-0.023739676764512718</x:v>
      </x:c>
      <x:c r="Z18" s="23" t="n">
        <x:f>IF(OR(M18="",S18=""),"",S18/M18-1)</x:f>
        <x:v>-0.017330385701979978</x:v>
      </x:c>
      <x:c r="AA18" s="23" t="n">
        <x:f>IF(OR(M18="",T18=""),"",T18/M18-1)</x:f>
        <x:v>0.0029335758904638354</x:v>
      </x:c>
      <x:c r="AB18" s="23" t="n">
        <x:f>IF(OR(M18="",U18=""),"",U18/M18-1)</x:f>
        <x:v>-0.02583594865338623</x:v>
      </x:c>
      <x:c r="AC18" s="22" t="n">
        <x:f>IF(V18="TARGET",O18,IF(OR(V18="INVALIDATION",V18="AMBIGUOUS"),N18,IF(R18&lt;&gt;"",R18,S18)))</x:f>
        <x:v>413.9849</x:v>
      </x:c>
      <x:c r="AD18" s="19" t="str">
        <x:f>IF(V18="TARGET","TARGET",IF(V18="INVALIDATION","STOP",IF(V18="AMBIGUOUS","AMBIGUO→STOP",IF(R18&lt;&gt;"","60M","CIERRE"))))</x:f>
        <x:v>STOP</x:v>
      </x:c>
      <x:c r="AE18" s="23" t="n">
        <x:f>IF(OR(M18="",AC18=""),"",AC18/M18-1)</x:f>
        <x:v>-0.002500105415971454</x:v>
      </x:c>
      <x:c r="AF18" s="19" t="str">
        <x:f>IF(AE18="","SIN DATO",IF(AE18&gt;0,"GAIN",IF(AE18&lt;0,"LOSS","FLAT")))</x:f>
        <x:v>LOSS</x:v>
      </x:c>
      <x:c r="AG18" s="19" t="n">
        <x:f>IF(COUNTIFS($E$2:E18,E18,$I$2:I18,I18)=1,1,0)</x:f>
        <x:v>1</x:v>
      </x:c>
      <x:c r="AH18" s="19" t="n">
        <x:v>391</x:v>
      </x:c>
      <x:c r="AI18" s="19" t="str">
        <x:v>Alpaca SIP 1Min raw bars</x:v>
      </x:c>
      <x:c r="AJ18" s="24" t="str">
        <x:v>019fd4f3-7407-76c9-a11e-52e140464a85</x:v>
      </x:c>
      <x:c r="AK18" s="24" t="str">
        <x:v>entry_confirmed; swing:favorable:100.00; intraday:favorable:100.00; dilution_analysis_unavailable</x:v>
      </x:c>
    </x:row>
    <x:row r="19">
      <x:c r="A19" s="19" t="n">
        <x:v>10407304</x:v>
      </x:c>
      <x:c r="B19" s="20" t="n">
        <x:v>46239</x:v>
      </x:c>
      <x:c r="C19" s="19" t="str">
        <x:v>12:03:00</x:v>
      </x:c>
      <x:c r="D19" s="19" t="str">
        <x:v>11:03:00</x:v>
      </x:c>
      <x:c r="E19" s="19" t="str">
        <x:v>L2</x:v>
      </x:c>
      <x:c r="F19" s="19" t="str">
        <x:v>AZUL</x:v>
      </x:c>
      <x:c r="G19" s="19" t="n">
        <x:v>2</x:v>
      </x:c>
      <x:c r="H19" s="24" t="str">
        <x:v>Alert Engine V2 replay</x:v>
      </x:c>
      <x:c r="I19" s="24" t="str">
        <x:v>RTX</x:v>
      </x:c>
      <x:c r="J19" s="24" t="str">
        <x:v>ENTRY_CONFIRMED</x:v>
      </x:c>
      <x:c r="K19" s="24" t="str">
        <x:v>SWING+INTRADAY</x:v>
      </x:c>
      <x:c r="L19" s="21" t="n">
        <x:v>80.36</x:v>
      </x:c>
      <x:c r="M19" s="22" t="n">
        <x:v>220.53</x:v>
      </x:c>
      <x:c r="N19" s="22" t="n">
        <x:v>219.9787</x:v>
      </x:c>
      <x:c r="O19" s="22" t="n">
        <x:v>221.357</x:v>
      </x:c>
      <x:c r="P19" s="22" t="n">
        <x:v>219.25</x:v>
      </x:c>
      <x:c r="Q19" s="22" t="n">
        <x:v>219.69</x:v>
      </x:c>
      <x:c r="R19" s="22" t="n">
        <x:v>220.355</x:v>
      </x:c>
      <x:c r="S19" s="22" t="n">
        <x:v>222.31</x:v>
      </x:c>
      <x:c r="T19" s="22" t="n">
        <x:v>220.64</x:v>
      </x:c>
      <x:c r="U19" s="22" t="n">
        <x:v>218.895</x:v>
      </x:c>
      <x:c r="V19" s="19" t="str">
        <x:v>INVALIDATION</x:v>
      </x:c>
      <x:c r="W19" s="23" t="n">
        <x:f>IF(OR(M19="",P19=""),"",P19/M19-1)</x:f>
        <x:v>-0.005804198975196129</x:v>
      </x:c>
      <x:c r="X19" s="23" t="n">
        <x:f>IF(OR(M19="",Q19=""),"",Q19/M19-1)</x:f>
        <x:v>-0.003809005577472435</x:v>
      </x:c>
      <x:c r="Y19" s="23" t="n">
        <x:f>IF(OR(M19="",R19=""),"",R19/M19-1)</x:f>
        <x:v>-0.0007935428286401924</x:v>
      </x:c>
      <x:c r="Z19" s="23" t="n">
        <x:f>IF(OR(M19="",S19=""),"",S19/M19-1)</x:f>
        <x:v>0.008071464199882028</x:v>
      </x:c>
      <x:c r="AA19" s="23" t="n">
        <x:f>IF(OR(M19="",T19=""),"",T19/M19-1)</x:f>
        <x:v>0.0004987983494308956</x:v>
      </x:c>
      <x:c r="AB19" s="23" t="n">
        <x:f>IF(OR(M19="",U19=""),"",U19/M19-1)</x:f>
        <x:v>-0.0074139572847231605</x:v>
      </x:c>
      <x:c r="AC19" s="22" t="n">
        <x:f>IF(V19="TARGET",O19,IF(OR(V19="INVALIDATION",V19="AMBIGUOUS"),N19,IF(R19&lt;&gt;"",R19,S19)))</x:f>
        <x:v>219.9787</x:v>
      </x:c>
      <x:c r="AD19" s="19" t="str">
        <x:f>IF(V19="TARGET","TARGET",IF(V19="INVALIDATION","STOP",IF(V19="AMBIGUOUS","AMBIGUO→STOP",IF(R19&lt;&gt;"","60M","CIERRE"))))</x:f>
        <x:v>STOP</x:v>
      </x:c>
      <x:c r="AE19" s="23" t="n">
        <x:f>IF(OR(M19="",AC19=""),"",AC19/M19-1)</x:f>
        <x:v>-0.002499886636738724</x:v>
      </x:c>
      <x:c r="AF19" s="19" t="str">
        <x:f>IF(AE19="","SIN DATO",IF(AE19&gt;0,"GAIN",IF(AE19&lt;0,"LOSS","FLAT")))</x:f>
        <x:v>LOSS</x:v>
      </x:c>
      <x:c r="AG19" s="19" t="n">
        <x:f>IF(COUNTIFS($E$2:E19,E19,$I$2:I19,I19)=1,1,0)</x:f>
        <x:v>0</x:v>
      </x:c>
      <x:c r="AH19" s="19" t="n">
        <x:v>391</x:v>
      </x:c>
      <x:c r="AI19" s="19" t="str">
        <x:v>Alpaca SIP 1Min raw bars</x:v>
      </x:c>
      <x:c r="AJ19" s="24" t="str">
        <x:v>019fd4f3-7927-7d5c-9017-f0d7e3313fb9</x:v>
      </x:c>
      <x:c r="AK19" s="24" t="str">
        <x:v>entry_confirmed; swing:favorable:80.00; intraday:favorable:100.00; dilution_analysis_unavailable</x:v>
      </x:c>
    </x:row>
    <x:row r="20">
      <x:c r="A20" s="19" t="n">
        <x:v>10414810</x:v>
      </x:c>
      <x:c r="B20" s="20" t="n">
        <x:v>46239</x:v>
      </x:c>
      <x:c r="C20" s="19" t="str">
        <x:v>12:09:00</x:v>
      </x:c>
      <x:c r="D20" s="19" t="str">
        <x:v>11:09:00</x:v>
      </x:c>
      <x:c r="E20" s="19" t="str">
        <x:v>L2</x:v>
      </x:c>
      <x:c r="F20" s="19" t="str">
        <x:v>AZUL</x:v>
      </x:c>
      <x:c r="G20" s="19" t="n">
        <x:v>2</x:v>
      </x:c>
      <x:c r="H20" s="24" t="str">
        <x:v>Alert Engine V2 replay</x:v>
      </x:c>
      <x:c r="I20" s="24" t="str">
        <x:v>GS</x:v>
      </x:c>
      <x:c r="J20" s="24" t="str">
        <x:v>ENTRY_CONFIRMED</x:v>
      </x:c>
      <x:c r="K20" s="24" t="str">
        <x:v>SWING+INTRADAY</x:v>
      </x:c>
      <x:c r="L20" s="21" t="n">
        <x:v>92.63</x:v>
      </x:c>
      <x:c r="M20" s="22" t="n">
        <x:v>1074.8</x:v>
      </x:c>
      <x:c r="N20" s="22" t="n">
        <x:v>1072.113</x:v>
      </x:c>
      <x:c r="O20" s="22" t="n">
        <x:v>1078.8305</x:v>
      </x:c>
      <x:c r="P20" s="22" t="n">
        <x:v>1071.21</x:v>
      </x:c>
      <x:c r="Q20" s="22" t="n">
        <x:v>1070.81</x:v>
      </x:c>
      <x:c r="R20" s="22" t="n">
        <x:v>1069.58</x:v>
      </x:c>
      <x:c r="S20" s="22" t="n">
        <x:v>1060.38</x:v>
      </x:c>
      <x:c r="T20" s="22" t="n">
        <x:v>1074.731</x:v>
      </x:c>
      <x:c r="U20" s="22" t="n">
        <x:v>1066.75</x:v>
      </x:c>
      <x:c r="V20" s="19" t="str">
        <x:v>INVALIDATION</x:v>
      </x:c>
      <x:c r="W20" s="23" t="n">
        <x:f>IF(OR(M20="",P20=""),"",P20/M20-1)</x:f>
        <x:v>-0.0033401563081503216</x:v>
      </x:c>
      <x:c r="X20" s="23" t="n">
        <x:f>IF(OR(M20="",Q20=""),"",Q20/M20-1)</x:f>
        <x:v>-0.003712318570896933</x:v>
      </x:c>
      <x:c r="Y20" s="23" t="n">
        <x:f>IF(OR(M20="",R20=""),"",R20/M20-1)</x:f>
        <x:v>-0.004856717528842647</x:v>
      </x:c>
      <x:c r="Z20" s="23" t="n">
        <x:f>IF(OR(M20="",S20=""),"",S20/M20-1)</x:f>
        <x:v>-0.013416449572013267</x:v>
      </x:c>
      <x:c r="AA20" s="23" t="n">
        <x:f>IF(OR(M20="",T20=""),"",T20/M20-1)</x:f>
        <x:v>-0.0000641979903237555</x:v>
      </x:c>
      <x:c r="AB20" s="23" t="n">
        <x:f>IF(OR(M20="",U20=""),"",U20/M20-1)</x:f>
        <x:v>-0.007489765537774473</x:v>
      </x:c>
      <x:c r="AC20" s="22" t="n">
        <x:f>IF(V20="TARGET",O20,IF(OR(V20="INVALIDATION",V20="AMBIGUOUS"),N20,IF(R20&lt;&gt;"",R20,S20)))</x:f>
        <x:v>1072.113</x:v>
      </x:c>
      <x:c r="AD20" s="19" t="str">
        <x:f>IF(V20="TARGET","TARGET",IF(V20="INVALIDATION","STOP",IF(V20="AMBIGUOUS","AMBIGUO→STOP",IF(R20&lt;&gt;"","60M","CIERRE"))))</x:f>
        <x:v>STOP</x:v>
      </x:c>
      <x:c r="AE20" s="23" t="n">
        <x:f>IF(OR(M20="",AC20=""),"",AC20/M20-1)</x:f>
        <x:v>-0.0024999999999999467</x:v>
      </x:c>
      <x:c r="AF20" s="19" t="str">
        <x:f>IF(AE20="","SIN DATO",IF(AE20&gt;0,"GAIN",IF(AE20&lt;0,"LOSS","FLAT")))</x:f>
        <x:v>LOSS</x:v>
      </x:c>
      <x:c r="AG20" s="19" t="n">
        <x:f>IF(COUNTIFS($E$2:E20,E20,$I$2:I20,I20)=1,1,0)</x:f>
        <x:v>1</x:v>
      </x:c>
      <x:c r="AH20" s="19" t="n">
        <x:v>391</x:v>
      </x:c>
      <x:c r="AI20" s="19" t="str">
        <x:v>Alpaca SIP 1Min raw bars</x:v>
      </x:c>
      <x:c r="AJ20" s="24" t="str">
        <x:v>019fd4f3-7a40-7688-a4aa-f405200467dc</x:v>
      </x:c>
      <x:c r="AK20" s="24" t="str">
        <x:v>entry_confirmed; swing:watch:93.00; intraday:favorable:100.00; dilution_analysis_unavailable</x:v>
      </x:c>
    </x:row>
    <x:row r="21">
      <x:c r="A21" s="19" t="n">
        <x:v>10415109</x:v>
      </x:c>
      <x:c r="B21" s="20" t="n">
        <x:v>46239</x:v>
      </x:c>
      <x:c r="C21" s="19" t="str">
        <x:v>12:09:00</x:v>
      </x:c>
      <x:c r="D21" s="19" t="str">
        <x:v>11:09:00</x:v>
      </x:c>
      <x:c r="E21" s="19" t="str">
        <x:v>L2</x:v>
      </x:c>
      <x:c r="F21" s="19" t="str">
        <x:v>AZUL</x:v>
      </x:c>
      <x:c r="G21" s="19" t="n">
        <x:v>2</x:v>
      </x:c>
      <x:c r="H21" s="24" t="str">
        <x:v>Alert Engine V2 replay</x:v>
      </x:c>
      <x:c r="I21" s="24" t="str">
        <x:v>ETHA</x:v>
      </x:c>
      <x:c r="J21" s="24" t="str">
        <x:v>ENTRY_CONFIRMED</x:v>
      </x:c>
      <x:c r="K21" s="24" t="str">
        <x:v>SWING+INTRADAY</x:v>
      </x:c>
      <x:c r="L21" s="21" t="n">
        <x:v>100</x:v>
      </x:c>
      <x:c r="M21" s="22" t="n">
        <x:v>14.2</x:v>
      </x:c>
      <x:c r="N21" s="22" t="n">
        <x:v>14.1645</x:v>
      </x:c>
      <x:c r="O21" s="22" t="n">
        <x:v>14.2533</x:v>
      </x:c>
      <x:c r="P21" s="22" t="n">
        <x:v>14.15</x:v>
      </x:c>
      <x:c r="Q21" s="22" t="n">
        <x:v>14.185</x:v>
      </x:c>
      <x:c r="R21" s="22" t="n">
        <x:v>14.18</x:v>
      </x:c>
      <x:c r="S21" s="22" t="n">
        <x:v>14.46</x:v>
      </x:c>
      <x:c r="T21" s="22" t="n">
        <x:v>14.205</x:v>
      </x:c>
      <x:c r="U21" s="22" t="n">
        <x:v>14.12</x:v>
      </x:c>
      <x:c r="V21" s="19" t="str">
        <x:v>INVALIDATION</x:v>
      </x:c>
      <x:c r="W21" s="23" t="n">
        <x:f>IF(OR(M21="",P21=""),"",P21/M21-1)</x:f>
        <x:v>-0.0035211267605632646</x:v>
      </x:c>
      <x:c r="X21" s="23" t="n">
        <x:f>IF(OR(M21="",Q21=""),"",Q21/M21-1)</x:f>
        <x:v>-0.0010563380281689572</x:v>
      </x:c>
      <x:c r="Y21" s="23" t="n">
        <x:f>IF(OR(M21="",R21=""),"",R21/M21-1)</x:f>
        <x:v>-0.0014084507042253502</x:v>
      </x:c>
      <x:c r="Z21" s="23" t="n">
        <x:f>IF(OR(M21="",S21=""),"",S21/M21-1)</x:f>
        <x:v>0.018309859154929775</x:v>
      </x:c>
      <x:c r="AA21" s="23" t="n">
        <x:f>IF(OR(M21="",T21=""),"",T21/M21-1)</x:f>
        <x:v>0.00035211267605639307</x:v>
      </x:c>
      <x:c r="AB21" s="23" t="n">
        <x:f>IF(OR(M21="",U21=""),"",U21/M21-1)</x:f>
        <x:v>-0.005633802816901401</x:v>
      </x:c>
      <x:c r="AC21" s="22" t="n">
        <x:f>IF(V21="TARGET",O21,IF(OR(V21="INVALIDATION",V21="AMBIGUOUS"),N21,IF(R21&lt;&gt;"",R21,S21)))</x:f>
        <x:v>14.1645</x:v>
      </x:c>
      <x:c r="AD21" s="19" t="str">
        <x:f>IF(V21="TARGET","TARGET",IF(V21="INVALIDATION","STOP",IF(V21="AMBIGUOUS","AMBIGUO→STOP",IF(R21&lt;&gt;"","60M","CIERRE"))))</x:f>
        <x:v>STOP</x:v>
      </x:c>
      <x:c r="AE21" s="23" t="n">
        <x:f>IF(OR(M21="",AC21=""),"",AC21/M21-1)</x:f>
        <x:v>-0.0024999999999999467</x:v>
      </x:c>
      <x:c r="AF21" s="19" t="str">
        <x:f>IF(AE21="","SIN DATO",IF(AE21&gt;0,"GAIN",IF(AE21&lt;0,"LOSS","FLAT")))</x:f>
        <x:v>LOSS</x:v>
      </x:c>
      <x:c r="AG21" s="19" t="n">
        <x:f>IF(COUNTIFS($E$2:E21,E21,$I$2:I21,I21)=1,1,0)</x:f>
        <x:v>1</x:v>
      </x:c>
      <x:c r="AH21" s="19" t="n">
        <x:v>392</x:v>
      </x:c>
      <x:c r="AI21" s="19" t="str">
        <x:v>Alpaca SIP 1Min raw bars</x:v>
      </x:c>
      <x:c r="AJ21" s="24" t="str">
        <x:v>019fd4f3-7a51-7a16-95aa-4f38cea0e40f</x:v>
      </x:c>
      <x:c r="AK21" s="24" t="str">
        <x:v>entry_confirmed; swing:favorable:100.00; intraday:favorable:100.00; dilution_analysis_unavailable</x:v>
      </x:c>
    </x:row>
    <x:row r="22">
      <x:c r="A22" s="19" t="n">
        <x:v>10429508</x:v>
      </x:c>
      <x:c r="B22" s="20" t="n">
        <x:v>46239</x:v>
      </x:c>
      <x:c r="C22" s="19" t="str">
        <x:v>12:21:00</x:v>
      </x:c>
      <x:c r="D22" s="19" t="str">
        <x:v>11:21:00</x:v>
      </x:c>
      <x:c r="E22" s="19" t="str">
        <x:v>L4</x:v>
      </x:c>
      <x:c r="F22" s="19" t="str">
        <x:v>MAGENTA</x:v>
      </x:c>
      <x:c r="G22" s="19" t="n">
        <x:v>3</x:v>
      </x:c>
      <x:c r="H22" s="24" t="str">
        <x:v>Signal Fusion</x:v>
      </x:c>
      <x:c r="I22" s="24" t="str">
        <x:v>NBIS</x:v>
      </x:c>
      <x:c r="J22" s="24" t="str">
        <x:v>RECOVERY_CONFIRMED</x:v>
      </x:c>
      <x:c r="K22" s="24" t="str"/>
      <x:c r="L22" s="21" t="n">
        <x:v>50</x:v>
      </x:c>
      <x:c r="M22" s="22" t="n">
        <x:v>225.3</x:v>
      </x:c>
      <x:c r="N22" s="22" t="n">
        <x:v>224.6987</x:v>
      </x:c>
      <x:c r="O22" s="22" t="n">
        <x:v>240.5808</x:v>
      </x:c>
      <x:c r="P22" s="22" t="n">
        <x:v>225.65</x:v>
      </x:c>
      <x:c r="Q22" s="22" t="n">
        <x:v>224.7</x:v>
      </x:c>
      <x:c r="R22" s="22" t="n">
        <x:v>226.94</x:v>
      </x:c>
      <x:c r="S22" s="22" t="n">
        <x:v>219.5</x:v>
      </x:c>
      <x:c r="T22" s="22" t="n">
        <x:v>226.94</x:v>
      </x:c>
      <x:c r="U22" s="22" t="n">
        <x:v>223.22</x:v>
      </x:c>
      <x:c r="V22" s="19" t="str">
        <x:v>INVALIDATION</x:v>
      </x:c>
      <x:c r="W22" s="23" t="n">
        <x:f>IF(OR(M22="",P22=""),"",P22/M22-1)</x:f>
        <x:v>0.0015534842432312068</x:v>
      </x:c>
      <x:c r="X22" s="23" t="n">
        <x:f>IF(OR(M22="",Q22=""),"",Q22/M22-1)</x:f>
        <x:v>-0.0026631158455393544</x:v>
      </x:c>
      <x:c r="Y22" s="23" t="n">
        <x:f>IF(OR(M22="",R22=""),"",R22/M22-1)</x:f>
        <x:v>0.007279183311140747</x:v>
      </x:c>
      <x:c r="Z22" s="23" t="n">
        <x:f>IF(OR(M22="",S22=""),"",S22/M22-1)</x:f>
        <x:v>-0.025743453173546427</x:v>
      </x:c>
      <x:c r="AA22" s="23" t="n">
        <x:f>IF(OR(M22="",T22=""),"",T22/M22-1)</x:f>
        <x:v>0.007279183311140747</x:v>
      </x:c>
      <x:c r="AB22" s="23" t="n">
        <x:f>IF(OR(M22="",U22=""),"",U22/M22-1)</x:f>
        <x:v>-0.009232134931202896</x:v>
      </x:c>
      <x:c r="AC22" s="22" t="n">
        <x:f>IF(V22="TARGET",O22,IF(OR(V22="INVALIDATION",V22="AMBIGUOUS"),N22,IF(R22&lt;&gt;"",R22,S22)))</x:f>
        <x:v>224.6987</x:v>
      </x:c>
      <x:c r="AD22" s="19" t="str">
        <x:f>IF(V22="TARGET","TARGET",IF(V22="INVALIDATION","STOP",IF(V22="AMBIGUOUS","AMBIGUO→STOP",IF(R22&lt;&gt;"","60M","CIERRE"))))</x:f>
        <x:v>STOP</x:v>
      </x:c>
      <x:c r="AE22" s="23" t="n">
        <x:f>IF(OR(M22="",AC22=""),"",AC22/M22-1)</x:f>
        <x:v>-0.0026688859298713563</x:v>
      </x:c>
      <x:c r="AF22" s="19" t="str">
        <x:f>IF(AE22="","SIN DATO",IF(AE22&gt;0,"GAIN",IF(AE22&lt;0,"LOSS","FLAT")))</x:f>
        <x:v>LOSS</x:v>
      </x:c>
      <x:c r="AG22" s="19" t="n">
        <x:f>IF(COUNTIFS($E$2:E22,E22,$I$2:I22,I22)=1,1,0)</x:f>
        <x:v>0</x:v>
      </x:c>
      <x:c r="AH22" s="19" t="n">
        <x:v>392</x:v>
      </x:c>
      <x:c r="AI22" s="19" t="str">
        <x:v>Alpaca SIP 1Min raw bars</x:v>
      </x:c>
      <x:c r="AJ22" s="24" t="str">
        <x:v>019fd284-6c1f-76ed-b025-52e84518a7e8</x:v>
      </x:c>
      <x:c r="AK22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support_b_wave_risk; patreon_context:SUPPORT_TEST</x:v>
      </x:c>
    </x:row>
    <x:row r="23">
      <x:c r="A23" s="19" t="n">
        <x:v>10436214</x:v>
      </x:c>
      <x:c r="B23" s="20" t="n">
        <x:v>46239</x:v>
      </x:c>
      <x:c r="C23" s="19" t="str">
        <x:v>12:27:00</x:v>
      </x:c>
      <x:c r="D23" s="19" t="str">
        <x:v>11:27:00</x:v>
      </x:c>
      <x:c r="E23" s="19" t="str">
        <x:v>L2</x:v>
      </x:c>
      <x:c r="F23" s="19" t="str">
        <x:v>AZUL</x:v>
      </x:c>
      <x:c r="G23" s="19" t="n">
        <x:v>2</x:v>
      </x:c>
      <x:c r="H23" s="24" t="str">
        <x:v>Alert Engine V2 replay</x:v>
      </x:c>
      <x:c r="I23" s="24" t="str">
        <x:v>UNP</x:v>
      </x:c>
      <x:c r="J23" s="24" t="str">
        <x:v>ENTRY_CONFIRMED</x:v>
      </x:c>
      <x:c r="K23" s="24" t="str">
        <x:v>SWING+INTRADAY</x:v>
      </x:c>
      <x:c r="L23" s="21" t="n">
        <x:v>96.78</x:v>
      </x:c>
      <x:c r="M23" s="22" t="n">
        <x:v>295.195</x:v>
      </x:c>
      <x:c r="N23" s="22" t="n">
        <x:v>294.457</x:v>
      </x:c>
      <x:c r="O23" s="22" t="n">
        <x:v>296.302</x:v>
      </x:c>
      <x:c r="P23" s="22" t="n">
        <x:v>295.03</x:v>
      </x:c>
      <x:c r="Q23" s="22" t="n">
        <x:v>295.98</x:v>
      </x:c>
      <x:c r="R23" s="22" t="n">
        <x:v>295.83</x:v>
      </x:c>
      <x:c r="S23" s="22" t="n">
        <x:v>295.54</x:v>
      </x:c>
      <x:c r="T23" s="22" t="n">
        <x:v>296.52</x:v>
      </x:c>
      <x:c r="U23" s="22" t="n">
        <x:v>294.4301</x:v>
      </x:c>
      <x:c r="V23" s="19" t="str">
        <x:v>INVALIDATION</x:v>
      </x:c>
      <x:c r="W23" s="23" t="n">
        <x:f>IF(OR(M23="",P23=""),"",P23/M23-1)</x:f>
        <x:v>-0.0005589525567846199</x:v>
      </x:c>
      <x:c r="X23" s="23" t="n">
        <x:f>IF(OR(M23="",Q23=""),"",Q23/M23-1)</x:f>
        <x:v>0.002659259133793057</x:v>
      </x:c>
      <x:c r="Y23" s="23" t="n">
        <x:f>IF(OR(M23="",R23=""),"",R23/M23-1)</x:f>
        <x:v>0.0021511204458068978</x:v>
      </x:c>
      <x:c r="Z23" s="23" t="n">
        <x:f>IF(OR(M23="",S23=""),"",S23/M23-1)</x:f>
        <x:v>0.0011687189823677002</x:v>
      </x:c>
      <x:c r="AA23" s="23" t="n">
        <x:f>IF(OR(M23="",T23=""),"",T23/M23-1)</x:f>
        <x:v>0.004488558410542076</x:v>
      </x:c>
      <x:c r="AB23" s="23" t="n">
        <x:f>IF(OR(M23="",U23=""),"",U23/M23-1)</x:f>
        <x:v>-0.0025911685496028403</x:v>
      </x:c>
      <x:c r="AC23" s="22" t="n">
        <x:f>IF(V23="TARGET",O23,IF(OR(V23="INVALIDATION",V23="AMBIGUOUS"),N23,IF(R23&lt;&gt;"",R23,S23)))</x:f>
        <x:v>294.457</x:v>
      </x:c>
      <x:c r="AD23" s="19" t="str">
        <x:f>IF(V23="TARGET","TARGET",IF(V23="INVALIDATION","STOP",IF(V23="AMBIGUOUS","AMBIGUO→STOP",IF(R23&lt;&gt;"","60M","CIERRE"))))</x:f>
        <x:v>STOP</x:v>
      </x:c>
      <x:c r="AE23" s="23" t="n">
        <x:f>IF(OR(M23="",AC23=""),"",AC23/M23-1)</x:f>
        <x:v>-0.0025000423448906517</x:v>
      </x:c>
      <x:c r="AF23" s="19" t="str">
        <x:f>IF(AE23="","SIN DATO",IF(AE23&gt;0,"GAIN",IF(AE23&lt;0,"LOSS","FLAT")))</x:f>
        <x:v>LOSS</x:v>
      </x:c>
      <x:c r="AG23" s="19" t="n">
        <x:f>IF(COUNTIFS($E$2:E23,E23,$I$2:I23,I23)=1,1,0)</x:f>
        <x:v>1</x:v>
      </x:c>
      <x:c r="AH23" s="19" t="n">
        <x:v>384</x:v>
      </x:c>
      <x:c r="AI23" s="19" t="str">
        <x:v>Alpaca SIP 1Min raw bars</x:v>
      </x:c>
      <x:c r="AJ23" s="24" t="str">
        <x:v>019fd4f3-7dcd-7ced-ad7a-80eb2ff6d345</x:v>
      </x:c>
      <x:c r="AK23" s="24" t="str">
        <x:v>entry_confirmed; swing:favorable:97.00; intraday:favorable:100.00; dilution_analysis_unavailable</x:v>
      </x:c>
    </x:row>
    <x:row r="24">
      <x:c r="A24" s="19" t="n">
        <x:v>10440179</x:v>
      </x:c>
      <x:c r="B24" s="20" t="n">
        <x:v>46239</x:v>
      </x:c>
      <x:c r="C24" s="19" t="str">
        <x:v>12:30:00</x:v>
      </x:c>
      <x:c r="D24" s="19" t="str">
        <x:v>11:30:00</x:v>
      </x:c>
      <x:c r="E24" s="19" t="str">
        <x:v>L4</x:v>
      </x:c>
      <x:c r="F24" s="19" t="str">
        <x:v>MAGENTA</x:v>
      </x:c>
      <x:c r="G24" s="19" t="n">
        <x:v>3</x:v>
      </x:c>
      <x:c r="H24" s="24" t="str">
        <x:v>Signal Fusion</x:v>
      </x:c>
      <x:c r="I24" s="24" t="str">
        <x:v>ASTS</x:v>
      </x:c>
      <x:c r="J24" s="24" t="str">
        <x:v>RECOVERY_CONFIRMED</x:v>
      </x:c>
      <x:c r="K24" s="24" t="str"/>
      <x:c r="L24" s="21" t="n">
        <x:v>50</x:v>
      </x:c>
      <x:c r="M24" s="22" t="n">
        <x:v>69.66</x:v>
      </x:c>
      <x:c r="N24" s="22" t="n">
        <x:v>69.4426</x:v>
      </x:c>
      <x:c r="O24" s="22" t="n">
        <x:v>75.3781</x:v>
      </x:c>
      <x:c r="P24" s="22" t="n">
        <x:v>68.81</x:v>
      </x:c>
      <x:c r="Q24" s="22" t="n">
        <x:v>68.97</x:v>
      </x:c>
      <x:c r="R24" s="22" t="n">
        <x:v>69.12</x:v>
      </x:c>
      <x:c r="S24" s="22" t="n">
        <x:v>68.39</x:v>
      </x:c>
      <x:c r="T24" s="22" t="n">
        <x:v>69.7032</x:v>
      </x:c>
      <x:c r="U24" s="22" t="n">
        <x:v>68.34</x:v>
      </x:c>
      <x:c r="V24" s="19" t="str">
        <x:v>INVALIDATION</x:v>
      </x:c>
      <x:c r="W24" s="23" t="n">
        <x:f>IF(OR(M24="",P24=""),"",P24/M24-1)</x:f>
        <x:v>-0.012202124605225295</x:v>
      </x:c>
      <x:c r="X24" s="23" t="n">
        <x:f>IF(OR(M24="",Q24=""),"",Q24/M24-1)</x:f>
        <x:v>-0.009905254091300608</x:v>
      </x:c>
      <x:c r="Y24" s="23" t="n">
        <x:f>IF(OR(M24="",R24=""),"",R24/M24-1)</x:f>
        <x:v>-0.007751937984496027</x:v>
      </x:c>
      <x:c r="Z24" s="23" t="n">
        <x:f>IF(OR(M24="",S24=""),"",S24/M24-1)</x:f>
        <x:v>-0.018231409704277834</x:v>
      </x:c>
      <x:c r="AA24" s="23" t="n">
        <x:f>IF(OR(M24="",T24=""),"",T24/M24-1)</x:f>
        <x:v>0.0006201550387596733</x:v>
      </x:c>
      <x:c r="AB24" s="23" t="n">
        <x:f>IF(OR(M24="",U24=""),"",U24/M24-1)</x:f>
        <x:v>-0.01894918173987936</x:v>
      </x:c>
      <x:c r="AC24" s="22" t="n">
        <x:f>IF(V24="TARGET",O24,IF(OR(V24="INVALIDATION",V24="AMBIGUOUS"),N24,IF(R24&lt;&gt;"",R24,S24)))</x:f>
        <x:v>69.4426</x:v>
      </x:c>
      <x:c r="AD24" s="19" t="str">
        <x:f>IF(V24="TARGET","TARGET",IF(V24="INVALIDATION","STOP",IF(V24="AMBIGUOUS","AMBIGUO→STOP",IF(R24&lt;&gt;"","60M","CIERRE"))))</x:f>
        <x:v>STOP</x:v>
      </x:c>
      <x:c r="AE24" s="23" t="n">
        <x:f>IF(OR(M24="",AC24=""),"",AC24/M24-1)</x:f>
        <x:v>-0.0031208728107952055</x:v>
      </x:c>
      <x:c r="AF24" s="19" t="str">
        <x:f>IF(AE24="","SIN DATO",IF(AE24&gt;0,"GAIN",IF(AE24&lt;0,"LOSS","FLAT")))</x:f>
        <x:v>LOSS</x:v>
      </x:c>
      <x:c r="AG24" s="19" t="n">
        <x:f>IF(COUNTIFS($E$2:E24,E24,$I$2:I24,I24)=1,1,0)</x:f>
        <x:v>1</x:v>
      </x:c>
      <x:c r="AH24" s="19" t="n">
        <x:v>392</x:v>
      </x:c>
      <x:c r="AI24" s="19" t="str">
        <x:v>Alpaca SIP 1Min raw bars</x:v>
      </x:c>
      <x:c r="AJ24" s="24" t="str">
        <x:v>019fd28c-a9f3-737f-bf93-ed76b429369e</x:v>
      </x:c>
      <x:c r="AK24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</x:v>
      </x:c>
    </x:row>
    <x:row r="25">
      <x:c r="A25" s="19" t="n">
        <x:v>10446434</x:v>
      </x:c>
      <x:c r="B25" s="20" t="n">
        <x:v>46239</x:v>
      </x:c>
      <x:c r="C25" s="19" t="str">
        <x:v>12:35:00</x:v>
      </x:c>
      <x:c r="D25" s="19" t="str">
        <x:v>11:35:00</x:v>
      </x:c>
      <x:c r="E25" s="19" t="str">
        <x:v>L4</x:v>
      </x:c>
      <x:c r="F25" s="19" t="str">
        <x:v>MAGENTA</x:v>
      </x:c>
      <x:c r="G25" s="19" t="n">
        <x:v>3</x:v>
      </x:c>
      <x:c r="H25" s="24" t="str">
        <x:v>Signal Fusion</x:v>
      </x:c>
      <x:c r="I25" s="24" t="str">
        <x:v>NBIS</x:v>
      </x:c>
      <x:c r="J25" s="24" t="str">
        <x:v>RECOVERY_CONFIRMED</x:v>
      </x:c>
      <x:c r="K25" s="24" t="str"/>
      <x:c r="L25" s="21" t="n">
        <x:v>50</x:v>
      </x:c>
      <x:c r="M25" s="22" t="n">
        <x:v>225.9124</x:v>
      </x:c>
      <x:c r="N25" s="22" t="n">
        <x:v>225.3476</x:v>
      </x:c>
      <x:c r="O25" s="22" t="n">
        <x:v>232.7818</x:v>
      </x:c>
      <x:c r="P25" s="22" t="n">
        <x:v>225.62</x:v>
      </x:c>
      <x:c r="Q25" s="22" t="n">
        <x:v>225.2</x:v>
      </x:c>
      <x:c r="R25" s="22" t="n">
        <x:v>224.775</x:v>
      </x:c>
      <x:c r="S25" s="22" t="n">
        <x:v>219.5</x:v>
      </x:c>
      <x:c r="T25" s="22" t="n">
        <x:v>228.02</x:v>
      </x:c>
      <x:c r="U25" s="22" t="n">
        <x:v>223.22</x:v>
      </x:c>
      <x:c r="V25" s="19" t="str">
        <x:v>INVALIDATION</x:v>
      </x:c>
      <x:c r="W25" s="23" t="n">
        <x:f>IF(OR(M25="",P25=""),"",P25/M25-1)</x:f>
        <x:v>-0.001294306996871275</x:v>
      </x:c>
      <x:c r="X25" s="23" t="n">
        <x:f>IF(OR(M25="",Q25=""),"",Q25/M25-1)</x:f>
        <x:v>-0.0031534346941557434</x:v>
      </x:c>
      <x:c r="Y25" s="23" t="n">
        <x:f>IF(OR(M25="",R25=""),"",R25/M25-1)</x:f>
        <x:v>-0.005034694864026856</x:v>
      </x:c>
      <x:c r="Z25" s="23" t="n">
        <x:f>IF(OR(M25="",S25=""),"",S25/M25-1)</x:f>
        <x:v>-0.028384453443015878</x:v>
      </x:c>
      <x:c r="AA25" s="23" t="n">
        <x:f>IF(OR(M25="",T25=""),"",T25/M25-1)</x:f>
        <x:v>0.00932927984475418</x:v>
      </x:c>
      <x:c r="AB25" s="23" t="n">
        <x:f>IF(OR(M25="",U25=""),"",U25/M25-1)</x:f>
        <x:v>-0.011917893838496618</x:v>
      </x:c>
      <x:c r="AC25" s="22" t="n">
        <x:f>IF(V25="TARGET",O25,IF(OR(V25="INVALIDATION",V25="AMBIGUOUS"),N25,IF(R25&lt;&gt;"",R25,S25)))</x:f>
        <x:v>225.3476</x:v>
      </x:c>
      <x:c r="AD25" s="19" t="str">
        <x:f>IF(V25="TARGET","TARGET",IF(V25="INVALIDATION","STOP",IF(V25="AMBIGUOUS","AMBIGUO→STOP",IF(R25&lt;&gt;"","60M","CIERRE"))))</x:f>
        <x:v>STOP</x:v>
      </x:c>
      <x:c r="AE25" s="23" t="n">
        <x:f>IF(OR(M25="",AC25=""),"",AC25/M25-1)</x:f>
        <x:v>-0.00250008410339575</x:v>
      </x:c>
      <x:c r="AF25" s="19" t="str">
        <x:f>IF(AE25="","SIN DATO",IF(AE25&gt;0,"GAIN",IF(AE25&lt;0,"LOSS","FLAT")))</x:f>
        <x:v>LOSS</x:v>
      </x:c>
      <x:c r="AG25" s="19" t="n">
        <x:f>IF(COUNTIFS($E$2:E25,E25,$I$2:I25,I25)=1,1,0)</x:f>
        <x:v>0</x:v>
      </x:c>
      <x:c r="AH25" s="19" t="n">
        <x:v>392</x:v>
      </x:c>
      <x:c r="AI25" s="19" t="str">
        <x:v>Alpaca SIP 1Min raw bars</x:v>
      </x:c>
      <x:c r="AJ25" s="24" t="str">
        <x:v>019fd291-3da3-7e0a-a0ab-e1f3de021164</x:v>
      </x:c>
      <x:c r="AK25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support_b_wave_risk; patreon_context:SUPPORT_TEST</x:v>
      </x:c>
    </x:row>
    <x:row r="26">
      <x:c r="A26" s="19" t="n">
        <x:v>10458520</x:v>
      </x:c>
      <x:c r="B26" s="20" t="n">
        <x:v>46239</x:v>
      </x:c>
      <x:c r="C26" s="19" t="str">
        <x:v>12:45:00</x:v>
      </x:c>
      <x:c r="D26" s="19" t="str">
        <x:v>11:45:00</x:v>
      </x:c>
      <x:c r="E26" s="19" t="str">
        <x:v>L2</x:v>
      </x:c>
      <x:c r="F26" s="19" t="str">
        <x:v>AZUL</x:v>
      </x:c>
      <x:c r="G26" s="19" t="n">
        <x:v>2</x:v>
      </x:c>
      <x:c r="H26" s="24" t="str">
        <x:v>Alert Engine V2 replay</x:v>
      </x:c>
      <x:c r="I26" s="24" t="str">
        <x:v>BLFS</x:v>
      </x:c>
      <x:c r="J26" s="24" t="str">
        <x:v>ENTRY_CONFIRMED</x:v>
      </x:c>
      <x:c r="K26" s="24" t="str">
        <x:v>SWING+INTRADAY</x:v>
      </x:c>
      <x:c r="L26" s="21" t="n">
        <x:v>100</x:v>
      </x:c>
      <x:c r="M26" s="22" t="n">
        <x:v>33.4025</x:v>
      </x:c>
      <x:c r="N26" s="22" t="n">
        <x:v>33.319</x:v>
      </x:c>
      <x:c r="O26" s="22" t="n">
        <x:v>33.5278</x:v>
      </x:c>
      <x:c r="P26" s="22" t="n">
        <x:v>33.37</x:v>
      </x:c>
      <x:c r="Q26" s="22" t="n">
        <x:v>33.33</x:v>
      </x:c>
      <x:c r="R26" s="22" t="n">
        <x:v>33.4</x:v>
      </x:c>
      <x:c r="S26" s="22" t="n">
        <x:v>33.8</x:v>
      </x:c>
      <x:c r="T26" s="22" t="n">
        <x:v>33.45</x:v>
      </x:c>
      <x:c r="U26" s="22" t="n">
        <x:v>33.25</x:v>
      </x:c>
      <x:c r="V26" s="19" t="str">
        <x:v>INVALIDATION</x:v>
      </x:c>
      <x:c r="W26" s="23" t="n">
        <x:f>IF(OR(M26="",P26=""),"",P26/M26-1)</x:f>
        <x:v>-0.000972981064291778</x:v>
      </x:c>
      <x:c r="X26" s="23" t="n">
        <x:f>IF(OR(M26="",Q26=""),"",Q26/M26-1)</x:f>
        <x:v>-0.0021704962203429323</x:v>
      </x:c>
      <x:c r="Y26" s="23" t="n">
        <x:f>IF(OR(M26="",R26=""),"",R26/M26-1)</x:f>
        <x:v>-0.0000748446972533845</x:v>
      </x:c>
      <x:c r="Z26" s="23" t="n">
        <x:f>IF(OR(M26="",S26=""),"",S26/M26-1)</x:f>
        <x:v>0.011900306863258603</x:v>
      </x:c>
      <x:c r="AA26" s="23" t="n">
        <x:f>IF(OR(M26="",T26=""),"",T26/M26-1)</x:f>
        <x:v>0.0014220492478107527</x:v>
      </x:c>
      <x:c r="AB26" s="23" t="n">
        <x:f>IF(OR(M26="",U26=""),"",U26/M26-1)</x:f>
        <x:v>-0.004565526532445241</x:v>
      </x:c>
      <x:c r="AC26" s="22" t="n">
        <x:f>IF(V26="TARGET",O26,IF(OR(V26="INVALIDATION",V26="AMBIGUOUS"),N26,IF(R26&lt;&gt;"",R26,S26)))</x:f>
        <x:v>33.319</x:v>
      </x:c>
      <x:c r="AD26" s="19" t="str">
        <x:f>IF(V26="TARGET","TARGET",IF(V26="INVALIDATION","STOP",IF(V26="AMBIGUOUS","AMBIGUO→STOP",IF(R26&lt;&gt;"","60M","CIERRE"))))</x:f>
        <x:v>STOP</x:v>
      </x:c>
      <x:c r="AE26" s="23" t="n">
        <x:f>IF(OR(M26="",AC26=""),"",AC26/M26-1)</x:f>
        <x:v>-0.002499812888256847</x:v>
      </x:c>
      <x:c r="AF26" s="19" t="str">
        <x:f>IF(AE26="","SIN DATO",IF(AE26&gt;0,"GAIN",IF(AE26&lt;0,"LOSS","FLAT")))</x:f>
        <x:v>LOSS</x:v>
      </x:c>
      <x:c r="AG26" s="19" t="n">
        <x:f>IF(COUNTIFS($E$2:E26,E26,$I$2:I26,I26)=1,1,0)</x:f>
        <x:v>0</x:v>
      </x:c>
      <x:c r="AH26" s="19" t="n">
        <x:v>241</x:v>
      </x:c>
      <x:c r="AI26" s="19" t="str">
        <x:v>Alpaca SIP 1Min raw bars</x:v>
      </x:c>
      <x:c r="AJ26" s="24" t="str">
        <x:v>019fd4f3-8181-7a63-803a-0596cee8210b</x:v>
      </x:c>
      <x:c r="AK26" s="24" t="str">
        <x:v>entry_confirmed; swing:favorable:100.00; intraday:favorable:100.00; dilution_analysis_unavailable</x:v>
      </x:c>
    </x:row>
    <x:row r="27">
      <x:c r="A27" s="19" t="n">
        <x:v>10463456</x:v>
      </x:c>
      <x:c r="B27" s="20" t="n">
        <x:v>46239</x:v>
      </x:c>
      <x:c r="C27" s="19" t="str">
        <x:v>12:49:00</x:v>
      </x:c>
      <x:c r="D27" s="19" t="str">
        <x:v>11:49:00</x:v>
      </x:c>
      <x:c r="E27" s="19" t="str">
        <x:v>L2</x:v>
      </x:c>
      <x:c r="F27" s="19" t="str">
        <x:v>AZUL</x:v>
      </x:c>
      <x:c r="G27" s="19" t="n">
        <x:v>2</x:v>
      </x:c>
      <x:c r="H27" s="24" t="str">
        <x:v>Alert Engine V2 replay</x:v>
      </x:c>
      <x:c r="I27" s="24" t="str">
        <x:v>APH</x:v>
      </x:c>
      <x:c r="J27" s="24" t="str">
        <x:v>ENTRY_CONFIRMED</x:v>
      </x:c>
      <x:c r="K27" s="24" t="str">
        <x:v>SWING+INTRADAY</x:v>
      </x:c>
      <x:c r="L27" s="21" t="n">
        <x:v>93.65</x:v>
      </x:c>
      <x:c r="M27" s="22" t="n">
        <x:v>174.39</x:v>
      </x:c>
      <x:c r="N27" s="22" t="n">
        <x:v>173.954</x:v>
      </x:c>
      <x:c r="O27" s="22" t="n">
        <x:v>175.044</x:v>
      </x:c>
      <x:c r="P27" s="22" t="n">
        <x:v>174.34</x:v>
      </x:c>
      <x:c r="Q27" s="22" t="n">
        <x:v>173.82</x:v>
      </x:c>
      <x:c r="R27" s="22" t="n">
        <x:v>174.11</x:v>
      </x:c>
      <x:c r="S27" s="22" t="n">
        <x:v>172.24</x:v>
      </x:c>
      <x:c r="T27" s="22" t="n">
        <x:v>174.66</x:v>
      </x:c>
      <x:c r="U27" s="22" t="n">
        <x:v>173.7</x:v>
      </x:c>
      <x:c r="V27" s="19" t="str">
        <x:v>INVALIDATION</x:v>
      </x:c>
      <x:c r="W27" s="23" t="n">
        <x:f>IF(OR(M27="",P27=""),"",P27/M27-1)</x:f>
        <x:v>-0.00028671368771138184</x:v>
      </x:c>
      <x:c r="X27" s="23" t="n">
        <x:f>IF(OR(M27="",Q27=""),"",Q27/M27-1)</x:f>
        <x:v>-0.003268536039910508</x:v>
      </x:c>
      <x:c r="Y27" s="23" t="n">
        <x:f>IF(OR(M27="",R27=""),"",R27/M27-1)</x:f>
        <x:v>-0.0016055966511839825</x:v>
      </x:c>
      <x:c r="Z27" s="23" t="n">
        <x:f>IF(OR(M27="",S27=""),"",S27/M27-1)</x:f>
        <x:v>-0.012328688571592306</x:v>
      </x:c>
      <x:c r="AA27" s="23" t="n">
        <x:f>IF(OR(M27="",T27=""),"",T27/M27-1)</x:f>
        <x:v>0.0015482539136419948</x:v>
      </x:c>
      <x:c r="AB27" s="23" t="n">
        <x:f>IF(OR(M27="",U27=""),"",U27/M27-1)</x:f>
        <x:v>-0.003956648890418024</x:v>
      </x:c>
      <x:c r="AC27" s="22" t="n">
        <x:f>IF(V27="TARGET",O27,IF(OR(V27="INVALIDATION",V27="AMBIGUOUS"),N27,IF(R27&lt;&gt;"",R27,S27)))</x:f>
        <x:v>173.954</x:v>
      </x:c>
      <x:c r="AD27" s="19" t="str">
        <x:f>IF(V27="TARGET","TARGET",IF(V27="INVALIDATION","STOP",IF(V27="AMBIGUOUS","AMBIGUO→STOP",IF(R27&lt;&gt;"","60M","CIERRE"))))</x:f>
        <x:v>STOP</x:v>
      </x:c>
      <x:c r="AE27" s="23" t="n">
        <x:f>IF(OR(M27="",AC27=""),"",AC27/M27-1)</x:f>
        <x:v>-0.002500143356843787</x:v>
      </x:c>
      <x:c r="AF27" s="19" t="str">
        <x:f>IF(AE27="","SIN DATO",IF(AE27&gt;0,"GAIN",IF(AE27&lt;0,"LOSS","FLAT")))</x:f>
        <x:v>LOSS</x:v>
      </x:c>
      <x:c r="AG27" s="19" t="n">
        <x:f>IF(COUNTIFS($E$2:E27,E27,$I$2:I27,I27)=1,1,0)</x:f>
        <x:v>0</x:v>
      </x:c>
      <x:c r="AH27" s="19" t="n">
        <x:v>391</x:v>
      </x:c>
      <x:c r="AI27" s="19" t="str">
        <x:v>Alpaca SIP 1Min raw bars</x:v>
      </x:c>
      <x:c r="AJ27" s="24" t="str">
        <x:v>019fd4f3-8247-72f8-90c5-4503840f706c</x:v>
      </x:c>
      <x:c r="AK27" s="24" t="str">
        <x:v>entry_confirmed; swing:favorable:94.00; intraday:favorable:100.00; dilution_analysis_unavailable</x:v>
      </x:c>
    </x:row>
    <x:row r="28">
      <x:c r="A28" s="19" t="n">
        <x:v>10466693</x:v>
      </x:c>
      <x:c r="B28" s="20" t="n">
        <x:v>46239</x:v>
      </x:c>
      <x:c r="C28" s="19" t="str">
        <x:v>12:52:00</x:v>
      </x:c>
      <x:c r="D28" s="19" t="str">
        <x:v>11:52:00</x:v>
      </x:c>
      <x:c r="E28" s="19" t="str">
        <x:v>L2</x:v>
      </x:c>
      <x:c r="F28" s="19" t="str">
        <x:v>AZUL</x:v>
      </x:c>
      <x:c r="G28" s="19" t="n">
        <x:v>2</x:v>
      </x:c>
      <x:c r="H28" s="24" t="str">
        <x:v>Alert Engine V2 replay</x:v>
      </x:c>
      <x:c r="I28" s="24" t="str">
        <x:v>UNP</x:v>
      </x:c>
      <x:c r="J28" s="24" t="str">
        <x:v>ENTRY_CONFIRMED</x:v>
      </x:c>
      <x:c r="K28" s="24" t="str">
        <x:v>SWING+INTRADAY</x:v>
      </x:c>
      <x:c r="L28" s="21" t="n">
        <x:v>96.78</x:v>
      </x:c>
      <x:c r="M28" s="22" t="n">
        <x:v>295.805</x:v>
      </x:c>
      <x:c r="N28" s="22" t="n">
        <x:v>295.0655</x:v>
      </x:c>
      <x:c r="O28" s="22" t="n">
        <x:v>296.9143</x:v>
      </x:c>
      <x:c r="P28" s="22" t="n">
        <x:v>296.04</x:v>
      </x:c>
      <x:c r="Q28" s="22" t="n">
        <x:v>296.18</x:v>
      </x:c>
      <x:c r="R28" s="22" t="n">
        <x:v>295.74</x:v>
      </x:c>
      <x:c r="S28" s="22" t="n">
        <x:v>295.54</x:v>
      </x:c>
      <x:c r="T28" s="22" t="n">
        <x:v>296.52</x:v>
      </x:c>
      <x:c r="U28" s="22" t="n">
        <x:v>295.56</x:v>
      </x:c>
      <x:c r="V28" s="19"/>
      <x:c r="W28" s="23" t="n">
        <x:f>IF(OR(M28="",P28=""),"",P28/M28-1)</x:f>
        <x:v>0.0007944422846131172</x:v>
      </x:c>
      <x:c r="X28" s="23" t="n">
        <x:f>IF(OR(M28="",Q28=""),"",Q28/M28-1)</x:f>
        <x:v>0.0012677270499146243</x:v>
      </x:c>
      <x:c r="Y28" s="23" t="n">
        <x:f>IF(OR(M28="",R28=""),"",R28/M28-1)</x:f>
        <x:v>-0.00021973935531849342</x:v>
      </x:c>
      <x:c r="Z28" s="23" t="n">
        <x:f>IF(OR(M28="",S28=""),"",S28/M28-1)</x:f>
        <x:v>-0.0008958604486063448</x:v>
      </x:c>
      <x:c r="AA28" s="23" t="n">
        <x:f>IF(OR(M28="",T28=""),"",T28/M28-1)</x:f>
        <x:v>0.0024171329085038717</x:v>
      </x:c>
      <x:c r="AB28" s="23" t="n">
        <x:f>IF(OR(M28="",U28=""),"",U28/M28-1)</x:f>
        <x:v>-0.0008282483392775264</x:v>
      </x:c>
      <x:c r="AC28" s="22" t="n">
        <x:f>IF(V28="TARGET",O28,IF(OR(V28="INVALIDATION",V28="AMBIGUOUS"),N28,IF(R28&lt;&gt;"",R28,S28)))</x:f>
        <x:v>295.74</x:v>
      </x:c>
      <x:c r="AD28" s="19" t="str">
        <x:f>IF(V28="TARGET","TARGET",IF(V28="INVALIDATION","STOP",IF(V28="AMBIGUOUS","AMBIGUO→STOP",IF(R28&lt;&gt;"","60M","CIERRE"))))</x:f>
        <x:v>60M</x:v>
      </x:c>
      <x:c r="AE28" s="23" t="n">
        <x:f>IF(OR(M28="",AC28=""),"",AC28/M28-1)</x:f>
        <x:v>-0.00021973935531849342</x:v>
      </x:c>
      <x:c r="AF28" s="19" t="str">
        <x:f>IF(AE28="","SIN DATO",IF(AE28&gt;0,"GAIN",IF(AE28&lt;0,"LOSS","FLAT")))</x:f>
        <x:v>LOSS</x:v>
      </x:c>
      <x:c r="AG28" s="19" t="n">
        <x:f>IF(COUNTIFS($E$2:E28,E28,$I$2:I28,I28)=1,1,0)</x:f>
        <x:v>0</x:v>
      </x:c>
      <x:c r="AH28" s="19" t="n">
        <x:v>384</x:v>
      </x:c>
      <x:c r="AI28" s="19" t="str">
        <x:v>Alpaca SIP 1Min raw bars</x:v>
      </x:c>
      <x:c r="AJ28" s="24" t="str">
        <x:v>019fd4f3-82b8-7e6e-a8f5-b069a59a8557</x:v>
      </x:c>
      <x:c r="AK28" s="24" t="str">
        <x:v>entry_confirmed; swing:favorable:97.00; intraday:favorable:100.00; dilution_analysis_unavailable</x:v>
      </x:c>
    </x:row>
    <x:row r="29">
      <x:c r="A29" s="19" t="n">
        <x:v>10478650</x:v>
      </x:c>
      <x:c r="B29" s="20" t="n">
        <x:v>46239</x:v>
      </x:c>
      <x:c r="C29" s="19" t="str">
        <x:v>13:02:00</x:v>
      </x:c>
      <x:c r="D29" s="19" t="str">
        <x:v>12:02:00</x:v>
      </x:c>
      <x:c r="E29" s="19" t="str">
        <x:v>L2</x:v>
      </x:c>
      <x:c r="F29" s="19" t="str">
        <x:v>AZUL</x:v>
      </x:c>
      <x:c r="G29" s="19" t="n">
        <x:v>2</x:v>
      </x:c>
      <x:c r="H29" s="24" t="str">
        <x:v>Alert Engine V2 replay</x:v>
      </x:c>
      <x:c r="I29" s="24" t="str">
        <x:v>RTX</x:v>
      </x:c>
      <x:c r="J29" s="24" t="str">
        <x:v>ENTRY_CONFIRMED</x:v>
      </x:c>
      <x:c r="K29" s="24" t="str">
        <x:v>SWING+INTRADAY</x:v>
      </x:c>
      <x:c r="L29" s="21" t="n">
        <x:v>80.36</x:v>
      </x:c>
      <x:c r="M29" s="22" t="n">
        <x:v>220.28</x:v>
      </x:c>
      <x:c r="N29" s="22" t="n">
        <x:v>219.7293</x:v>
      </x:c>
      <x:c r="O29" s="22" t="n">
        <x:v>221.1061</x:v>
      </x:c>
      <x:c r="P29" s="22" t="n">
        <x:v>220.89</x:v>
      </x:c>
      <x:c r="Q29" s="22" t="n">
        <x:v>220.395</x:v>
      </x:c>
      <x:c r="R29" s="22" t="n">
        <x:v>220.51</x:v>
      </x:c>
      <x:c r="S29" s="22" t="n">
        <x:v>222.31</x:v>
      </x:c>
      <x:c r="T29" s="22" t="n">
        <x:v>220.92</x:v>
      </x:c>
      <x:c r="U29" s="22" t="n">
        <x:v>220.06</x:v>
      </x:c>
      <x:c r="V29" s="19"/>
      <x:c r="W29" s="23" t="n">
        <x:f>IF(OR(M29="",P29=""),"",P29/M29-1)</x:f>
        <x:v>0.0027692028327581664</x:v>
      </x:c>
      <x:c r="X29" s="23" t="n">
        <x:f>IF(OR(M29="",Q29=""),"",Q29/M29-1)</x:f>
        <x:v>0.0005220628291267015</x:v>
      </x:c>
      <x:c r="Y29" s="23" t="n">
        <x:f>IF(OR(M29="",R29=""),"",R29/M29-1)</x:f>
        <x:v>0.001044125658253181</x:v>
      </x:c>
      <x:c r="Z29" s="23" t="n">
        <x:f>IF(OR(M29="",S29=""),"",S29/M29-1)</x:f>
        <x:v>0.009215543853277719</x:v>
      </x:c>
      <x:c r="AA29" s="23" t="n">
        <x:f>IF(OR(M29="",T29=""),"",T29/M29-1)</x:f>
        <x:v>0.0029053931360085716</x:v>
      </x:c>
      <x:c r="AB29" s="23" t="n">
        <x:f>IF(OR(M29="",U29=""),"",U29/M29-1)</x:f>
        <x:v>-0.000998728890503009</x:v>
      </x:c>
      <x:c r="AC29" s="22" t="n">
        <x:f>IF(V29="TARGET",O29,IF(OR(V29="INVALIDATION",V29="AMBIGUOUS"),N29,IF(R29&lt;&gt;"",R29,S29)))</x:f>
        <x:v>220.51</x:v>
      </x:c>
      <x:c r="AD29" s="19" t="str">
        <x:f>IF(V29="TARGET","TARGET",IF(V29="INVALIDATION","STOP",IF(V29="AMBIGUOUS","AMBIGUO→STOP",IF(R29&lt;&gt;"","60M","CIERRE"))))</x:f>
        <x:v>60M</x:v>
      </x:c>
      <x:c r="AE29" s="23" t="n">
        <x:f>IF(OR(M29="",AC29=""),"",AC29/M29-1)</x:f>
        <x:v>0.001044125658253181</x:v>
      </x:c>
      <x:c r="AF29" s="19" t="str">
        <x:f>IF(AE29="","SIN DATO",IF(AE29&gt;0,"GAIN",IF(AE29&lt;0,"LOSS","FLAT")))</x:f>
        <x:v>GAIN</x:v>
      </x:c>
      <x:c r="AG29" s="19" t="n">
        <x:f>IF(COUNTIFS($E$2:E29,E29,$I$2:I29,I29)=1,1,0)</x:f>
        <x:v>0</x:v>
      </x:c>
      <x:c r="AH29" s="19" t="n">
        <x:v>391</x:v>
      </x:c>
      <x:c r="AI29" s="19" t="str">
        <x:v>Alpaca SIP 1Min raw bars</x:v>
      </x:c>
      <x:c r="AJ29" s="24" t="str">
        <x:v>019fd4f3-848d-704d-9ca4-90e6486d4ad7</x:v>
      </x:c>
      <x:c r="AK29" s="24" t="str">
        <x:v>entry_confirmed; swing:favorable:80.00; intraday:favorable:100.00; dilution_analysis_unavailable</x:v>
      </x:c>
    </x:row>
    <x:row r="30">
      <x:c r="A30" s="19" t="n">
        <x:v>10478937</x:v>
      </x:c>
      <x:c r="B30" s="20" t="n">
        <x:v>46239</x:v>
      </x:c>
      <x:c r="C30" s="19" t="str">
        <x:v>13:02:00</x:v>
      </x:c>
      <x:c r="D30" s="19" t="str">
        <x:v>12:02:00</x:v>
      </x:c>
      <x:c r="E30" s="19" t="str">
        <x:v>L2</x:v>
      </x:c>
      <x:c r="F30" s="19" t="str">
        <x:v>AZUL</x:v>
      </x:c>
      <x:c r="G30" s="19" t="n">
        <x:v>2</x:v>
      </x:c>
      <x:c r="H30" s="24" t="str">
        <x:v>Alert Engine V2 replay</x:v>
      </x:c>
      <x:c r="I30" s="24" t="str">
        <x:v>SCHW</x:v>
      </x:c>
      <x:c r="J30" s="24" t="str">
        <x:v>ENTRY_CONFIRMED</x:v>
      </x:c>
      <x:c r="K30" s="24" t="str">
        <x:v>SWING+INTRADAY</x:v>
      </x:c>
      <x:c r="L30" s="21" t="n">
        <x:v>100</x:v>
      </x:c>
      <x:c r="M30" s="22" t="n">
        <x:v>108.07</x:v>
      </x:c>
      <x:c r="N30" s="22" t="n">
        <x:v>107.7998</x:v>
      </x:c>
      <x:c r="O30" s="22" t="n">
        <x:v>108.4753</x:v>
      </x:c>
      <x:c r="P30" s="22" t="n">
        <x:v>108.115</x:v>
      </x:c>
      <x:c r="Q30" s="22" t="n">
        <x:v>108.44</x:v>
      </x:c>
      <x:c r="R30" s="22" t="n">
        <x:v>108.02</x:v>
      </x:c>
      <x:c r="S30" s="22" t="n">
        <x:v>108.02</x:v>
      </x:c>
      <x:c r="T30" s="22" t="n">
        <x:v>108.49</x:v>
      </x:c>
      <x:c r="U30" s="22" t="n">
        <x:v>108</x:v>
      </x:c>
      <x:c r="V30" s="19" t="str">
        <x:v>TARGET</x:v>
      </x:c>
      <x:c r="W30" s="23" t="n">
        <x:f>IF(OR(M30="",P30=""),"",P30/M30-1)</x:f>
        <x:v>0.00041639677986493595</x:v>
      </x:c>
      <x:c r="X30" s="23" t="n">
        <x:f>IF(OR(M30="",Q30=""),"",Q30/M30-1)</x:f>
        <x:v>0.0034237068566669304</x:v>
      </x:c>
      <x:c r="Y30" s="23" t="n">
        <x:f>IF(OR(M30="",R30=""),"",R30/M30-1)</x:f>
        <x:v>-0.0004626630887387684</x:v>
      </x:c>
      <x:c r="Z30" s="23" t="n">
        <x:f>IF(OR(M30="",S30=""),"",S30/M30-1)</x:f>
        <x:v>-0.0004626630887387684</x:v>
      </x:c>
      <x:c r="AA30" s="23" t="n">
        <x:f>IF(OR(M30="",T30=""),"",T30/M30-1)</x:f>
        <x:v>0.003886369945405699</x:v>
      </x:c>
      <x:c r="AB30" s="23" t="n">
        <x:f>IF(OR(M30="",U30=""),"",U30/M30-1)</x:f>
        <x:v>-0.0006477283242342091</x:v>
      </x:c>
      <x:c r="AC30" s="22" t="n">
        <x:f>IF(V30="TARGET",O30,IF(OR(V30="INVALIDATION",V30="AMBIGUOUS"),N30,IF(R30&lt;&gt;"",R30,S30)))</x:f>
        <x:v>108.4753</x:v>
      </x:c>
      <x:c r="AD30" s="19" t="str">
        <x:f>IF(V30="TARGET","TARGET",IF(V30="INVALIDATION","STOP",IF(V30="AMBIGUOUS","AMBIGUO→STOP",IF(R30&lt;&gt;"","60M","CIERRE"))))</x:f>
        <x:v>TARGET</x:v>
      </x:c>
      <x:c r="AE30" s="23" t="n">
        <x:f>IF(OR(M30="",AC30=""),"",AC30/M30-1)</x:f>
        <x:v>0.003750346997316578</x:v>
      </x:c>
      <x:c r="AF30" s="19" t="str">
        <x:f>IF(AE30="","SIN DATO",IF(AE30&gt;0,"GAIN",IF(AE30&lt;0,"LOSS","FLAT")))</x:f>
        <x:v>GAIN</x:v>
      </x:c>
      <x:c r="AG30" s="19" t="n">
        <x:f>IF(COUNTIFS($E$2:E30,E30,$I$2:I30,I30)=1,1,0)</x:f>
        <x:v>0</x:v>
      </x:c>
      <x:c r="AH30" s="19" t="n">
        <x:v>391</x:v>
      </x:c>
      <x:c r="AI30" s="19" t="str">
        <x:v>Alpaca SIP 1Min raw bars</x:v>
      </x:c>
      <x:c r="AJ30" s="24" t="str">
        <x:v>019fd4f3-8494-725b-87d6-82c4cf54dfa6</x:v>
      </x:c>
      <x:c r="AK30" s="24" t="str">
        <x:v>entry_confirmed; swing:favorable:100.00; intraday:favorable:100.00; dilution_analysis_unavailable</x:v>
      </x:c>
    </x:row>
    <x:row r="31">
      <x:c r="A31" s="19" t="n">
        <x:v>10489726</x:v>
      </x:c>
      <x:c r="B31" s="20" t="n">
        <x:v>46239</x:v>
      </x:c>
      <x:c r="C31" s="19" t="str">
        <x:v>13:11:00</x:v>
      </x:c>
      <x:c r="D31" s="19" t="str">
        <x:v>12:11:00</x:v>
      </x:c>
      <x:c r="E31" s="19" t="str">
        <x:v>L3</x:v>
      </x:c>
      <x:c r="F31" s="19" t="str">
        <x:v>VERDE</x:v>
      </x:c>
      <x:c r="G31" s="19" t="n">
        <x:v>3</x:v>
      </x:c>
      <x:c r="H31" s="24" t="str">
        <x:v>Alert Engine V2 replay</x:v>
      </x:c>
      <x:c r="I31" s="24" t="str">
        <x:v>SBUX</x:v>
      </x:c>
      <x:c r="J31" s="24" t="str">
        <x:v>HIGH_CONVICTION_BUY</x:v>
      </x:c>
      <x:c r="K31" s="24" t="str">
        <x:v>LONG_TERM+SWING+INTRADAY</x:v>
      </x:c>
      <x:c r="L31" s="21" t="n">
        <x:v>85.74</x:v>
      </x:c>
      <x:c r="M31" s="22" t="n">
        <x:v>106.21</x:v>
      </x:c>
      <x:c r="N31" s="22" t="n">
        <x:v>105.9445</x:v>
      </x:c>
      <x:c r="O31" s="22" t="n">
        <x:v>106.6083</x:v>
      </x:c>
      <x:c r="P31" s="22" t="n">
        <x:v>106.27</x:v>
      </x:c>
      <x:c r="Q31" s="22" t="n">
        <x:v>106.4</x:v>
      </x:c>
      <x:c r="R31" s="22" t="n">
        <x:v>106.35</x:v>
      </x:c>
      <x:c r="S31" s="22" t="n">
        <x:v>106</x:v>
      </x:c>
      <x:c r="T31" s="22" t="n">
        <x:v>106.42</x:v>
      </x:c>
      <x:c r="U31" s="22" t="n">
        <x:v>105.985</x:v>
      </x:c>
      <x:c r="V31" s="19"/>
      <x:c r="W31" s="23" t="n">
        <x:f>IF(OR(M31="",P31=""),"",P31/M31-1)</x:f>
        <x:v>0.0005649185575746785</x:v>
      </x:c>
      <x:c r="X31" s="23" t="n">
        <x:f>IF(OR(M31="",Q31=""),"",Q31/M31-1)</x:f>
        <x:v>0.0017889087656530744</x:v>
      </x:c>
      <x:c r="Y31" s="23" t="n">
        <x:f>IF(OR(M31="",R31=""),"",R31/M31-1)</x:f>
        <x:v>0.001318143301007435</x:v>
      </x:c>
      <x:c r="Z31" s="23" t="n">
        <x:f>IF(OR(M31="",S31=""),"",S31/M31-1)</x:f>
        <x:v>-0.0019772149515111526</x:v>
      </x:c>
      <x:c r="AA31" s="23" t="n">
        <x:f>IF(OR(M31="",T31=""),"",T31/M31-1)</x:f>
        <x:v>0.0019772149515111526</x:v>
      </x:c>
      <x:c r="AB31" s="23" t="n">
        <x:f>IF(OR(M31="",U31=""),"",U31/M31-1)</x:f>
        <x:v>-0.002118444590904711</x:v>
      </x:c>
      <x:c r="AC31" s="22" t="n">
        <x:f>IF(V31="TARGET",O31,IF(OR(V31="INVALIDATION",V31="AMBIGUOUS"),N31,IF(R31&lt;&gt;"",R31,S31)))</x:f>
        <x:v>106.35</x:v>
      </x:c>
      <x:c r="AD31" s="19" t="str">
        <x:f>IF(V31="TARGET","TARGET",IF(V31="INVALIDATION","STOP",IF(V31="AMBIGUOUS","AMBIGUO→STOP",IF(R31&lt;&gt;"","60M","CIERRE"))))</x:f>
        <x:v>60M</x:v>
      </x:c>
      <x:c r="AE31" s="23" t="n">
        <x:f>IF(OR(M31="",AC31=""),"",AC31/M31-1)</x:f>
        <x:v>0.001318143301007435</x:v>
      </x:c>
      <x:c r="AF31" s="19" t="str">
        <x:f>IF(AE31="","SIN DATO",IF(AE31&gt;0,"GAIN",IF(AE31&lt;0,"LOSS","FLAT")))</x:f>
        <x:v>GAIN</x:v>
      </x:c>
      <x:c r="AG31" s="19" t="n">
        <x:f>IF(COUNTIFS($E$2:E31,E31,$I$2:I31,I31)=1,1,0)</x:f>
        <x:v>0</x:v>
      </x:c>
      <x:c r="AH31" s="19" t="n">
        <x:v>390</x:v>
      </x:c>
      <x:c r="AI31" s="19" t="str">
        <x:v>Alpaca SIP 1Min raw bars</x:v>
      </x:c>
      <x:c r="AJ31" s="24" t="str">
        <x:v>019fd4f3-863b-7004-9242-84151301267a</x:v>
      </x:c>
      <x:c r="AK31" s="24" t="str">
        <x:v>high_conviction_buy; long_term:watch:87.85; swing:watch:90.00; intraday:favorable:100.00; dilution_analysis_unavailable</x:v>
      </x:c>
    </x:row>
    <x:row r="32">
      <x:c r="A32" s="19" t="n">
        <x:v>10501445</x:v>
      </x:c>
      <x:c r="B32" s="20" t="n">
        <x:v>46239</x:v>
      </x:c>
      <x:c r="C32" s="19" t="str">
        <x:v>13:21:00</x:v>
      </x:c>
      <x:c r="D32" s="19" t="str">
        <x:v>12:21:00</x:v>
      </x:c>
      <x:c r="E32" s="19" t="str">
        <x:v>L4</x:v>
      </x:c>
      <x:c r="F32" s="19" t="str">
        <x:v>MAGENTA</x:v>
      </x:c>
      <x:c r="G32" s="19" t="n">
        <x:v>3</x:v>
      </x:c>
      <x:c r="H32" s="24" t="str">
        <x:v>Signal Fusion</x:v>
      </x:c>
      <x:c r="I32" s="24" t="str">
        <x:v>NBIS</x:v>
      </x:c>
      <x:c r="J32" s="24" t="str">
        <x:v>RECOVERY_CONFIRMED</x:v>
      </x:c>
      <x:c r="K32" s="24" t="str"/>
      <x:c r="L32" s="21" t="n">
        <x:v>50</x:v>
      </x:c>
      <x:c r="M32" s="22" t="n">
        <x:v>226.94</x:v>
      </x:c>
      <x:c r="N32" s="22" t="n">
        <x:v>226.07</x:v>
      </x:c>
      <x:c r="O32" s="22" t="n">
        <x:v>231.5154</x:v>
      </x:c>
      <x:c r="P32" s="22" t="n">
        <x:v>225.505</x:v>
      </x:c>
      <x:c r="Q32" s="22" t="n">
        <x:v>225.62</x:v>
      </x:c>
      <x:c r="R32" s="22" t="n">
        <x:v>224.725</x:v>
      </x:c>
      <x:c r="S32" s="22" t="n">
        <x:v>219.5</x:v>
      </x:c>
      <x:c r="T32" s="22" t="n">
        <x:v>228.02</x:v>
      </x:c>
      <x:c r="U32" s="22" t="n">
        <x:v>223.84</x:v>
      </x:c>
      <x:c r="V32" s="19" t="str">
        <x:v>INVALIDATION</x:v>
      </x:c>
      <x:c r="W32" s="23" t="n">
        <x:f>IF(OR(M32="",P32=""),"",P32/M32-1)</x:f>
        <x:v>-0.006323257248611935</x:v>
      </x:c>
      <x:c r="X32" s="23" t="n">
        <x:f>IF(OR(M32="",Q32=""),"",Q32/M32-1)</x:f>
        <x:v>-0.005816515378514131</x:v>
      </x:c>
      <x:c r="Y32" s="23" t="n">
        <x:f>IF(OR(M32="",R32=""),"",R32/M32-1)</x:f>
        <x:v>-0.009760289063188488</x:v>
      </x:c>
      <x:c r="Z32" s="23" t="n">
        <x:f>IF(OR(M32="",S32=""),"",S32/M32-1)</x:f>
        <x:v>-0.03278399576980695</x:v>
      </x:c>
      <x:c r="AA32" s="23" t="n">
        <x:f>IF(OR(M32="",T32=""),"",T32/M32-1)</x:f>
        <x:v>0.004758967127875158</x:v>
      </x:c>
      <x:c r="AB32" s="23" t="n">
        <x:f>IF(OR(M32="",U32=""),"",U32/M32-1)</x:f>
        <x:v>-0.01365999823741959</x:v>
      </x:c>
      <x:c r="AC32" s="22" t="n">
        <x:f>IF(V32="TARGET",O32,IF(OR(V32="INVALIDATION",V32="AMBIGUOUS"),N32,IF(R32&lt;&gt;"",R32,S32)))</x:f>
        <x:v>226.07</x:v>
      </x:c>
      <x:c r="AD32" s="19" t="str">
        <x:f>IF(V32="TARGET","TARGET",IF(V32="INVALIDATION","STOP",IF(V32="AMBIGUOUS","AMBIGUO→STOP",IF(R32&lt;&gt;"","60M","CIERRE"))))</x:f>
        <x:v>STOP</x:v>
      </x:c>
      <x:c r="AE32" s="23" t="n">
        <x:f>IF(OR(M32="",AC32=""),"",AC32/M32-1)</x:f>
        <x:v>-0.003833612408566167</x:v>
      </x:c>
      <x:c r="AF32" s="19" t="str">
        <x:f>IF(AE32="","SIN DATO",IF(AE32&gt;0,"GAIN",IF(AE32&lt;0,"LOSS","FLAT")))</x:f>
        <x:v>LOSS</x:v>
      </x:c>
      <x:c r="AG32" s="19" t="n">
        <x:f>IF(COUNTIFS($E$2:E32,E32,$I$2:I32,I32)=1,1,0)</x:f>
        <x:v>0</x:v>
      </x:c>
      <x:c r="AH32" s="19" t="n">
        <x:v>392</x:v>
      </x:c>
      <x:c r="AI32" s="19" t="str">
        <x:v>Alpaca SIP 1Min raw bars</x:v>
      </x:c>
      <x:c r="AJ32" s="24" t="str">
        <x:v>019fd2bb-5989-79cc-b569-4ad2362cc556</x:v>
      </x:c>
      <x:c r="AK32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support_b_wave_risk; patreon_context:SUPPORT_TEST</x:v>
      </x:c>
    </x:row>
    <x:row r="33">
      <x:c r="A33" s="19" t="n">
        <x:v>10502017</x:v>
      </x:c>
      <x:c r="B33" s="20" t="n">
        <x:v>46239</x:v>
      </x:c>
      <x:c r="C33" s="19" t="str">
        <x:v>13:21:00</x:v>
      </x:c>
      <x:c r="D33" s="19" t="str">
        <x:v>12:21:00</x:v>
      </x:c>
      <x:c r="E33" s="19" t="str">
        <x:v>L2</x:v>
      </x:c>
      <x:c r="F33" s="19" t="str">
        <x:v>AZUL</x:v>
      </x:c>
      <x:c r="G33" s="19" t="n">
        <x:v>2</x:v>
      </x:c>
      <x:c r="H33" s="24" t="str">
        <x:v>Alert Engine V2 replay</x:v>
      </x:c>
      <x:c r="I33" s="24" t="str">
        <x:v>GS</x:v>
      </x:c>
      <x:c r="J33" s="24" t="str">
        <x:v>ENTRY_CONFIRMED</x:v>
      </x:c>
      <x:c r="K33" s="24" t="str">
        <x:v>SWING+INTRADAY</x:v>
      </x:c>
      <x:c r="L33" s="21" t="n">
        <x:v>92.63</x:v>
      </x:c>
      <x:c r="M33" s="22" t="n">
        <x:v>1073.9</x:v>
      </x:c>
      <x:c r="N33" s="22" t="n">
        <x:v>1071.2153</x:v>
      </x:c>
      <x:c r="O33" s="22" t="n">
        <x:v>1077.9271</x:v>
      </x:c>
      <x:c r="P33" s="22" t="n">
        <x:v>1072.68</x:v>
      </x:c>
      <x:c r="Q33" s="22" t="n">
        <x:v>1074.85</x:v>
      </x:c>
      <x:c r="R33" s="22" t="n">
        <x:v>1074.71</x:v>
      </x:c>
      <x:c r="S33" s="22" t="n">
        <x:v>1060.38</x:v>
      </x:c>
      <x:c r="T33" s="22" t="n">
        <x:v>1076.33</x:v>
      </x:c>
      <x:c r="U33" s="22" t="n">
        <x:v>1071.0908</x:v>
      </x:c>
      <x:c r="V33" s="19" t="str">
        <x:v>INVALIDATION</x:v>
      </x:c>
      <x:c r="W33" s="23" t="n">
        <x:f>IF(OR(M33="",P33=""),"",P33/M33-1)</x:f>
        <x:v>-0.0011360461867958582</x:v>
      </x:c>
      <x:c r="X33" s="23" t="n">
        <x:f>IF(OR(M33="",Q33=""),"",Q33/M33-1)</x:f>
        <x:v>0.0008846261290620383</x:v>
      </x:c>
      <x:c r="Y33" s="23" t="n">
        <x:f>IF(OR(M33="",R33=""),"",R33/M33-1)</x:f>
        <x:v>0.0007542601732004606</x:v>
      </x:c>
      <x:c r="Z33" s="23" t="n">
        <x:f>IF(OR(M33="",S33=""),"",S33/M33-1)</x:f>
        <x:v>-0.012589626594655012</x:v>
      </x:c>
      <x:c r="AA33" s="23" t="n">
        <x:f>IF(OR(M33="",T33=""),"",T33/M33-1)</x:f>
        <x:v>0.0022627805196013817</x:v>
      </x:c>
      <x:c r="AB33" s="23" t="n">
        <x:f>IF(OR(M33="",U33=""),"",U33/M33-1)</x:f>
        <x:v>-0.002615886022907299</x:v>
      </x:c>
      <x:c r="AC33" s="22" t="n">
        <x:f>IF(V33="TARGET",O33,IF(OR(V33="INVALIDATION",V33="AMBIGUOUS"),N33,IF(R33&lt;&gt;"",R33,S33)))</x:f>
        <x:v>1071.2153</x:v>
      </x:c>
      <x:c r="AD33" s="19" t="str">
        <x:f>IF(V33="TARGET","TARGET",IF(V33="INVALIDATION","STOP",IF(V33="AMBIGUOUS","AMBIGUO→STOP",IF(R33&lt;&gt;"","60M","CIERRE"))))</x:f>
        <x:v>STOP</x:v>
      </x:c>
      <x:c r="AE33" s="23" t="n">
        <x:f>IF(OR(M33="",AC33=""),"",AC33/M33-1)</x:f>
        <x:v>-0.0024999534407300628</x:v>
      </x:c>
      <x:c r="AF33" s="19" t="str">
        <x:f>IF(AE33="","SIN DATO",IF(AE33&gt;0,"GAIN",IF(AE33&lt;0,"LOSS","FLAT")))</x:f>
        <x:v>LOSS</x:v>
      </x:c>
      <x:c r="AG33" s="19" t="n">
        <x:f>IF(COUNTIFS($E$2:E33,E33,$I$2:I33,I33)=1,1,0)</x:f>
        <x:v>0</x:v>
      </x:c>
      <x:c r="AH33" s="19" t="n">
        <x:v>391</x:v>
      </x:c>
      <x:c r="AI33" s="19" t="str">
        <x:v>Alpaca SIP 1Min raw bars</x:v>
      </x:c>
      <x:c r="AJ33" s="24" t="str">
        <x:v>019fd4f3-8833-7c70-aaa5-603d50da389e</x:v>
      </x:c>
      <x:c r="AK33" s="24" t="str">
        <x:v>entry_confirmed; swing:watch:93.00; intraday:favorable:100.00; dilution_analysis_unavailable</x:v>
      </x:c>
    </x:row>
    <x:row r="34">
      <x:c r="A34" s="19" t="n">
        <x:v>10503055</x:v>
      </x:c>
      <x:c r="B34" s="20" t="n">
        <x:v>46239</x:v>
      </x:c>
      <x:c r="C34" s="19" t="str">
        <x:v>13:22:00</x:v>
      </x:c>
      <x:c r="D34" s="19" t="str">
        <x:v>12:22:00</x:v>
      </x:c>
      <x:c r="E34" s="19" t="str">
        <x:v>L2</x:v>
      </x:c>
      <x:c r="F34" s="19" t="str">
        <x:v>AZUL</x:v>
      </x:c>
      <x:c r="G34" s="19" t="n">
        <x:v>2</x:v>
      </x:c>
      <x:c r="H34" s="24" t="str">
        <x:v>Alert Engine V2 replay</x:v>
      </x:c>
      <x:c r="I34" s="24" t="str">
        <x:v>ETHA</x:v>
      </x:c>
      <x:c r="J34" s="24" t="str">
        <x:v>ENTRY_CONFIRMED</x:v>
      </x:c>
      <x:c r="K34" s="24" t="str">
        <x:v>SWING+INTRADAY</x:v>
      </x:c>
      <x:c r="L34" s="21" t="n">
        <x:v>100</x:v>
      </x:c>
      <x:c r="M34" s="22" t="n">
        <x:v>14.2499</x:v>
      </x:c>
      <x:c r="N34" s="22" t="n">
        <x:v>14.2143</x:v>
      </x:c>
      <x:c r="O34" s="22" t="n">
        <x:v>14.3033</x:v>
      </x:c>
      <x:c r="P34" s="22" t="n">
        <x:v>14.28</x:v>
      </x:c>
      <x:c r="Q34" s="22" t="n">
        <x:v>14.245</x:v>
      </x:c>
      <x:c r="R34" s="22" t="n">
        <x:v>14.2669</x:v>
      </x:c>
      <x:c r="S34" s="22" t="n">
        <x:v>14.46</x:v>
      </x:c>
      <x:c r="T34" s="22" t="n">
        <x:v>14.32</x:v>
      </x:c>
      <x:c r="U34" s="22" t="n">
        <x:v>14.24</x:v>
      </x:c>
      <x:c r="V34" s="19" t="str">
        <x:v>TARGET</x:v>
      </x:c>
      <x:c r="W34" s="23" t="n">
        <x:f>IF(OR(M34="",P34=""),"",P34/M34-1)</x:f>
        <x:v>0.0021122955248809028</x:v>
      </x:c>
      <x:c r="X34" s="23" t="n">
        <x:f>IF(OR(M34="",Q34=""),"",Q34/M34-1)</x:f>
        <x:v>-0.00034386206218994797</x:v>
      </x:c>
      <x:c r="Y34" s="23" t="n">
        <x:f>IF(OR(M34="",R34=""),"",R34/M34-1)</x:f>
        <x:v>0.0011929908280057244</x:v>
      </x:c>
      <x:c r="Z34" s="23" t="n">
        <x:f>IF(OR(M34="",S34=""),"",S34/M34-1)</x:f>
        <x:v>0.014743963115530612</x:v>
      </x:c>
      <x:c r="AA34" s="23" t="n">
        <x:f>IF(OR(M34="",T34=""),"",T34/M34-1)</x:f>
        <x:v>0.004919332767247431</x:v>
      </x:c>
      <x:c r="AB34" s="23" t="n">
        <x:f>IF(OR(M34="",U34=""),"",U34/M34-1)</x:f>
        <x:v>-0.0006947417174857362</x:v>
      </x:c>
      <x:c r="AC34" s="22" t="n">
        <x:f>IF(V34="TARGET",O34,IF(OR(V34="INVALIDATION",V34="AMBIGUOUS"),N34,IF(R34&lt;&gt;"",R34,S34)))</x:f>
        <x:v>14.3033</x:v>
      </x:c>
      <x:c r="AD34" s="19" t="str">
        <x:f>IF(V34="TARGET","TARGET",IF(V34="INVALIDATION","STOP",IF(V34="AMBIGUOUS","AMBIGUO→STOP",IF(R34&lt;&gt;"","60M","CIERRE"))))</x:f>
        <x:v>TARGET</x:v>
      </x:c>
      <x:c r="AE34" s="23" t="n">
        <x:f>IF(OR(M34="",AC34=""),"",AC34/M34-1)</x:f>
        <x:v>0.003747394718559338</x:v>
      </x:c>
      <x:c r="AF34" s="19" t="str">
        <x:f>IF(AE34="","SIN DATO",IF(AE34&gt;0,"GAIN",IF(AE34&lt;0,"LOSS","FLAT")))</x:f>
        <x:v>GAIN</x:v>
      </x:c>
      <x:c r="AG34" s="19" t="n">
        <x:f>IF(COUNTIFS($E$2:E34,E34,$I$2:I34,I34)=1,1,0)</x:f>
        <x:v>0</x:v>
      </x:c>
      <x:c r="AH34" s="19" t="n">
        <x:v>392</x:v>
      </x:c>
      <x:c r="AI34" s="19" t="str">
        <x:v>Alpaca SIP 1Min raw bars</x:v>
      </x:c>
      <x:c r="AJ34" s="24" t="str">
        <x:v>019fd4f3-885c-7488-9cdb-98f8f95b59b0</x:v>
      </x:c>
      <x:c r="AK34" s="24" t="str">
        <x:v>entry_confirmed; swing:favorable:100.00; intraday:favorable:100.00; dilution_analysis_unavailable</x:v>
      </x:c>
    </x:row>
    <x:row r="35">
      <x:c r="A35" s="19" t="n">
        <x:v>10503058</x:v>
      </x:c>
      <x:c r="B35" s="20" t="n">
        <x:v>46239</x:v>
      </x:c>
      <x:c r="C35" s="19" t="str">
        <x:v>13:22:00</x:v>
      </x:c>
      <x:c r="D35" s="19" t="str">
        <x:v>12:22:00</x:v>
      </x:c>
      <x:c r="E35" s="19" t="str">
        <x:v>L4</x:v>
      </x:c>
      <x:c r="F35" s="19" t="str">
        <x:v>MAGENTA</x:v>
      </x:c>
      <x:c r="G35" s="19" t="n">
        <x:v>3</x:v>
      </x:c>
      <x:c r="H35" s="24" t="str">
        <x:v>Signal Fusion</x:v>
      </x:c>
      <x:c r="I35" s="24" t="str">
        <x:v>ETHA</x:v>
      </x:c>
      <x:c r="J35" s="24" t="str">
        <x:v>RECOVERY_CONFIRMED</x:v>
      </x:c>
      <x:c r="K35" s="24" t="str"/>
      <x:c r="L35" s="21" t="n">
        <x:v>60</x:v>
      </x:c>
      <x:c r="M35" s="22" t="n">
        <x:v>14.2499</x:v>
      </x:c>
      <x:c r="N35" s="22" t="n">
        <x:v>14.2143</x:v>
      </x:c>
      <x:c r="O35" s="22" t="n">
        <x:v>14.7334</x:v>
      </x:c>
      <x:c r="P35" s="22" t="n">
        <x:v>14.28</x:v>
      </x:c>
      <x:c r="Q35" s="22" t="n">
        <x:v>14.245</x:v>
      </x:c>
      <x:c r="R35" s="22" t="n">
        <x:v>14.2669</x:v>
      </x:c>
      <x:c r="S35" s="22" t="n">
        <x:v>14.46</x:v>
      </x:c>
      <x:c r="T35" s="22" t="n">
        <x:v>14.32</x:v>
      </x:c>
      <x:c r="U35" s="22" t="n">
        <x:v>14.24</x:v>
      </x:c>
      <x:c r="V35" s="19"/>
      <x:c r="W35" s="23" t="n">
        <x:f>IF(OR(M35="",P35=""),"",P35/M35-1)</x:f>
        <x:v>0.0021122955248809028</x:v>
      </x:c>
      <x:c r="X35" s="23" t="n">
        <x:f>IF(OR(M35="",Q35=""),"",Q35/M35-1)</x:f>
        <x:v>-0.00034386206218994797</x:v>
      </x:c>
      <x:c r="Y35" s="23" t="n">
        <x:f>IF(OR(M35="",R35=""),"",R35/M35-1)</x:f>
        <x:v>0.0011929908280057244</x:v>
      </x:c>
      <x:c r="Z35" s="23" t="n">
        <x:f>IF(OR(M35="",S35=""),"",S35/M35-1)</x:f>
        <x:v>0.014743963115530612</x:v>
      </x:c>
      <x:c r="AA35" s="23" t="n">
        <x:f>IF(OR(M35="",T35=""),"",T35/M35-1)</x:f>
        <x:v>0.004919332767247431</x:v>
      </x:c>
      <x:c r="AB35" s="23" t="n">
        <x:f>IF(OR(M35="",U35=""),"",U35/M35-1)</x:f>
        <x:v>-0.0006947417174857362</x:v>
      </x:c>
      <x:c r="AC35" s="22" t="n">
        <x:f>IF(V35="TARGET",O35,IF(OR(V35="INVALIDATION",V35="AMBIGUOUS"),N35,IF(R35&lt;&gt;"",R35,S35)))</x:f>
        <x:v>14.2669</x:v>
      </x:c>
      <x:c r="AD35" s="19" t="str">
        <x:f>IF(V35="TARGET","TARGET",IF(V35="INVALIDATION","STOP",IF(V35="AMBIGUOUS","AMBIGUO→STOP",IF(R35&lt;&gt;"","60M","CIERRE"))))</x:f>
        <x:v>60M</x:v>
      </x:c>
      <x:c r="AE35" s="23" t="n">
        <x:f>IF(OR(M35="",AC35=""),"",AC35/M35-1)</x:f>
        <x:v>0.0011929908280057244</x:v>
      </x:c>
      <x:c r="AF35" s="19" t="str">
        <x:f>IF(AE35="","SIN DATO",IF(AE35&gt;0,"GAIN",IF(AE35&lt;0,"LOSS","FLAT")))</x:f>
        <x:v>GAIN</x:v>
      </x:c>
      <x:c r="AG35" s="19" t="n">
        <x:f>IF(COUNTIFS($E$2:E35,E35,$I$2:I35,I35)=1,1,0)</x:f>
        <x:v>1</x:v>
      </x:c>
      <x:c r="AH35" s="19" t="n">
        <x:v>392</x:v>
      </x:c>
      <x:c r="AI35" s="19" t="str">
        <x:v>Alpaca SIP 1Min raw bars</x:v>
      </x:c>
      <x:c r="AJ35" s="24" t="str">
        <x:v>019fd2bc-4610-7a6c-a3f8-800641573c93</x:v>
      </x:c>
      <x:c r="AK35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</x:v>
      </x:c>
    </x:row>
    <x:row r="36">
      <x:c r="A36" s="19" t="n">
        <x:v>10509076</x:v>
      </x:c>
      <x:c r="B36" s="20" t="n">
        <x:v>46239</x:v>
      </x:c>
      <x:c r="C36" s="19" t="str">
        <x:v>13:27:00</x:v>
      </x:c>
      <x:c r="D36" s="19" t="str">
        <x:v>12:27:00</x:v>
      </x:c>
      <x:c r="E36" s="19" t="str">
        <x:v>L4</x:v>
      </x:c>
      <x:c r="F36" s="19" t="str">
        <x:v>MAGENTA</x:v>
      </x:c>
      <x:c r="G36" s="19" t="n">
        <x:v>3</x:v>
      </x:c>
      <x:c r="H36" s="24" t="str">
        <x:v>Signal Fusion</x:v>
      </x:c>
      <x:c r="I36" s="24" t="str">
        <x:v>ETHA</x:v>
      </x:c>
      <x:c r="J36" s="24" t="str">
        <x:v>RECOVERY_CONFIRMED</x:v>
      </x:c>
      <x:c r="K36" s="24" t="str"/>
      <x:c r="L36" s="21" t="n">
        <x:v>60</x:v>
      </x:c>
      <x:c r="M36" s="22" t="n">
        <x:v>14.3</x:v>
      </x:c>
      <x:c r="N36" s="22" t="n">
        <x:v>14.2643</x:v>
      </x:c>
      <x:c r="O36" s="22" t="n">
        <x:v>14.7308</x:v>
      </x:c>
      <x:c r="P36" s="22" t="n">
        <x:v>14.28</x:v>
      </x:c>
      <x:c r="Q36" s="22" t="n">
        <x:v>14.285</x:v>
      </x:c>
      <x:c r="R36" s="22" t="n">
        <x:v>14.28</x:v>
      </x:c>
      <x:c r="S36" s="22" t="n">
        <x:v>14.46</x:v>
      </x:c>
      <x:c r="T36" s="22" t="n">
        <x:v>14.32</x:v>
      </x:c>
      <x:c r="U36" s="22" t="n">
        <x:v>14.245</x:v>
      </x:c>
      <x:c r="V36" s="19" t="str">
        <x:v>INVALIDATION</x:v>
      </x:c>
      <x:c r="W36" s="23" t="n">
        <x:f>IF(OR(M36="",P36=""),"",P36/M36-1)</x:f>
        <x:v>-0.0013986013986014845</x:v>
      </x:c>
      <x:c r="X36" s="23" t="n">
        <x:f>IF(OR(M36="",Q36=""),"",Q36/M36-1)</x:f>
        <x:v>-0.0010489510489510856</x:v>
      </x:c>
      <x:c r="Y36" s="23" t="n">
        <x:f>IF(OR(M36="",R36=""),"",R36/M36-1)</x:f>
        <x:v>-0.0013986013986014845</x:v>
      </x:c>
      <x:c r="Z36" s="23" t="n">
        <x:f>IF(OR(M36="",S36=""),"",S36/M36-1)</x:f>
        <x:v>0.01118881118881121</x:v>
      </x:c>
      <x:c r="AA36" s="23" t="n">
        <x:f>IF(OR(M36="",T36=""),"",T36/M36-1)</x:f>
        <x:v>0.0013986013986013734</x:v>
      </x:c>
      <x:c r="AB36" s="23" t="n">
        <x:f>IF(OR(M36="",U36=""),"",U36/M36-1)</x:f>
        <x:v>-0.0038461538461539435</x:v>
      </x:c>
      <x:c r="AC36" s="22" t="n">
        <x:f>IF(V36="TARGET",O36,IF(OR(V36="INVALIDATION",V36="AMBIGUOUS"),N36,IF(R36&lt;&gt;"",R36,S36)))</x:f>
        <x:v>14.2643</x:v>
      </x:c>
      <x:c r="AD36" s="19" t="str">
        <x:f>IF(V36="TARGET","TARGET",IF(V36="INVALIDATION","STOP",IF(V36="AMBIGUOUS","AMBIGUO→STOP",IF(R36&lt;&gt;"","60M","CIERRE"))))</x:f>
        <x:v>STOP</x:v>
      </x:c>
      <x:c r="AE36" s="23" t="n">
        <x:f>IF(OR(M36="",AC36=""),"",AC36/M36-1)</x:f>
        <x:v>-0.0024965034965035438</x:v>
      </x:c>
      <x:c r="AF36" s="19" t="str">
        <x:f>IF(AE36="","SIN DATO",IF(AE36&gt;0,"GAIN",IF(AE36&lt;0,"LOSS","FLAT")))</x:f>
        <x:v>LOSS</x:v>
      </x:c>
      <x:c r="AG36" s="19" t="n">
        <x:f>IF(COUNTIFS($E$2:E36,E36,$I$2:I36,I36)=1,1,0)</x:f>
        <x:v>0</x:v>
      </x:c>
      <x:c r="AH36" s="19" t="n">
        <x:v>392</x:v>
      </x:c>
      <x:c r="AI36" s="19" t="str">
        <x:v>Alpaca SIP 1Min raw bars</x:v>
      </x:c>
      <x:c r="AJ36" s="24" t="str">
        <x:v>019fd2c0-dadc-70eb-aac6-1c3b1f1c5ceb</x:v>
      </x:c>
      <x:c r="AK36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</x:v>
      </x:c>
    </x:row>
    <x:row r="37">
      <x:c r="A37" s="19" t="n">
        <x:v>10511231</x:v>
      </x:c>
      <x:c r="B37" s="20" t="n">
        <x:v>46239</x:v>
      </x:c>
      <x:c r="C37" s="19" t="str">
        <x:v>13:29:00</x:v>
      </x:c>
      <x:c r="D37" s="19" t="str">
        <x:v>12:29:00</x:v>
      </x:c>
      <x:c r="E37" s="19" t="str">
        <x:v>L4</x:v>
      </x:c>
      <x:c r="F37" s="19" t="str">
        <x:v>MAGENTA</x:v>
      </x:c>
      <x:c r="G37" s="19" t="n">
        <x:v>3</x:v>
      </x:c>
      <x:c r="H37" s="24" t="str">
        <x:v>Signal Fusion</x:v>
      </x:c>
      <x:c r="I37" s="24" t="str">
        <x:v>NBIS</x:v>
      </x:c>
      <x:c r="J37" s="24" t="str">
        <x:v>RECOVERY_CONFIRMED</x:v>
      </x:c>
      <x:c r="K37" s="24" t="str"/>
      <x:c r="L37" s="21" t="n">
        <x:v>50</x:v>
      </x:c>
      <x:c r="M37" s="22" t="n">
        <x:v>227.92</x:v>
      </x:c>
      <x:c r="N37" s="22" t="n">
        <x:v>227.3502</x:v>
      </x:c>
      <x:c r="O37" s="22" t="n">
        <x:v>231.4426</x:v>
      </x:c>
      <x:c r="P37" s="22" t="n">
        <x:v>224.6</x:v>
      </x:c>
      <x:c r="Q37" s="22" t="n">
        <x:v>225.6</x:v>
      </x:c>
      <x:c r="R37" s="22" t="n">
        <x:v>224.2</x:v>
      </x:c>
      <x:c r="S37" s="22" t="n">
        <x:v>219.5</x:v>
      </x:c>
      <x:c r="T37" s="22" t="n">
        <x:v>228.02</x:v>
      </x:c>
      <x:c r="U37" s="22" t="n">
        <x:v>223.84</x:v>
      </x:c>
      <x:c r="V37" s="19" t="str">
        <x:v>INVALIDATION</x:v>
      </x:c>
      <x:c r="W37" s="23" t="n">
        <x:f>IF(OR(M37="",P37=""),"",P37/M37-1)</x:f>
        <x:v>-0.014566514566514588</x:v>
      </x:c>
      <x:c r="X37" s="23" t="n">
        <x:f>IF(OR(M37="",Q37=""),"",Q37/M37-1)</x:f>
        <x:v>-0.010179010179010128</x:v>
      </x:c>
      <x:c r="Y37" s="23" t="n">
        <x:f>IF(OR(M37="",R37=""),"",R37/M37-1)</x:f>
        <x:v>-0.01632151632151635</x:v>
      </x:c>
      <x:c r="Z37" s="23" t="n">
        <x:f>IF(OR(M37="",S37=""),"",S37/M37-1)</x:f>
        <x:v>-0.036942786942786854</x:v>
      </x:c>
      <x:c r="AA37" s="23" t="n">
        <x:f>IF(OR(M37="",T37=""),"",T37/M37-1)</x:f>
        <x:v>0.0004387504387506347</x:v>
      </x:c>
      <x:c r="AB37" s="23" t="n">
        <x:f>IF(OR(M37="",U37=""),"",U37/M37-1)</x:f>
        <x:v>-0.017901017901017835</x:v>
      </x:c>
      <x:c r="AC37" s="22" t="n">
        <x:f>IF(V37="TARGET",O37,IF(OR(V37="INVALIDATION",V37="AMBIGUOUS"),N37,IF(R37&lt;&gt;"",R37,S37)))</x:f>
        <x:v>227.3502</x:v>
      </x:c>
      <x:c r="AD37" s="19" t="str">
        <x:f>IF(V37="TARGET","TARGET",IF(V37="INVALIDATION","STOP",IF(V37="AMBIGUOUS","AMBIGUO→STOP",IF(R37&lt;&gt;"","60M","CIERRE"))))</x:f>
        <x:v>STOP</x:v>
      </x:c>
      <x:c r="AE37" s="23" t="n">
        <x:f>IF(OR(M37="",AC37=""),"",AC37/M37-1)</x:f>
        <x:v>-0.0024999999999999467</x:v>
      </x:c>
      <x:c r="AF37" s="19" t="str">
        <x:f>IF(AE37="","SIN DATO",IF(AE37&gt;0,"GAIN",IF(AE37&lt;0,"LOSS","FLAT")))</x:f>
        <x:v>LOSS</x:v>
      </x:c>
      <x:c r="AG37" s="19" t="n">
        <x:f>IF(COUNTIFS($E$2:E37,E37,$I$2:I37,I37)=1,1,0)</x:f>
        <x:v>0</x:v>
      </x:c>
      <x:c r="AH37" s="19" t="n">
        <x:v>392</x:v>
      </x:c>
      <x:c r="AI37" s="19" t="str">
        <x:v>Alpaca SIP 1Min raw bars</x:v>
      </x:c>
      <x:c r="AJ37" s="24" t="str">
        <x:v>019fd2c2-ad97-7aea-8d71-09aade405a27</x:v>
      </x:c>
      <x:c r="AK37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support_b_wave_risk; patreon_context:SUPPORT_TEST</x:v>
      </x:c>
    </x:row>
    <x:row r="38">
      <x:c r="A38" s="19" t="n">
        <x:v>10514651</x:v>
      </x:c>
      <x:c r="B38" s="20" t="n">
        <x:v>46239</x:v>
      </x:c>
      <x:c r="C38" s="19" t="str">
        <x:v>13:32:00</x:v>
      </x:c>
      <x:c r="D38" s="19" t="str">
        <x:v>12:32:00</x:v>
      </x:c>
      <x:c r="E38" s="19" t="str">
        <x:v>L2</x:v>
      </x:c>
      <x:c r="F38" s="19" t="str">
        <x:v>AZUL</x:v>
      </x:c>
      <x:c r="G38" s="19" t="n">
        <x:v>2</x:v>
      </x:c>
      <x:c r="H38" s="24" t="str">
        <x:v>Alert Engine V2 replay</x:v>
      </x:c>
      <x:c r="I38" s="24" t="str">
        <x:v>SCHW</x:v>
      </x:c>
      <x:c r="J38" s="24" t="str">
        <x:v>ENTRY_CONFIRMED</x:v>
      </x:c>
      <x:c r="K38" s="24" t="str">
        <x:v>SWING+INTRADAY</x:v>
      </x:c>
      <x:c r="L38" s="21" t="n">
        <x:v>100</x:v>
      </x:c>
      <x:c r="M38" s="22" t="n">
        <x:v>108.44</x:v>
      </x:c>
      <x:c r="N38" s="22" t="n">
        <x:v>108.1689</x:v>
      </x:c>
      <x:c r="O38" s="22" t="n">
        <x:v>108.8467</x:v>
      </x:c>
      <x:c r="P38" s="22" t="n">
        <x:v>108.38</x:v>
      </x:c>
      <x:c r="Q38" s="22" t="n">
        <x:v>108.02</x:v>
      </x:c>
      <x:c r="R38" s="22" t="n">
        <x:v>108.21</x:v>
      </x:c>
      <x:c r="S38" s="22" t="n">
        <x:v>108.02</x:v>
      </x:c>
      <x:c r="T38" s="22" t="n">
        <x:v>108.49</x:v>
      </x:c>
      <x:c r="U38" s="22" t="n">
        <x:v>108.02</x:v>
      </x:c>
      <x:c r="V38" s="19" t="str">
        <x:v>INVALIDATION</x:v>
      </x:c>
      <x:c r="W38" s="23" t="n">
        <x:f>IF(OR(M38="",P38=""),"",P38/M38-1)</x:f>
        <x:v>-0.0005533013648100216</x:v>
      </x:c>
      <x:c r="X38" s="23" t="n">
        <x:f>IF(OR(M38="",Q38=""),"",Q38/M38-1)</x:f>
        <x:v>-0.003873109553670262</x:v>
      </x:c>
      <x:c r="Y38" s="23" t="n">
        <x:f>IF(OR(M38="",R38=""),"",R38/M38-1)</x:f>
        <x:v>-0.0021209885651051197</x:v>
      </x:c>
      <x:c r="Z38" s="23" t="n">
        <x:f>IF(OR(M38="",S38=""),"",S38/M38-1)</x:f>
        <x:v>-0.003873109553670262</x:v>
      </x:c>
      <x:c r="AA38" s="23" t="n">
        <x:f>IF(OR(M38="",T38=""),"",T38/M38-1)</x:f>
        <x:v>0.00046108447067494396</x:v>
      </x:c>
      <x:c r="AB38" s="23" t="n">
        <x:f>IF(OR(M38="",U38=""),"",U38/M38-1)</x:f>
        <x:v>-0.003873109553670262</x:v>
      </x:c>
      <x:c r="AC38" s="22" t="n">
        <x:f>IF(V38="TARGET",O38,IF(OR(V38="INVALIDATION",V38="AMBIGUOUS"),N38,IF(R38&lt;&gt;"",R38,S38)))</x:f>
        <x:v>108.1689</x:v>
      </x:c>
      <x:c r="AD38" s="19" t="str">
        <x:f>IF(V38="TARGET","TARGET",IF(V38="INVALIDATION","STOP",IF(V38="AMBIGUOUS","AMBIGUO→STOP",IF(R38&lt;&gt;"","60M","CIERRE"))))</x:f>
        <x:v>STOP</x:v>
      </x:c>
      <x:c r="AE38" s="23" t="n">
        <x:f>IF(OR(M38="",AC38=""),"",AC38/M38-1)</x:f>
        <x:v>-0.0025000000000000577</x:v>
      </x:c>
      <x:c r="AF38" s="19" t="str">
        <x:f>IF(AE38="","SIN DATO",IF(AE38&gt;0,"GAIN",IF(AE38&lt;0,"LOSS","FLAT")))</x:f>
        <x:v>LOSS</x:v>
      </x:c>
      <x:c r="AG38" s="19" t="n">
        <x:f>IF(COUNTIFS($E$2:E38,E38,$I$2:I38,I38)=1,1,0)</x:f>
        <x:v>0</x:v>
      </x:c>
      <x:c r="AH38" s="19" t="n">
        <x:v>391</x:v>
      </x:c>
      <x:c r="AI38" s="19" t="str">
        <x:v>Alpaca SIP 1Min raw bars</x:v>
      </x:c>
      <x:c r="AJ38" s="24" t="str">
        <x:v>019fd4f3-8a26-7d20-8dfd-e542dd5ba454</x:v>
      </x:c>
      <x:c r="AK38" s="24" t="str">
        <x:v>entry_confirmed; swing:favorable:100.00; intraday:favorable:100.00; dilution_analysis_unavailable</x:v>
      </x:c>
    </x:row>
    <x:row r="39">
      <x:c r="A39" s="19" t="n">
        <x:v>10527019</x:v>
      </x:c>
      <x:c r="B39" s="20" t="n">
        <x:v>46239</x:v>
      </x:c>
      <x:c r="C39" s="19" t="str">
        <x:v>13:42:00</x:v>
      </x:c>
      <x:c r="D39" s="19" t="str">
        <x:v>12:42:00</x:v>
      </x:c>
      <x:c r="E39" s="19" t="str">
        <x:v>L2</x:v>
      </x:c>
      <x:c r="F39" s="19" t="str">
        <x:v>AZUL</x:v>
      </x:c>
      <x:c r="G39" s="19" t="n">
        <x:v>2</x:v>
      </x:c>
      <x:c r="H39" s="24" t="str">
        <x:v>Alert Engine V2 replay</x:v>
      </x:c>
      <x:c r="I39" s="24" t="str">
        <x:v>BA</x:v>
      </x:c>
      <x:c r="J39" s="24" t="str">
        <x:v>ENTRY_CONFIRMED</x:v>
      </x:c>
      <x:c r="K39" s="24" t="str">
        <x:v>SWING+INTRADAY</x:v>
      </x:c>
      <x:c r="L39" s="21" t="n">
        <x:v>83.94</x:v>
      </x:c>
      <x:c r="M39" s="22" t="n">
        <x:v>239.0325</x:v>
      </x:c>
      <x:c r="N39" s="22" t="n">
        <x:v>238.4349</x:v>
      </x:c>
      <x:c r="O39" s="22" t="n">
        <x:v>239.9289</x:v>
      </x:c>
      <x:c r="P39" s="22" t="n">
        <x:v>239.375</x:v>
      </x:c>
      <x:c r="Q39" s="22" t="n">
        <x:v>239.4001</x:v>
      </x:c>
      <x:c r="R39" s="22" t="n">
        <x:v>239.98</x:v>
      </x:c>
      <x:c r="S39" s="22" t="n">
        <x:v>240.19</x:v>
      </x:c>
      <x:c r="T39" s="22" t="n">
        <x:v>240.18</x:v>
      </x:c>
      <x:c r="U39" s="22" t="n">
        <x:v>238.985</x:v>
      </x:c>
      <x:c r="V39" s="19" t="str">
        <x:v>TARGET</x:v>
      </x:c>
      <x:c r="W39" s="23" t="n">
        <x:f>IF(OR(M39="",P39=""),"",P39/M39-1)</x:f>
        <x:v>0.0014328595483876772</x:v>
      </x:c>
      <x:c r="X39" s="23" t="n">
        <x:f>IF(OR(M39="",Q39=""),"",Q39/M39-1)</x:f>
        <x:v>0.0015378661897440526</x:v>
      </x:c>
      <x:c r="Y39" s="23" t="n">
        <x:f>IF(OR(M39="",R39=""),"",R39/M39-1)</x:f>
        <x:v>0.003963896122912036</x:v>
      </x:c>
      <x:c r="Z39" s="23" t="n">
        <x:f>IF(OR(M39="",S39=""),"",S39/M39-1)</x:f>
        <x:v>0.004842437743821426</x:v>
      </x:c>
      <x:c r="AA39" s="23" t="n">
        <x:f>IF(OR(M39="",T39=""),"",T39/M39-1)</x:f>
        <x:v>0.0048006024285400795</x:v>
      </x:c>
      <x:c r="AB39" s="23" t="n">
        <x:f>IF(OR(M39="",U39=""),"",U39/M39-1)</x:f>
        <x:v>-0.00019871774758661864</x:v>
      </x:c>
      <x:c r="AC39" s="22" t="n">
        <x:f>IF(V39="TARGET",O39,IF(OR(V39="INVALIDATION",V39="AMBIGUOUS"),N39,IF(R39&lt;&gt;"",R39,S39)))</x:f>
        <x:v>239.9289</x:v>
      </x:c>
      <x:c r="AD39" s="19" t="str">
        <x:f>IF(V39="TARGET","TARGET",IF(V39="INVALIDATION","STOP",IF(V39="AMBIGUOUS","AMBIGUO→STOP",IF(R39&lt;&gt;"","60M","CIERRE"))))</x:f>
        <x:v>TARGET</x:v>
      </x:c>
      <x:c r="AE39" s="23" t="n">
        <x:f>IF(OR(M39="",AC39=""),"",AC39/M39-1)</x:f>
        <x:v>0.003750117661824204</x:v>
      </x:c>
      <x:c r="AF39" s="19" t="str">
        <x:f>IF(AE39="","SIN DATO",IF(AE39&gt;0,"GAIN",IF(AE39&lt;0,"LOSS","FLAT")))</x:f>
        <x:v>GAIN</x:v>
      </x:c>
      <x:c r="AG39" s="19" t="n">
        <x:f>IF(COUNTIFS($E$2:E39,E39,$I$2:I39,I39)=1,1,0)</x:f>
        <x:v>1</x:v>
      </x:c>
      <x:c r="AH39" s="19" t="n">
        <x:v>391</x:v>
      </x:c>
      <x:c r="AI39" s="19" t="str">
        <x:v>Alpaca SIP 1Min raw bars</x:v>
      </x:c>
      <x:c r="AJ39" s="24" t="str">
        <x:v>019fd4f3-8c26-7145-9864-1569bc49be4e</x:v>
      </x:c>
      <x:c r="AK39" s="24" t="str">
        <x:v>entry_confirmed; swing:favorable:84.00; intraday:favorable:100.00; dilution_analysis_unavailable</x:v>
      </x:c>
    </x:row>
    <x:row r="40">
      <x:c r="A40" s="19" t="n">
        <x:v>10532747</x:v>
      </x:c>
      <x:c r="B40" s="20" t="n">
        <x:v>46239</x:v>
      </x:c>
      <x:c r="C40" s="19" t="str">
        <x:v>13:47:00</x:v>
      </x:c>
      <x:c r="D40" s="19" t="str">
        <x:v>12:47:00</x:v>
      </x:c>
      <x:c r="E40" s="19" t="str">
        <x:v>L2</x:v>
      </x:c>
      <x:c r="F40" s="19" t="str">
        <x:v>AZUL</x:v>
      </x:c>
      <x:c r="G40" s="19" t="n">
        <x:v>2</x:v>
      </x:c>
      <x:c r="H40" s="24" t="str">
        <x:v>Alert Engine V2 replay</x:v>
      </x:c>
      <x:c r="I40" s="24" t="str">
        <x:v>SHW</x:v>
      </x:c>
      <x:c r="J40" s="24" t="str">
        <x:v>ENTRY_CONFIRMED</x:v>
      </x:c>
      <x:c r="K40" s="24" t="str">
        <x:v>SWING+INTRADAY</x:v>
      </x:c>
      <x:c r="L40" s="21" t="n">
        <x:v>93.65</x:v>
      </x:c>
      <x:c r="M40" s="22" t="n">
        <x:v>366.26</x:v>
      </x:c>
      <x:c r="N40" s="22" t="n">
        <x:v>365.3444</x:v>
      </x:c>
      <x:c r="O40" s="22" t="n">
        <x:v>367.6335</x:v>
      </x:c>
      <x:c r="P40" s="22" t="n">
        <x:v>366.04</x:v>
      </x:c>
      <x:c r="Q40" s="22" t="n">
        <x:v>366.08</x:v>
      </x:c>
      <x:c r="R40" s="22" t="n">
        <x:v>366.79</x:v>
      </x:c>
      <x:c r="S40" s="22" t="n">
        <x:v>369.68</x:v>
      </x:c>
      <x:c r="T40" s="22" t="n">
        <x:v>367.18</x:v>
      </x:c>
      <x:c r="U40" s="22" t="n">
        <x:v>365.87</x:v>
      </x:c>
      <x:c r="V40" s="19"/>
      <x:c r="W40" s="23" t="n">
        <x:f>IF(OR(M40="",P40=""),"",P40/M40-1)</x:f>
        <x:v>-0.0006006661934144786</x:v>
      </x:c>
      <x:c r="X40" s="23" t="n">
        <x:f>IF(OR(M40="",Q40=""),"",Q40/M40-1)</x:f>
        <x:v>-0.0004914541582482501</x:v>
      </x:c>
      <x:c r="Y40" s="23" t="n">
        <x:f>IF(OR(M40="",R40=""),"",R40/M40-1)</x:f>
        <x:v>0.0014470594659532487</x:v>
      </x:c>
      <x:c r="Z40" s="23" t="n">
        <x:f>IF(OR(M40="",S40=""),"",S40/M40-1)</x:f>
        <x:v>0.009337629006716641</x:v>
      </x:c>
      <x:c r="AA40" s="23" t="n">
        <x:f>IF(OR(M40="",T40=""),"",T40/M40-1)</x:f>
        <x:v>0.002511876808824365</x:v>
      </x:c>
      <x:c r="AB40" s="23" t="n">
        <x:f>IF(OR(M40="",U40=""),"",U40/M40-1)</x:f>
        <x:v>-0.001064817342871116</x:v>
      </x:c>
      <x:c r="AC40" s="22" t="n">
        <x:f>IF(V40="TARGET",O40,IF(OR(V40="INVALIDATION",V40="AMBIGUOUS"),N40,IF(R40&lt;&gt;"",R40,S40)))</x:f>
        <x:v>366.79</x:v>
      </x:c>
      <x:c r="AD40" s="19" t="str">
        <x:f>IF(V40="TARGET","TARGET",IF(V40="INVALIDATION","STOP",IF(V40="AMBIGUOUS","AMBIGUO→STOP",IF(R40&lt;&gt;"","60M","CIERRE"))))</x:f>
        <x:v>60M</x:v>
      </x:c>
      <x:c r="AE40" s="23" t="n">
        <x:f>IF(OR(M40="",AC40=""),"",AC40/M40-1)</x:f>
        <x:v>0.0014470594659532487</x:v>
      </x:c>
      <x:c r="AF40" s="19" t="str">
        <x:f>IF(AE40="","SIN DATO",IF(AE40&gt;0,"GAIN",IF(AE40&lt;0,"LOSS","FLAT")))</x:f>
        <x:v>GAIN</x:v>
      </x:c>
      <x:c r="AG40" s="19" t="n">
        <x:f>IF(COUNTIFS($E$2:E40,E40,$I$2:I40,I40)=1,1,0)</x:f>
        <x:v>1</x:v>
      </x:c>
      <x:c r="AH40" s="19" t="n">
        <x:v>388</x:v>
      </x:c>
      <x:c r="AI40" s="19" t="str">
        <x:v>Alpaca SIP 1Min raw bars</x:v>
      </x:c>
      <x:c r="AJ40" s="24" t="str">
        <x:v>019fd4f3-8d13-754d-81da-c49a3a736964</x:v>
      </x:c>
      <x:c r="AK40" s="24" t="str">
        <x:v>entry_confirmed; swing:favorable:94.00; intraday:favorable:100.00; dilution_analysis_unavailable</x:v>
      </x:c>
    </x:row>
    <x:row r="41">
      <x:c r="A41" s="19" t="n">
        <x:v>10542417</x:v>
      </x:c>
      <x:c r="B41" s="20" t="n">
        <x:v>46239</x:v>
      </x:c>
      <x:c r="C41" s="19" t="str">
        <x:v>13:55:00</x:v>
      </x:c>
      <x:c r="D41" s="19" t="str">
        <x:v>12:55:00</x:v>
      </x:c>
      <x:c r="E41" s="19" t="str">
        <x:v>L2</x:v>
      </x:c>
      <x:c r="F41" s="19" t="str">
        <x:v>AZUL</x:v>
      </x:c>
      <x:c r="G41" s="19" t="n">
        <x:v>2</x:v>
      </x:c>
      <x:c r="H41" s="24" t="str">
        <x:v>Alert Engine V2 replay</x:v>
      </x:c>
      <x:c r="I41" s="24" t="str">
        <x:v>NU</x:v>
      </x:c>
      <x:c r="J41" s="24" t="str">
        <x:v>ENTRY_CONFIRMED</x:v>
      </x:c>
      <x:c r="K41" s="24" t="str">
        <x:v>SWING+INTRADAY</x:v>
      </x:c>
      <x:c r="L41" s="21" t="n">
        <x:v>100</x:v>
      </x:c>
      <x:c r="M41" s="22" t="n">
        <x:v>14.485</x:v>
      </x:c>
      <x:c r="N41" s="22" t="n">
        <x:v>14.4488</x:v>
      </x:c>
      <x:c r="O41" s="22" t="n">
        <x:v>14.5393</x:v>
      </x:c>
      <x:c r="P41" s="22" t="n">
        <x:v>14.425</x:v>
      </x:c>
      <x:c r="Q41" s="22" t="n">
        <x:v>14.415</x:v>
      </x:c>
      <x:c r="R41" s="22" t="n">
        <x:v>14.535</x:v>
      </x:c>
      <x:c r="S41" s="22" t="n">
        <x:v>14.475</x:v>
      </x:c>
      <x:c r="T41" s="22" t="n">
        <x:v>14.56</x:v>
      </x:c>
      <x:c r="U41" s="22" t="n">
        <x:v>14.39</x:v>
      </x:c>
      <x:c r="V41" s="19" t="str">
        <x:v>INVALIDATION</x:v>
      </x:c>
      <x:c r="W41" s="23" t="n">
        <x:f>IF(OR(M41="",P41=""),"",P41/M41-1)</x:f>
        <x:v>-0.004142216085605721</x:v>
      </x:c>
      <x:c r="X41" s="23" t="n">
        <x:f>IF(OR(M41="",Q41=""),"",Q41/M41-1)</x:f>
        <x:v>-0.004832585433206749</x:v>
      </x:c>
      <x:c r="Y41" s="23" t="n">
        <x:f>IF(OR(M41="",R41=""),"",R41/M41-1)</x:f>
        <x:v>0.0034518467380049156</x:v>
      </x:c>
      <x:c r="Z41" s="23" t="n">
        <x:f>IF(OR(M41="",S41=""),"",S41/M41-1)</x:f>
        <x:v>-0.0006903693476009165</x:v>
      </x:c>
      <x:c r="AA41" s="23" t="n">
        <x:f>IF(OR(M41="",T41=""),"",T41/M41-1)</x:f>
        <x:v>0.005177770107007262</x:v>
      </x:c>
      <x:c r="AB41" s="23" t="n">
        <x:f>IF(OR(M41="",U41=""),"",U41/M41-1)</x:f>
        <x:v>-0.006558508802209095</x:v>
      </x:c>
      <x:c r="AC41" s="22" t="n">
        <x:f>IF(V41="TARGET",O41,IF(OR(V41="INVALIDATION",V41="AMBIGUOUS"),N41,IF(R41&lt;&gt;"",R41,S41)))</x:f>
        <x:v>14.4488</x:v>
      </x:c>
      <x:c r="AD41" s="19" t="str">
        <x:f>IF(V41="TARGET","TARGET",IF(V41="INVALIDATION","STOP",IF(V41="AMBIGUOUS","AMBIGUO→STOP",IF(R41&lt;&gt;"","60M","CIERRE"))))</x:f>
        <x:v>STOP</x:v>
      </x:c>
      <x:c r="AE41" s="23" t="n">
        <x:f>IF(OR(M41="",AC41=""),"",AC41/M41-1)</x:f>
        <x:v>-0.002499137038315391</x:v>
      </x:c>
      <x:c r="AF41" s="19" t="str">
        <x:f>IF(AE41="","SIN DATO",IF(AE41&gt;0,"GAIN",IF(AE41&lt;0,"LOSS","FLAT")))</x:f>
        <x:v>LOSS</x:v>
      </x:c>
      <x:c r="AG41" s="19" t="n">
        <x:f>IF(COUNTIFS($E$2:E41,E41,$I$2:I41,I41)=1,1,0)</x:f>
        <x:v>0</x:v>
      </x:c>
      <x:c r="AH41" s="19" t="n">
        <x:v>392</x:v>
      </x:c>
      <x:c r="AI41" s="19" t="str">
        <x:v>Alpaca SIP 1Min raw bars</x:v>
      </x:c>
      <x:c r="AJ41" s="24" t="str">
        <x:v>019fd4f3-8ea9-7c7d-81a8-612a2a2a7f38</x:v>
      </x:c>
      <x:c r="AK41" s="24" t="str">
        <x:v>entry_confirmed; swing:favorable:100.00; intraday:favorable:100.00; dilution_analysis_unavailable</x:v>
      </x:c>
    </x:row>
    <x:row r="42">
      <x:c r="A42" s="19" t="n">
        <x:v>10542959</x:v>
      </x:c>
      <x:c r="B42" s="20" t="n">
        <x:v>46239</x:v>
      </x:c>
      <x:c r="C42" s="19" t="str">
        <x:v>13:55:00</x:v>
      </x:c>
      <x:c r="D42" s="19" t="str">
        <x:v>12:55:00</x:v>
      </x:c>
      <x:c r="E42" s="19" t="str">
        <x:v>L1</x:v>
      </x:c>
      <x:c r="F42" s="19" t="str">
        <x:v>AMARILLO</x:v>
      </x:c>
      <x:c r="G42" s="19" t="n">
        <x:v>1</x:v>
      </x:c>
      <x:c r="H42" s="24" t="str">
        <x:v>Alert Engine V2 replay</x:v>
      </x:c>
      <x:c r="I42" s="24" t="str">
        <x:v>PM</x:v>
      </x:c>
      <x:c r="J42" s="24" t="str">
        <x:v>ENTRY_CONFIRMED</x:v>
      </x:c>
      <x:c r="K42" s="24" t="str">
        <x:v>LONG_TERM+INTRADAY</x:v>
      </x:c>
      <x:c r="L42" s="21" t="n">
        <x:v>93.95</x:v>
      </x:c>
      <x:c r="M42" s="22" t="n">
        <x:v>188.4895</x:v>
      </x:c>
      <x:c r="N42" s="22" t="n">
        <x:v>188.0183</x:v>
      </x:c>
      <x:c r="O42" s="22" t="n">
        <x:v>189.1963</x:v>
      </x:c>
      <x:c r="P42" s="22" t="n">
        <x:v>188.58</x:v>
      </x:c>
      <x:c r="Q42" s="22" t="n">
        <x:v>188.96</x:v>
      </x:c>
      <x:c r="R42" s="22" t="n">
        <x:v>189</x:v>
      </x:c>
      <x:c r="S42" s="22" t="n">
        <x:v>188.93</x:v>
      </x:c>
      <x:c r="T42" s="22" t="n">
        <x:v>189.2899</x:v>
      </x:c>
      <x:c r="U42" s="22" t="n">
        <x:v>188.23</x:v>
      </x:c>
      <x:c r="V42" s="19" t="str">
        <x:v>TARGET</x:v>
      </x:c>
      <x:c r="W42" s="23" t="n">
        <x:f>IF(OR(M42="",P42=""),"",P42/M42-1)</x:f>
        <x:v>0.0004801328455963372</x:v>
      </x:c>
      <x:c r="X42" s="23" t="n">
        <x:f>IF(OR(M42="",Q42=""),"",Q42/M42-1)</x:f>
        <x:v>0.002496160263569136</x:v>
      </x:c>
      <x:c r="Y42" s="23" t="n">
        <x:f>IF(OR(M42="",R42=""),"",R42/M42-1)</x:f>
        <x:v>0.002708373675987197</x:v>
      </x:c>
      <x:c r="Z42" s="23" t="n">
        <x:f>IF(OR(M42="",S42=""),"",S42/M42-1)</x:f>
        <x:v>0.002337000204255535</x:v>
      </x:c>
      <x:c r="AA42" s="23" t="n">
        <x:f>IF(OR(M42="",T42=""),"",T42/M42-1)</x:f>
        <x:v>0.0042463903824880855</x:v>
      </x:c>
      <x:c r="AB42" s="23" t="n">
        <x:f>IF(OR(M42="",U42=""),"",U42/M42-1)</x:f>
        <x:v>-0.0013767345130630826</x:v>
      </x:c>
      <x:c r="AC42" s="22" t="n">
        <x:f>IF(V42="TARGET",O42,IF(OR(V42="INVALIDATION",V42="AMBIGUOUS"),N42,IF(R42&lt;&gt;"",R42,S42)))</x:f>
        <x:v>189.1963</x:v>
      </x:c>
      <x:c r="AD42" s="19" t="str">
        <x:f>IF(V42="TARGET","TARGET",IF(V42="INVALIDATION","STOP",IF(V42="AMBIGUOUS","AMBIGUO→STOP",IF(R42&lt;&gt;"","60M","CIERRE"))))</x:f>
        <x:v>TARGET</x:v>
      </x:c>
      <x:c r="AE42" s="23" t="n">
        <x:f>IF(OR(M42="",AC42=""),"",AC42/M42-1)</x:f>
        <x:v>0.003749810997429659</x:v>
      </x:c>
      <x:c r="AF42" s="19" t="str">
        <x:f>IF(AE42="","SIN DATO",IF(AE42&gt;0,"GAIN",IF(AE42&lt;0,"LOSS","FLAT")))</x:f>
        <x:v>GAIN</x:v>
      </x:c>
      <x:c r="AG42" s="19" t="n">
        <x:f>IF(COUNTIFS($E$2:E42,E42,$I$2:I42,I42)=1,1,0)</x:f>
        <x:v>1</x:v>
      </x:c>
      <x:c r="AH42" s="19" t="n">
        <x:v>391</x:v>
      </x:c>
      <x:c r="AI42" s="19" t="str">
        <x:v>Alpaca SIP 1Min raw bars</x:v>
      </x:c>
      <x:c r="AJ42" s="24" t="str">
        <x:v>019fd4f3-8ec1-7a47-8040-4721f655f33c</x:v>
      </x:c>
      <x:c r="AK42" s="24" t="str">
        <x:v>entry_confirmed; long_term:favorable:93.75; intraday:favorable:100.00; dilution_analysis_unavailable</x:v>
      </x:c>
    </x:row>
    <x:row r="43">
      <x:c r="A43" s="19" t="n">
        <x:v>10550348</x:v>
      </x:c>
      <x:c r="B43" s="20" t="n">
        <x:v>46239</x:v>
      </x:c>
      <x:c r="C43" s="19" t="str">
        <x:v>14:01:00</x:v>
      </x:c>
      <x:c r="D43" s="19" t="str">
        <x:v>13:01:00</x:v>
      </x:c>
      <x:c r="E43" s="19" t="str">
        <x:v>L2</x:v>
      </x:c>
      <x:c r="F43" s="19" t="str">
        <x:v>AZUL</x:v>
      </x:c>
      <x:c r="G43" s="19" t="n">
        <x:v>2</x:v>
      </x:c>
      <x:c r="H43" s="24" t="str">
        <x:v>Alert Engine V2 replay</x:v>
      </x:c>
      <x:c r="I43" s="24" t="str">
        <x:v>ETHA</x:v>
      </x:c>
      <x:c r="J43" s="24" t="str">
        <x:v>ENTRY_CONFIRMED</x:v>
      </x:c>
      <x:c r="K43" s="24" t="str">
        <x:v>SWING+INTRADAY</x:v>
      </x:c>
      <x:c r="L43" s="21" t="n">
        <x:v>100</x:v>
      </x:c>
      <x:c r="M43" s="22" t="n">
        <x:v>14.3199</x:v>
      </x:c>
      <x:c r="N43" s="22" t="n">
        <x:v>14.2841</x:v>
      </x:c>
      <x:c r="O43" s="22" t="n">
        <x:v>14.3736</x:v>
      </x:c>
      <x:c r="P43" s="22" t="n">
        <x:v>14.28</x:v>
      </x:c>
      <x:c r="Q43" s="22" t="n">
        <x:v>14.28</x:v>
      </x:c>
      <x:c r="R43" s="22" t="n">
        <x:v>14.4538</x:v>
      </x:c>
      <x:c r="S43" s="22" t="n">
        <x:v>14.46</x:v>
      </x:c>
      <x:c r="T43" s="22" t="n">
        <x:v>14.475</x:v>
      </x:c>
      <x:c r="U43" s="22" t="n">
        <x:v>14.26</x:v>
      </x:c>
      <x:c r="V43" s="19" t="str">
        <x:v>INVALIDATION</x:v>
      </x:c>
      <x:c r="W43" s="23" t="n">
        <x:f>IF(OR(M43="",P43=""),"",P43/M43-1)</x:f>
        <x:v>-0.0027863323067899293</x:v>
      </x:c>
      <x:c r="X43" s="23" t="n">
        <x:f>IF(OR(M43="",Q43=""),"",Q43/M43-1)</x:f>
        <x:v>-0.0027863323067899293</x:v>
      </x:c>
      <x:c r="Y43" s="23" t="n">
        <x:f>IF(OR(M43="",R43=""),"",R43/M43-1)</x:f>
        <x:v>0.00935062395687103</x:v>
      </x:c>
      <x:c r="Z43" s="23" t="n">
        <x:f>IF(OR(M43="",S43=""),"",S43/M43-1)</x:f>
        <x:v>0.009783587874216959</x:v>
      </x:c>
      <x:c r="AA43" s="23" t="n">
        <x:f>IF(OR(M43="",T43=""),"",T43/M43-1)</x:f>
        <x:v>0.010831081222634209</x:v>
      </x:c>
      <x:c r="AB43" s="23" t="n">
        <x:f>IF(OR(M43="",U43=""),"",U43/M43-1)</x:f>
        <x:v>-0.004182990104679596</x:v>
      </x:c>
      <x:c r="AC43" s="22" t="n">
        <x:f>IF(V43="TARGET",O43,IF(OR(V43="INVALIDATION",V43="AMBIGUOUS"),N43,IF(R43&lt;&gt;"",R43,S43)))</x:f>
        <x:v>14.2841</x:v>
      </x:c>
      <x:c r="AD43" s="19" t="str">
        <x:f>IF(V43="TARGET","TARGET",IF(V43="INVALIDATION","STOP",IF(V43="AMBIGUOUS","AMBIGUO→STOP",IF(R43&lt;&gt;"","60M","CIERRE"))))</x:f>
        <x:v>STOP</x:v>
      </x:c>
      <x:c r="AE43" s="23" t="n">
        <x:f>IF(OR(M43="",AC43=""),"",AC43/M43-1)</x:f>
        <x:v>-0.002500017458222481</x:v>
      </x:c>
      <x:c r="AF43" s="19" t="str">
        <x:f>IF(AE43="","SIN DATO",IF(AE43&gt;0,"GAIN",IF(AE43&lt;0,"LOSS","FLAT")))</x:f>
        <x:v>LOSS</x:v>
      </x:c>
      <x:c r="AG43" s="19" t="n">
        <x:f>IF(COUNTIFS($E$2:E43,E43,$I$2:I43,I43)=1,1,0)</x:f>
        <x:v>0</x:v>
      </x:c>
      <x:c r="AH43" s="19" t="n">
        <x:v>392</x:v>
      </x:c>
      <x:c r="AI43" s="19" t="str">
        <x:v>Alpaca SIP 1Min raw bars</x:v>
      </x:c>
      <x:c r="AJ43" s="24" t="str">
        <x:v>019fd4f3-8fe6-7ea7-aa8f-936d36aeed4d</x:v>
      </x:c>
      <x:c r="AK43" s="24" t="str">
        <x:v>entry_confirmed; swing:favorable:100.00; intraday:favorable:100.00; dilution_analysis_unavailable</x:v>
      </x:c>
    </x:row>
    <x:row r="44">
      <x:c r="A44" s="19" t="n">
        <x:v>10550352</x:v>
      </x:c>
      <x:c r="B44" s="20" t="n">
        <x:v>46239</x:v>
      </x:c>
      <x:c r="C44" s="19" t="str">
        <x:v>14:01:00</x:v>
      </x:c>
      <x:c r="D44" s="19" t="str">
        <x:v>13:01:00</x:v>
      </x:c>
      <x:c r="E44" s="19" t="str">
        <x:v>L4</x:v>
      </x:c>
      <x:c r="F44" s="19" t="str">
        <x:v>MAGENTA</x:v>
      </x:c>
      <x:c r="G44" s="19" t="n">
        <x:v>3</x:v>
      </x:c>
      <x:c r="H44" s="24" t="str">
        <x:v>Signal Fusion</x:v>
      </x:c>
      <x:c r="I44" s="24" t="str">
        <x:v>ETHA</x:v>
      </x:c>
      <x:c r="J44" s="24" t="str">
        <x:v>RECOVERY_CONFIRMED</x:v>
      </x:c>
      <x:c r="K44" s="24" t="str"/>
      <x:c r="L44" s="21" t="n">
        <x:v>60</x:v>
      </x:c>
      <x:c r="M44" s="22" t="n">
        <x:v>14.3199</x:v>
      </x:c>
      <x:c r="N44" s="22" t="n">
        <x:v>14.2841</x:v>
      </x:c>
      <x:c r="O44" s="22" t="n">
        <x:v>14.7355</x:v>
      </x:c>
      <x:c r="P44" s="22" t="n">
        <x:v>14.28</x:v>
      </x:c>
      <x:c r="Q44" s="22" t="n">
        <x:v>14.28</x:v>
      </x:c>
      <x:c r="R44" s="22" t="n">
        <x:v>14.4538</x:v>
      </x:c>
      <x:c r="S44" s="22" t="n">
        <x:v>14.46</x:v>
      </x:c>
      <x:c r="T44" s="22" t="n">
        <x:v>14.475</x:v>
      </x:c>
      <x:c r="U44" s="22" t="n">
        <x:v>14.26</x:v>
      </x:c>
      <x:c r="V44" s="19" t="str">
        <x:v>INVALIDATION</x:v>
      </x:c>
      <x:c r="W44" s="23" t="n">
        <x:f>IF(OR(M44="",P44=""),"",P44/M44-1)</x:f>
        <x:v>-0.0027863323067899293</x:v>
      </x:c>
      <x:c r="X44" s="23" t="n">
        <x:f>IF(OR(M44="",Q44=""),"",Q44/M44-1)</x:f>
        <x:v>-0.0027863323067899293</x:v>
      </x:c>
      <x:c r="Y44" s="23" t="n">
        <x:f>IF(OR(M44="",R44=""),"",R44/M44-1)</x:f>
        <x:v>0.00935062395687103</x:v>
      </x:c>
      <x:c r="Z44" s="23" t="n">
        <x:f>IF(OR(M44="",S44=""),"",S44/M44-1)</x:f>
        <x:v>0.009783587874216959</x:v>
      </x:c>
      <x:c r="AA44" s="23" t="n">
        <x:f>IF(OR(M44="",T44=""),"",T44/M44-1)</x:f>
        <x:v>0.010831081222634209</x:v>
      </x:c>
      <x:c r="AB44" s="23" t="n">
        <x:f>IF(OR(M44="",U44=""),"",U44/M44-1)</x:f>
        <x:v>-0.004182990104679596</x:v>
      </x:c>
      <x:c r="AC44" s="22" t="n">
        <x:f>IF(V44="TARGET",O44,IF(OR(V44="INVALIDATION",V44="AMBIGUOUS"),N44,IF(R44&lt;&gt;"",R44,S44)))</x:f>
        <x:v>14.2841</x:v>
      </x:c>
      <x:c r="AD44" s="19" t="str">
        <x:f>IF(V44="TARGET","TARGET",IF(V44="INVALIDATION","STOP",IF(V44="AMBIGUOUS","AMBIGUO→STOP",IF(R44&lt;&gt;"","60M","CIERRE"))))</x:f>
        <x:v>STOP</x:v>
      </x:c>
      <x:c r="AE44" s="23" t="n">
        <x:f>IF(OR(M44="",AC44=""),"",AC44/M44-1)</x:f>
        <x:v>-0.002500017458222481</x:v>
      </x:c>
      <x:c r="AF44" s="19" t="str">
        <x:f>IF(AE44="","SIN DATO",IF(AE44&gt;0,"GAIN",IF(AE44&lt;0,"LOSS","FLAT")))</x:f>
        <x:v>LOSS</x:v>
      </x:c>
      <x:c r="AG44" s="19" t="n">
        <x:f>IF(COUNTIFS($E$2:E44,E44,$I$2:I44,I44)=1,1,0)</x:f>
        <x:v>0</x:v>
      </x:c>
      <x:c r="AH44" s="19" t="n">
        <x:v>392</x:v>
      </x:c>
      <x:c r="AI44" s="19" t="str">
        <x:v>Alpaca SIP 1Min raw bars</x:v>
      </x:c>
      <x:c r="AJ44" s="24" t="str">
        <x:v>019fd2df-fd99-7c04-803c-98a66ede5beb</x:v>
      </x:c>
      <x:c r="AK44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</x:v>
      </x:c>
    </x:row>
    <x:row r="45">
      <x:c r="A45" s="19" t="n">
        <x:v>10557416</x:v>
      </x:c>
      <x:c r="B45" s="20" t="n">
        <x:v>46239</x:v>
      </x:c>
      <x:c r="C45" s="19" t="str">
        <x:v>14:07:00</x:v>
      </x:c>
      <x:c r="D45" s="19" t="str">
        <x:v>13:07:00</x:v>
      </x:c>
      <x:c r="E45" s="19" t="str">
        <x:v>L2</x:v>
      </x:c>
      <x:c r="F45" s="19" t="str">
        <x:v>AZUL</x:v>
      </x:c>
      <x:c r="G45" s="19" t="n">
        <x:v>2</x:v>
      </x:c>
      <x:c r="H45" s="24" t="str">
        <x:v>Alert Engine V2 replay</x:v>
      </x:c>
      <x:c r="I45" s="24" t="str">
        <x:v>BKNG</x:v>
      </x:c>
      <x:c r="J45" s="24" t="str">
        <x:v>ENTRY_CONFIRMED</x:v>
      </x:c>
      <x:c r="K45" s="24" t="str">
        <x:v>SWING+INTRADAY</x:v>
      </x:c>
      <x:c r="L45" s="21" t="n">
        <x:v>72.5</x:v>
      </x:c>
      <x:c r="M45" s="22" t="n">
        <x:v>206.62</x:v>
      </x:c>
      <x:c r="N45" s="22" t="n">
        <x:v>206.1035</x:v>
      </x:c>
      <x:c r="O45" s="22" t="n">
        <x:v>207.3948</x:v>
      </x:c>
      <x:c r="P45" s="22" t="n">
        <x:v>206.77</x:v>
      </x:c>
      <x:c r="Q45" s="22" t="n">
        <x:v>207.46</x:v>
      </x:c>
      <x:c r="R45" s="22" t="n">
        <x:v>206.855</x:v>
      </x:c>
      <x:c r="S45" s="22" t="n">
        <x:v>206.62</x:v>
      </x:c>
      <x:c r="T45" s="22" t="n">
        <x:v>207.96</x:v>
      </x:c>
      <x:c r="U45" s="22" t="n">
        <x:v>206.53</x:v>
      </x:c>
      <x:c r="V45" s="19" t="str">
        <x:v>TARGET</x:v>
      </x:c>
      <x:c r="W45" s="23" t="n">
        <x:f>IF(OR(M45="",P45=""),"",P45/M45-1)</x:f>
        <x:v>0.0007259703804085582</x:v>
      </x:c>
      <x:c r="X45" s="23" t="n">
        <x:f>IF(OR(M45="",Q45=""),"",Q45/M45-1)</x:f>
        <x:v>0.004065434130287482</x:v>
      </x:c>
      <x:c r="Y45" s="23" t="n">
        <x:f>IF(OR(M45="",R45=""),"",R45/M45-1)</x:f>
        <x:v>0.0011373535959731118</x:v>
      </x:c>
      <x:c r="Z45" s="23" t="n">
        <x:f>IF(OR(M45="",S45=""),"",S45/M45-1)</x:f>
        <x:v>0</x:v>
      </x:c>
      <x:c r="AA45" s="23" t="n">
        <x:f>IF(OR(M45="",T45=""),"",T45/M45-1)</x:f>
        <x:v>0.006485335398315861</x:v>
      </x:c>
      <x:c r="AB45" s="23" t="n">
        <x:f>IF(OR(M45="",U45=""),"",U45/M45-1)</x:f>
        <x:v>-0.00043558222824513493</x:v>
      </x:c>
      <x:c r="AC45" s="22" t="n">
        <x:f>IF(V45="TARGET",O45,IF(OR(V45="INVALIDATION",V45="AMBIGUOUS"),N45,IF(R45&lt;&gt;"",R45,S45)))</x:f>
        <x:v>207.3948</x:v>
      </x:c>
      <x:c r="AD45" s="19" t="str">
        <x:f>IF(V45="TARGET","TARGET",IF(V45="INVALIDATION","STOP",IF(V45="AMBIGUOUS","AMBIGUO→STOP",IF(R45&lt;&gt;"","60M","CIERRE"))))</x:f>
        <x:v>TARGET</x:v>
      </x:c>
      <x:c r="AE45" s="23" t="n">
        <x:f>IF(OR(M45="",AC45=""),"",AC45/M45-1)</x:f>
        <x:v>0.003749879004936618</x:v>
      </x:c>
      <x:c r="AF45" s="19" t="str">
        <x:f>IF(AE45="","SIN DATO",IF(AE45&gt;0,"GAIN",IF(AE45&lt;0,"LOSS","FLAT")))</x:f>
        <x:v>GAIN</x:v>
      </x:c>
      <x:c r="AG45" s="19" t="n">
        <x:f>IF(COUNTIFS($E$2:E45,E45,$I$2:I45,I45)=1,1,0)</x:f>
        <x:v>1</x:v>
      </x:c>
      <x:c r="AH45" s="19" t="n">
        <x:v>392</x:v>
      </x:c>
      <x:c r="AI45" s="19" t="str">
        <x:v>Alpaca SIP 1Min raw bars</x:v>
      </x:c>
      <x:c r="AJ45" s="24" t="str">
        <x:v>019fd4f3-917b-758c-b4a1-f89c2bbbb85b</x:v>
      </x:c>
      <x:c r="AK45" s="24" t="str">
        <x:v>entry_confirmed; swing:favorable:78.00; intraday:favorable:93.00; dilution_analysis_unavailable</x:v>
      </x:c>
    </x:row>
    <x:row r="46">
      <x:c r="A46" s="19" t="n">
        <x:v>10585232</x:v>
      </x:c>
      <x:c r="B46" s="20" t="n">
        <x:v>46239</x:v>
      </x:c>
      <x:c r="C46" s="19" t="str">
        <x:v>14:15:00</x:v>
      </x:c>
      <x:c r="D46" s="19" t="str">
        <x:v>13:15:00</x:v>
      </x:c>
      <x:c r="E46" s="19" t="str">
        <x:v>L2</x:v>
      </x:c>
      <x:c r="F46" s="19" t="str">
        <x:v>AZUL</x:v>
      </x:c>
      <x:c r="G46" s="19" t="n">
        <x:v>2</x:v>
      </x:c>
      <x:c r="H46" s="24" t="str">
        <x:v>Alert Engine V2 replay</x:v>
      </x:c>
      <x:c r="I46" s="24" t="str">
        <x:v>DASH</x:v>
      </x:c>
      <x:c r="J46" s="24" t="str">
        <x:v>ENTRY_CONFIRMED</x:v>
      </x:c>
      <x:c r="K46" s="24" t="str">
        <x:v>SWING+INTRADAY</x:v>
      </x:c>
      <x:c r="L46" s="21" t="n">
        <x:v>87.69</x:v>
      </x:c>
      <x:c r="M46" s="22" t="n">
        <x:v>206.515</x:v>
      </x:c>
      <x:c r="N46" s="22" t="n">
        <x:v>205.9987</x:v>
      </x:c>
      <x:c r="O46" s="22" t="n">
        <x:v>207.2894</x:v>
      </x:c>
      <x:c r="P46" s="22" t="n">
        <x:v>206.515</x:v>
      </x:c>
      <x:c r="Q46" s="22" t="n">
        <x:v>206.42</x:v>
      </x:c>
      <x:c r="R46" s="22" t="n">
        <x:v>206.67</x:v>
      </x:c>
      <x:c r="S46" s="22" t="n">
        <x:v>208</x:v>
      </x:c>
      <x:c r="T46" s="22" t="n">
        <x:v>207.16</x:v>
      </x:c>
      <x:c r="U46" s="22" t="n">
        <x:v>205.77</x:v>
      </x:c>
      <x:c r="V46" s="19" t="str">
        <x:v>INVALIDATION</x:v>
      </x:c>
      <x:c r="W46" s="23" t="n">
        <x:f>IF(OR(M46="",P46=""),"",P46/M46-1)</x:f>
        <x:v>0</x:v>
      </x:c>
      <x:c r="X46" s="23" t="n">
        <x:f>IF(OR(M46="",Q46=""),"",Q46/M46-1)</x:f>
        <x:v>-0.00046001501101611275</x:v>
      </x:c>
      <x:c r="Y46" s="23" t="n">
        <x:f>IF(OR(M46="",R46=""),"",R46/M46-1)</x:f>
        <x:v>0.0007505508074474587</x:v>
      </x:c>
      <x:c r="Z46" s="23" t="n">
        <x:f>IF(OR(M46="",S46=""),"",S46/M46-1)</x:f>
        <x:v>0.007190760961673481</x:v>
      </x:c>
      <x:c r="AA46" s="23" t="n">
        <x:f>IF(OR(M46="",T46=""),"",T46/M46-1)</x:f>
        <x:v>0.00312325981163597</x:v>
      </x:c>
      <x:c r="AB46" s="23" t="n">
        <x:f>IF(OR(M46="",U46=""),"",U46/M46-1)</x:f>
        <x:v>-0.0036074861390212876</x:v>
      </x:c>
      <x:c r="AC46" s="22" t="n">
        <x:f>IF(V46="TARGET",O46,IF(OR(V46="INVALIDATION",V46="AMBIGUOUS"),N46,IF(R46&lt;&gt;"",R46,S46)))</x:f>
        <x:v>205.9987</x:v>
      </x:c>
      <x:c r="AD46" s="19" t="str">
        <x:f>IF(V46="TARGET","TARGET",IF(V46="INVALIDATION","STOP",IF(V46="AMBIGUOUS","AMBIGUO→STOP",IF(R46&lt;&gt;"","60M","CIERRE"))))</x:f>
        <x:v>STOP</x:v>
      </x:c>
      <x:c r="AE46" s="23" t="n">
        <x:f>IF(OR(M46="",AC46=""),"",AC46/M46-1)</x:f>
        <x:v>-0.0025000605282907706</x:v>
      </x:c>
      <x:c r="AF46" s="19" t="str">
        <x:f>IF(AE46="","SIN DATO",IF(AE46&gt;0,"GAIN",IF(AE46&lt;0,"LOSS","FLAT")))</x:f>
        <x:v>LOSS</x:v>
      </x:c>
      <x:c r="AG46" s="19" t="n">
        <x:f>IF(COUNTIFS($E$2:E46,E46,$I$2:I46,I46)=1,1,0)</x:f>
        <x:v>0</x:v>
      </x:c>
      <x:c r="AH46" s="19" t="n">
        <x:v>392</x:v>
      </x:c>
      <x:c r="AI46" s="19" t="str">
        <x:v>Alpaca SIP 1Min raw bars</x:v>
      </x:c>
      <x:c r="AJ46" s="24" t="str">
        <x:v>019fd4f3-95f3-7b59-9fe9-2d572efd0650</x:v>
      </x:c>
      <x:c r="AK46" s="24" t="str">
        <x:v>entry_confirmed; swing:watch:88.00; intraday:favorable:100.00; dilution_analysis_unavailable</x:v>
      </x:c>
    </x:row>
    <x:row r="47">
      <x:c r="A47" s="19" t="n">
        <x:v>10569236</x:v>
      </x:c>
      <x:c r="B47" s="20" t="n">
        <x:v>46239</x:v>
      </x:c>
      <x:c r="C47" s="19" t="str">
        <x:v>14:17:00</x:v>
      </x:c>
      <x:c r="D47" s="19" t="str">
        <x:v>13:17:00</x:v>
      </x:c>
      <x:c r="E47" s="19" t="str">
        <x:v>L1</x:v>
      </x:c>
      <x:c r="F47" s="19" t="str">
        <x:v>AMARILLO</x:v>
      </x:c>
      <x:c r="G47" s="19" t="n">
        <x:v>1</x:v>
      </x:c>
      <x:c r="H47" s="24" t="str">
        <x:v>Alert Engine V2 replay</x:v>
      </x:c>
      <x:c r="I47" s="24" t="str">
        <x:v>PM</x:v>
      </x:c>
      <x:c r="J47" s="24" t="str">
        <x:v>ENTRY_CONFIRMED</x:v>
      </x:c>
      <x:c r="K47" s="24" t="str">
        <x:v>LONG_TERM+INTRADAY</x:v>
      </x:c>
      <x:c r="L47" s="21" t="n">
        <x:v>93.95</x:v>
      </x:c>
      <x:c r="M47" s="22" t="n">
        <x:v>188.96</x:v>
      </x:c>
      <x:c r="N47" s="22" t="n">
        <x:v>188.4876</x:v>
      </x:c>
      <x:c r="O47" s="22" t="n">
        <x:v>189.6686</x:v>
      </x:c>
      <x:c r="P47" s="22" t="n">
        <x:v>188.915</x:v>
      </x:c>
      <x:c r="Q47" s="22" t="n">
        <x:v>188.795</x:v>
      </x:c>
      <x:c r="R47" s="22" t="n">
        <x:v>189.57</x:v>
      </x:c>
      <x:c r="S47" s="22" t="n">
        <x:v>188.93</x:v>
      </x:c>
      <x:c r="T47" s="22" t="n">
        <x:v>189.69</x:v>
      </x:c>
      <x:c r="U47" s="22" t="n">
        <x:v>188.71</x:v>
      </x:c>
      <x:c r="V47" s="19" t="str">
        <x:v>TARGET</x:v>
      </x:c>
      <x:c r="W47" s="23" t="n">
        <x:f>IF(OR(M47="",P47=""),"",P47/M47-1)</x:f>
        <x:v>-0.0002381456392888115</x:v>
      </x:c>
      <x:c r="X47" s="23" t="n">
        <x:f>IF(OR(M47="",Q47=""),"",Q47/M47-1)</x:f>
        <x:v>-0.0008732006773921608</x:v>
      </x:c>
      <x:c r="Y47" s="23" t="n">
        <x:f>IF(OR(M47="",R47=""),"",R47/M47-1)</x:f>
        <x:v>0.0032281964436917665</x:v>
      </x:c>
      <x:c r="Z47" s="23" t="n">
        <x:f>IF(OR(M47="",S47=""),"",S47/M47-1)</x:f>
        <x:v>-0.00015876375952583732</x:v>
      </x:c>
      <x:c r="AA47" s="23" t="n">
        <x:f>IF(OR(M47="",T47=""),"",T47/M47-1)</x:f>
        <x:v>0.003863251481795116</x:v>
      </x:c>
      <x:c r="AB47" s="23" t="n">
        <x:f>IF(OR(M47="",U47=""),"",U47/M47-1)</x:f>
        <x:v>-0.0013230313293818297</x:v>
      </x:c>
      <x:c r="AC47" s="22" t="n">
        <x:f>IF(V47="TARGET",O47,IF(OR(V47="INVALIDATION",V47="AMBIGUOUS"),N47,IF(R47&lt;&gt;"",R47,S47)))</x:f>
        <x:v>189.6686</x:v>
      </x:c>
      <x:c r="AD47" s="19" t="str">
        <x:f>IF(V47="TARGET","TARGET",IF(V47="INVALIDATION","STOP",IF(V47="AMBIGUOUS","AMBIGUO→STOP",IF(R47&lt;&gt;"","60M","CIERRE"))))</x:f>
        <x:v>TARGET</x:v>
      </x:c>
      <x:c r="AE47" s="23" t="n">
        <x:f>IF(OR(M47="",AC47=""),"",AC47/M47-1)</x:f>
        <x:v>0.00374999999999992</x:v>
      </x:c>
      <x:c r="AF47" s="19" t="str">
        <x:f>IF(AE47="","SIN DATO",IF(AE47&gt;0,"GAIN",IF(AE47&lt;0,"LOSS","FLAT")))</x:f>
        <x:v>GAIN</x:v>
      </x:c>
      <x:c r="AG47" s="19" t="n">
        <x:f>IF(COUNTIFS($E$2:E47,E47,$I$2:I47,I47)=1,1,0)</x:f>
        <x:v>0</x:v>
      </x:c>
      <x:c r="AH47" s="19" t="n">
        <x:v>391</x:v>
      </x:c>
      <x:c r="AI47" s="19" t="str">
        <x:v>Alpaca SIP 1Min raw bars</x:v>
      </x:c>
      <x:c r="AJ47" s="24" t="str">
        <x:v>019fd4f3-9353-70aa-a6c8-531b65641dc5</x:v>
      </x:c>
      <x:c r="AK47" s="24" t="str">
        <x:v>entry_confirmed; long_term:favorable:93.75; intraday:favorable:100.00; dilution_analysis_unavailable</x:v>
      </x:c>
    </x:row>
    <x:row r="48">
      <x:c r="A48" s="19" t="n">
        <x:v>10574760</x:v>
      </x:c>
      <x:c r="B48" s="20" t="n">
        <x:v>46239</x:v>
      </x:c>
      <x:c r="C48" s="19" t="str">
        <x:v>14:22:00</x:v>
      </x:c>
      <x:c r="D48" s="19" t="str">
        <x:v>13:22:00</x:v>
      </x:c>
      <x:c r="E48" s="19" t="str">
        <x:v>L2</x:v>
      </x:c>
      <x:c r="F48" s="19" t="str">
        <x:v>AZUL</x:v>
      </x:c>
      <x:c r="G48" s="19" t="n">
        <x:v>2</x:v>
      </x:c>
      <x:c r="H48" s="24" t="str">
        <x:v>Alert Engine V2 replay</x:v>
      </x:c>
      <x:c r="I48" s="24" t="str">
        <x:v>ANET</x:v>
      </x:c>
      <x:c r="J48" s="24" t="str">
        <x:v>ENTRY_CONFIRMED</x:v>
      </x:c>
      <x:c r="K48" s="24" t="str">
        <x:v>SWING+INTRADAY</x:v>
      </x:c>
      <x:c r="L48" s="21" t="n">
        <x:v>100</x:v>
      </x:c>
      <x:c r="M48" s="22" t="n">
        <x:v>200.22</x:v>
      </x:c>
      <x:c r="N48" s="22" t="n">
        <x:v>199.7195</x:v>
      </x:c>
      <x:c r="O48" s="22" t="n">
        <x:v>200.9708</x:v>
      </x:c>
      <x:c r="P48" s="22" t="n">
        <x:v>201.4</x:v>
      </x:c>
      <x:c r="Q48" s="22" t="n">
        <x:v>201.535</x:v>
      </x:c>
      <x:c r="R48" s="22" t="n">
        <x:v>203.95</x:v>
      </x:c>
      <x:c r="S48" s="22" t="n">
        <x:v>197.31</x:v>
      </x:c>
      <x:c r="T48" s="22" t="n">
        <x:v>204.1586</x:v>
      </x:c>
      <x:c r="U48" s="22" t="n">
        <x:v>200</x:v>
      </x:c>
      <x:c r="V48" s="19" t="str">
        <x:v>TARGET</x:v>
      </x:c>
      <x:c r="W48" s="23" t="n">
        <x:f>IF(OR(M48="",P48=""),"",P48/M48-1)</x:f>
        <x:v>0.005893517131155823</x:v>
      </x:c>
      <x:c r="X48" s="23" t="n">
        <x:f>IF(OR(M48="",Q48=""),"",Q48/M48-1)</x:f>
        <x:v>0.006567775447008373</x:v>
      </x:c>
      <x:c r="Y48" s="23" t="n">
        <x:f>IF(OR(M48="",R48=""),"",R48/M48-1)</x:f>
        <x:v>0.018629507541704005</x:v>
      </x:c>
      <x:c r="Z48" s="23" t="n">
        <x:f>IF(OR(M48="",S48=""),"",S48/M48-1)</x:f>
        <x:v>-0.014534012586155165</x:v>
      </x:c>
      <x:c r="AA48" s="23" t="n">
        <x:f>IF(OR(M48="",T48=""),"",T48/M48-1)</x:f>
        <x:v>0.019671361502347384</x:v>
      </x:c>
      <x:c r="AB48" s="23" t="n">
        <x:f>IF(OR(M48="",U48=""),"",U48/M48-1)</x:f>
        <x:v>-0.0010987913295374963</x:v>
      </x:c>
      <x:c r="AC48" s="22" t="n">
        <x:f>IF(V48="TARGET",O48,IF(OR(V48="INVALIDATION",V48="AMBIGUOUS"),N48,IF(R48&lt;&gt;"",R48,S48)))</x:f>
        <x:v>200.9708</x:v>
      </x:c>
      <x:c r="AD48" s="19" t="str">
        <x:f>IF(V48="TARGET","TARGET",IF(V48="INVALIDATION","STOP",IF(V48="AMBIGUOUS","AMBIGUO→STOP",IF(R48&lt;&gt;"","60M","CIERRE"))))</x:f>
        <x:v>TARGET</x:v>
      </x:c>
      <x:c r="AE48" s="23" t="n">
        <x:f>IF(OR(M48="",AC48=""),"",AC48/M48-1)</x:f>
        <x:v>0.0037498751373488126</x:v>
      </x:c>
      <x:c r="AF48" s="19" t="str">
        <x:f>IF(AE48="","SIN DATO",IF(AE48&gt;0,"GAIN",IF(AE48&lt;0,"LOSS","FLAT")))</x:f>
        <x:v>GAIN</x:v>
      </x:c>
      <x:c r="AG48" s="19" t="n">
        <x:f>IF(COUNTIFS($E$2:E48,E48,$I$2:I48,I48)=1,1,0)</x:f>
        <x:v>1</x:v>
      </x:c>
      <x:c r="AH48" s="19" t="n">
        <x:v>392</x:v>
      </x:c>
      <x:c r="AI48" s="19" t="str">
        <x:v>Alpaca SIP 1Min raw bars</x:v>
      </x:c>
      <x:c r="AJ48" s="24" t="str">
        <x:v>019fd4f3-9438-75ce-833d-a3f79de55098</x:v>
      </x:c>
      <x:c r="AK48" s="24" t="str">
        <x:v>entry_confirmed; swing:favorable:100.00; intraday:favorable:100.00; dilution_analysis_unavailable</x:v>
      </x:c>
    </x:row>
    <x:row r="49">
      <x:c r="A49" s="19" t="n">
        <x:v>10577818</x:v>
      </x:c>
      <x:c r="B49" s="20" t="n">
        <x:v>46239</x:v>
      </x:c>
      <x:c r="C49" s="19" t="str">
        <x:v>14:24:00</x:v>
      </x:c>
      <x:c r="D49" s="19" t="str">
        <x:v>13:24:00</x:v>
      </x:c>
      <x:c r="E49" s="19" t="str">
        <x:v>L2</x:v>
      </x:c>
      <x:c r="F49" s="19" t="str">
        <x:v>AZUL</x:v>
      </x:c>
      <x:c r="G49" s="19" t="n">
        <x:v>2</x:v>
      </x:c>
      <x:c r="H49" s="24" t="str">
        <x:v>Alert Engine V2 replay</x:v>
      </x:c>
      <x:c r="I49" s="24" t="str">
        <x:v>RCL</x:v>
      </x:c>
      <x:c r="J49" s="24" t="str">
        <x:v>ENTRY_CONFIRMED</x:v>
      </x:c>
      <x:c r="K49" s="24" t="str">
        <x:v>SWING+INTRADAY</x:v>
      </x:c>
      <x:c r="L49" s="21" t="n">
        <x:v>82.13</x:v>
      </x:c>
      <x:c r="M49" s="22" t="n">
        <x:v>327.8599</x:v>
      </x:c>
      <x:c r="N49" s="22" t="n">
        <x:v>327.0403</x:v>
      </x:c>
      <x:c r="O49" s="22" t="n">
        <x:v>329.0894</x:v>
      </x:c>
      <x:c r="P49" s="22" t="n">
        <x:v>327.67</x:v>
      </x:c>
      <x:c r="Q49" s="22" t="n">
        <x:v>327.07</x:v>
      </x:c>
      <x:c r="R49" s="22" t="n">
        <x:v>327.27</x:v>
      </x:c>
      <x:c r="S49" s="22" t="n">
        <x:v>327.42</x:v>
      </x:c>
      <x:c r="T49" s="22" t="n">
        <x:v>328</x:v>
      </x:c>
      <x:c r="U49" s="22" t="n">
        <x:v>326.58</x:v>
      </x:c>
      <x:c r="V49" s="19" t="str">
        <x:v>INVALIDATION</x:v>
      </x:c>
      <x:c r="W49" s="23" t="n">
        <x:f>IF(OR(M49="",P49=""),"",P49/M49-1)</x:f>
        <x:v>-0.0005792108153511721</x:v>
      </x:c>
      <x:c r="X49" s="23" t="n">
        <x:f>IF(OR(M49="",Q49=""),"",Q49/M49-1)</x:f>
        <x:v>-0.0024092607848656966</x:v>
      </x:c>
      <x:c r="Y49" s="23" t="n">
        <x:f>IF(OR(M49="",R49=""),"",R49/M49-1)</x:f>
        <x:v>-0.0017992441283609661</x:v>
      </x:c>
      <x:c r="Z49" s="23" t="n">
        <x:f>IF(OR(M49="",S49=""),"",S49/M49-1)</x:f>
        <x:v>-0.0013417316359821685</x:v>
      </x:c>
      <x:c r="AA49" s="23" t="n">
        <x:f>IF(OR(M49="",T49=""),"",T49/M49-1)</x:f>
        <x:v>0.0004273166678816498</x:v>
      </x:c>
      <x:c r="AB49" s="23" t="n">
        <x:f>IF(OR(M49="",U49=""),"",U49/M49-1)</x:f>
        <x:v>-0.0039038015933025028</x:v>
      </x:c>
      <x:c r="AC49" s="22" t="n">
        <x:f>IF(V49="TARGET",O49,IF(OR(V49="INVALIDATION",V49="AMBIGUOUS"),N49,IF(R49&lt;&gt;"",R49,S49)))</x:f>
        <x:v>327.0403</x:v>
      </x:c>
      <x:c r="AD49" s="19" t="str">
        <x:f>IF(V49="TARGET","TARGET",IF(V49="INVALIDATION","STOP",IF(V49="AMBIGUOUS","AMBIGUO→STOP",IF(R49&lt;&gt;"","60M","CIERRE"))))</x:f>
        <x:v>STOP</x:v>
      </x:c>
      <x:c r="AE49" s="23" t="n">
        <x:f>IF(OR(M49="",AC49=""),"",AC49/M49-1)</x:f>
        <x:v>-0.002499848258356585</x:v>
      </x:c>
      <x:c r="AF49" s="19" t="str">
        <x:f>IF(AE49="","SIN DATO",IF(AE49&gt;0,"GAIN",IF(AE49&lt;0,"LOSS","FLAT")))</x:f>
        <x:v>LOSS</x:v>
      </x:c>
      <x:c r="AG49" s="19" t="n">
        <x:f>IF(COUNTIFS($E$2:E49,E49,$I$2:I49,I49)=1,1,0)</x:f>
        <x:v>1</x:v>
      </x:c>
      <x:c r="AH49" s="19" t="n">
        <x:v>388</x:v>
      </x:c>
      <x:c r="AI49" s="19" t="str">
        <x:v>Alpaca SIP 1Min raw bars</x:v>
      </x:c>
      <x:c r="AJ49" s="24" t="str">
        <x:v>019fd4f3-94b9-7466-805f-72dbe6b4ffff</x:v>
      </x:c>
      <x:c r="AK49" s="24" t="str">
        <x:v>entry_confirmed; swing:watch:82.00; intraday:favorable:100.00; dilution_analysis_unavailable</x:v>
      </x:c>
    </x:row>
    <x:row r="50">
      <x:c r="A50" s="19" t="n">
        <x:v>10578651</x:v>
      </x:c>
      <x:c r="B50" s="20" t="n">
        <x:v>46239</x:v>
      </x:c>
      <x:c r="C50" s="19" t="str">
        <x:v>14:25:00</x:v>
      </x:c>
      <x:c r="D50" s="19" t="str">
        <x:v>13:25:00</x:v>
      </x:c>
      <x:c r="E50" s="19" t="str">
        <x:v>L1</x:v>
      </x:c>
      <x:c r="F50" s="19" t="str">
        <x:v>AMARILLO</x:v>
      </x:c>
      <x:c r="G50" s="19" t="n">
        <x:v>1</x:v>
      </x:c>
      <x:c r="H50" s="24" t="str">
        <x:v>Alert Engine V2 replay</x:v>
      </x:c>
      <x:c r="I50" s="24" t="str">
        <x:v>KDP</x:v>
      </x:c>
      <x:c r="J50" s="24" t="str">
        <x:v>ENTRY_CONFIRMED</x:v>
      </x:c>
      <x:c r="K50" s="24" t="str">
        <x:v>LONG_TERM+INTRADAY</x:v>
      </x:c>
      <x:c r="L50" s="21" t="n">
        <x:v>94.68</x:v>
      </x:c>
      <x:c r="M50" s="22" t="n">
        <x:v>30.959</x:v>
      </x:c>
      <x:c r="N50" s="22" t="n">
        <x:v>30.8816</x:v>
      </x:c>
      <x:c r="O50" s="22" t="n">
        <x:v>31.0751</x:v>
      </x:c>
      <x:c r="P50" s="22" t="n">
        <x:v>31.025</x:v>
      </x:c>
      <x:c r="Q50" s="22" t="n">
        <x:v>31.025</x:v>
      </x:c>
      <x:c r="R50" s="22" t="n">
        <x:v>31.005</x:v>
      </x:c>
      <x:c r="S50" s="22" t="n">
        <x:v>30.75</x:v>
      </x:c>
      <x:c r="T50" s="22" t="n">
        <x:v>31.08</x:v>
      </x:c>
      <x:c r="U50" s="22" t="n">
        <x:v>30.94</x:v>
      </x:c>
      <x:c r="V50" s="19" t="str">
        <x:v>TARGET</x:v>
      </x:c>
      <x:c r="W50" s="23" t="n">
        <x:f>IF(OR(M50="",P50=""),"",P50/M50-1)</x:f>
        <x:v>0.0021318518039987744</x:v>
      </x:c>
      <x:c r="X50" s="23" t="n">
        <x:f>IF(OR(M50="",Q50=""),"",Q50/M50-1)</x:f>
        <x:v>0.0021318518039987744</x:v>
      </x:c>
      <x:c r="Y50" s="23" t="n">
        <x:f>IF(OR(M50="",R50=""),"",R50/M50-1)</x:f>
        <x:v>0.0014858361058174285</x:v>
      </x:c>
      <x:c r="Z50" s="23" t="n">
        <x:f>IF(OR(M50="",S50=""),"",S50/M50-1)</x:f>
        <x:v>-0.006750864045996341</x:v>
      </x:c>
      <x:c r="AA50" s="23" t="n">
        <x:f>IF(OR(M50="",T50=""),"",T50/M50-1)</x:f>
        <x:v>0.003908394973997753</x:v>
      </x:c>
      <x:c r="AB50" s="23" t="n">
        <x:f>IF(OR(M50="",U50=""),"",U50/M50-1)</x:f>
        <x:v>-0.0006137149132723341</x:v>
      </x:c>
      <x:c r="AC50" s="22" t="n">
        <x:f>IF(V50="TARGET",O50,IF(OR(V50="INVALIDATION",V50="AMBIGUOUS"),N50,IF(R50&lt;&gt;"",R50,S50)))</x:f>
        <x:v>31.0751</x:v>
      </x:c>
      <x:c r="AD50" s="19" t="str">
        <x:f>IF(V50="TARGET","TARGET",IF(V50="INVALIDATION","STOP",IF(V50="AMBIGUOUS","AMBIGUO→STOP",IF(R50&lt;&gt;"","60M","CIERRE"))))</x:f>
        <x:v>TARGET</x:v>
      </x:c>
      <x:c r="AE50" s="23" t="n">
        <x:f>IF(OR(M50="",AC50=""),"",AC50/M50-1)</x:f>
        <x:v>0.0037501211279433733</x:v>
      </x:c>
      <x:c r="AF50" s="19" t="str">
        <x:f>IF(AE50="","SIN DATO",IF(AE50&gt;0,"GAIN",IF(AE50&lt;0,"LOSS","FLAT")))</x:f>
        <x:v>GAIN</x:v>
      </x:c>
      <x:c r="AG50" s="19" t="n">
        <x:f>IF(COUNTIFS($E$2:E50,E50,$I$2:I50,I50)=1,1,0)</x:f>
        <x:v>1</x:v>
      </x:c>
      <x:c r="AH50" s="19" t="n">
        <x:v>391</x:v>
      </x:c>
      <x:c r="AI50" s="19" t="str">
        <x:v>Alpaca SIP 1Min raw bars</x:v>
      </x:c>
      <x:c r="AJ50" s="24" t="str">
        <x:v>019fd4f3-94d5-7075-a9c8-4438c7f61eb1</x:v>
      </x:c>
      <x:c r="AK50" s="24" t="str">
        <x:v>entry_confirmed; long_term:favorable:94.53; intraday:favorable:100.00; dilution_analysis_unavailable</x:v>
      </x:c>
    </x:row>
    <x:row r="51">
      <x:c r="A51" s="19" t="n">
        <x:v>10585412</x:v>
      </x:c>
      <x:c r="B51" s="20" t="n">
        <x:v>46239</x:v>
      </x:c>
      <x:c r="C51" s="19" t="str">
        <x:v>14:30:00</x:v>
      </x:c>
      <x:c r="D51" s="19" t="str">
        <x:v>13:30:00</x:v>
      </x:c>
      <x:c r="E51" s="19" t="str">
        <x:v>L2</x:v>
      </x:c>
      <x:c r="F51" s="19" t="str">
        <x:v>AZUL</x:v>
      </x:c>
      <x:c r="G51" s="19" t="n">
        <x:v>2</x:v>
      </x:c>
      <x:c r="H51" s="24" t="str">
        <x:v>Alert Engine V2 replay</x:v>
      </x:c>
      <x:c r="I51" s="24" t="str">
        <x:v>DASH</x:v>
      </x:c>
      <x:c r="J51" s="24" t="str">
        <x:v>ENTRY_CONFIRMED</x:v>
      </x:c>
      <x:c r="K51" s="24" t="str">
        <x:v>SWING+INTRADAY</x:v>
      </x:c>
      <x:c r="L51" s="21" t="n">
        <x:v>87.69</x:v>
      </x:c>
      <x:c r="M51" s="22" t="n">
        <x:v>206.515</x:v>
      </x:c>
      <x:c r="N51" s="22" t="n">
        <x:v>205.9987</x:v>
      </x:c>
      <x:c r="O51" s="22" t="n">
        <x:v>207.2894</x:v>
      </x:c>
      <x:c r="P51" s="22" t="n">
        <x:v>206.42</x:v>
      </x:c>
      <x:c r="Q51" s="22" t="n">
        <x:v>206.11</x:v>
      </x:c>
      <x:c r="R51" s="22" t="n">
        <x:v>206.625</x:v>
      </x:c>
      <x:c r="S51" s="22" t="n">
        <x:v>208</x:v>
      </x:c>
      <x:c r="T51" s="22" t="n">
        <x:v>207.16</x:v>
      </x:c>
      <x:c r="U51" s="22" t="n">
        <x:v>205.85</x:v>
      </x:c>
      <x:c r="V51" s="19" t="str">
        <x:v>INVALIDATION</x:v>
      </x:c>
      <x:c r="W51" s="23" t="n">
        <x:f>IF(OR(M51="",P51=""),"",P51/M51-1)</x:f>
        <x:v>-0.00046001501101611275</x:v>
      </x:c>
      <x:c r="X51" s="23" t="n">
        <x:f>IF(OR(M51="",Q51=""),"",Q51/M51-1)</x:f>
        <x:v>-0.001961116625910808</x:v>
      </x:c>
      <x:c r="Y51" s="23" t="n">
        <x:f>IF(OR(M51="",R51=""),"",R51/M51-1)</x:f>
        <x:v>0.0005326489601240603</x:v>
      </x:c>
      <x:c r="Z51" s="23" t="n">
        <x:f>IF(OR(M51="",S51=""),"",S51/M51-1)</x:f>
        <x:v>0.007190760961673481</x:v>
      </x:c>
      <x:c r="AA51" s="23" t="n">
        <x:f>IF(OR(M51="",T51=""),"",T51/M51-1)</x:f>
        <x:v>0.00312325981163597</x:v>
      </x:c>
      <x:c r="AB51" s="23" t="n">
        <x:f>IF(OR(M51="",U51=""),"",U51/M51-1)</x:f>
        <x:v>-0.0032201050771130113</x:v>
      </x:c>
      <x:c r="AC51" s="22" t="n">
        <x:f>IF(V51="TARGET",O51,IF(OR(V51="INVALIDATION",V51="AMBIGUOUS"),N51,IF(R51&lt;&gt;"",R51,S51)))</x:f>
        <x:v>205.9987</x:v>
      </x:c>
      <x:c r="AD51" s="19" t="str">
        <x:f>IF(V51="TARGET","TARGET",IF(V51="INVALIDATION","STOP",IF(V51="AMBIGUOUS","AMBIGUO→STOP",IF(R51&lt;&gt;"","60M","CIERRE"))))</x:f>
        <x:v>STOP</x:v>
      </x:c>
      <x:c r="AE51" s="23" t="n">
        <x:f>IF(OR(M51="",AC51=""),"",AC51/M51-1)</x:f>
        <x:v>-0.0025000605282907706</x:v>
      </x:c>
      <x:c r="AF51" s="19" t="str">
        <x:f>IF(AE51="","SIN DATO",IF(AE51&gt;0,"GAIN",IF(AE51&lt;0,"LOSS","FLAT")))</x:f>
        <x:v>LOSS</x:v>
      </x:c>
      <x:c r="AG51" s="19" t="n">
        <x:f>IF(COUNTIFS($E$2:E51,E51,$I$2:I51,I51)=1,1,0)</x:f>
        <x:v>0</x:v>
      </x:c>
      <x:c r="AH51" s="19" t="n">
        <x:v>392</x:v>
      </x:c>
      <x:c r="AI51" s="19" t="str">
        <x:v>Alpaca SIP 1Min raw bars</x:v>
      </x:c>
      <x:c r="AJ51" s="24" t="str">
        <x:v>019fd4f3-95fe-7de4-9b1b-43d4949f05d1</x:v>
      </x:c>
      <x:c r="AK51" s="24" t="str">
        <x:v>entry_confirmed; swing:watch:88.00; intraday:favorable:100.00; dilution_analysis_unavailable</x:v>
      </x:c>
    </x:row>
    <x:row r="52">
      <x:c r="A52" s="19" t="n">
        <x:v>10587675</x:v>
      </x:c>
      <x:c r="B52" s="20" t="n">
        <x:v>46239</x:v>
      </x:c>
      <x:c r="C52" s="19" t="str">
        <x:v>14:32:00</x:v>
      </x:c>
      <x:c r="D52" s="19" t="str">
        <x:v>13:32:00</x:v>
      </x:c>
      <x:c r="E52" s="19" t="str">
        <x:v>L2</x:v>
      </x:c>
      <x:c r="F52" s="19" t="str">
        <x:v>AZUL</x:v>
      </x:c>
      <x:c r="G52" s="19" t="n">
        <x:v>2</x:v>
      </x:c>
      <x:c r="H52" s="24" t="str">
        <x:v>Alert Engine V2 replay</x:v>
      </x:c>
      <x:c r="I52" s="24" t="str">
        <x:v>BKNG</x:v>
      </x:c>
      <x:c r="J52" s="24" t="str">
        <x:v>ENTRY_CONFIRMED</x:v>
      </x:c>
      <x:c r="K52" s="24" t="str">
        <x:v>SWING+INTRADAY</x:v>
      </x:c>
      <x:c r="L52" s="21" t="n">
        <x:v>93.65</x:v>
      </x:c>
      <x:c r="M52" s="22" t="n">
        <x:v>207.425</x:v>
      </x:c>
      <x:c r="N52" s="22" t="n">
        <x:v>206.9064</x:v>
      </x:c>
      <x:c r="O52" s="22" t="n">
        <x:v>208.2028</x:v>
      </x:c>
      <x:c r="P52" s="22" t="n">
        <x:v>207.86</x:v>
      </x:c>
      <x:c r="Q52" s="22" t="n">
        <x:v>206.835</x:v>
      </x:c>
      <x:c r="R52" s="22" t="n">
        <x:v>207.29</x:v>
      </x:c>
      <x:c r="S52" s="22" t="n">
        <x:v>206.62</x:v>
      </x:c>
      <x:c r="T52" s="22" t="n">
        <x:v>207.96</x:v>
      </x:c>
      <x:c r="U52" s="22" t="n">
        <x:v>206.695</x:v>
      </x:c>
      <x:c r="V52" s="19" t="str">
        <x:v>INVALIDATION</x:v>
      </x:c>
      <x:c r="W52" s="23" t="n">
        <x:f>IF(OR(M52="",P52=""),"",P52/M52-1)</x:f>
        <x:v>0.002097143545859881</x:v>
      </x:c>
      <x:c r="X52" s="23" t="n">
        <x:f>IF(OR(M52="",Q52=""),"",Q52/M52-1)</x:f>
        <x:v>-0.002844401590936463</x:v>
      </x:c>
      <x:c r="Y52" s="23" t="n">
        <x:f>IF(OR(M52="",R52=""),"",R52/M52-1)</x:f>
        <x:v>-0.0006508376521635606</x:v>
      </x:c>
      <x:c r="Z52" s="23" t="n">
        <x:f>IF(OR(M52="",S52=""),"",S52/M52-1)</x:f>
        <x:v>-0.003880920814752331</x:v>
      </x:c>
      <x:c r="AA52" s="23" t="n">
        <x:f>IF(OR(M52="",T52=""),"",T52/M52-1)</x:f>
        <x:v>0.002579245510425432</x:v>
      </x:c>
      <x:c r="AB52" s="23" t="n">
        <x:f>IF(OR(M52="",U52=""),"",U52/M52-1)</x:f>
        <x:v>-0.0035193443413282788</x:v>
      </x:c>
      <x:c r="AC52" s="22" t="n">
        <x:f>IF(V52="TARGET",O52,IF(OR(V52="INVALIDATION",V52="AMBIGUOUS"),N52,IF(R52&lt;&gt;"",R52,S52)))</x:f>
        <x:v>206.9064</x:v>
      </x:c>
      <x:c r="AD52" s="19" t="str">
        <x:f>IF(V52="TARGET","TARGET",IF(V52="INVALIDATION","STOP",IF(V52="AMBIGUOUS","AMBIGUO→STOP",IF(R52&lt;&gt;"","60M","CIERRE"))))</x:f>
        <x:v>STOP</x:v>
      </x:c>
      <x:c r="AE52" s="23" t="n">
        <x:f>IF(OR(M52="",AC52=""),"",AC52/M52-1)</x:f>
        <x:v>-0.002500180788236772</x:v>
      </x:c>
      <x:c r="AF52" s="19" t="str">
        <x:f>IF(AE52="","SIN DATO",IF(AE52&gt;0,"GAIN",IF(AE52&lt;0,"LOSS","FLAT")))</x:f>
        <x:v>LOSS</x:v>
      </x:c>
      <x:c r="AG52" s="19" t="n">
        <x:f>IF(COUNTIFS($E$2:E52,E52,$I$2:I52,I52)=1,1,0)</x:f>
        <x:v>0</x:v>
      </x:c>
      <x:c r="AH52" s="19" t="n">
        <x:v>392</x:v>
      </x:c>
      <x:c r="AI52" s="19" t="str">
        <x:v>Alpaca SIP 1Min raw bars</x:v>
      </x:c>
      <x:c r="AJ52" s="24" t="str">
        <x:v>019fd4f3-964b-70e9-b69f-86431e3df2fc</x:v>
      </x:c>
      <x:c r="AK52" s="24" t="str">
        <x:v>entry_confirmed; swing:favorable:94.00; intraday:favorable:100.00; dilution_analysis_unavailable</x:v>
      </x:c>
    </x:row>
    <x:row r="53">
      <x:c r="A53" s="19" t="n">
        <x:v>10588639</x:v>
      </x:c>
      <x:c r="B53" s="20" t="n">
        <x:v>46239</x:v>
      </x:c>
      <x:c r="C53" s="19" t="str">
        <x:v>14:33:00</x:v>
      </x:c>
      <x:c r="D53" s="19" t="str">
        <x:v>13:33:00</x:v>
      </x:c>
      <x:c r="E53" s="19" t="str">
        <x:v>L2</x:v>
      </x:c>
      <x:c r="F53" s="19" t="str">
        <x:v>AZUL</x:v>
      </x:c>
      <x:c r="G53" s="19" t="n">
        <x:v>2</x:v>
      </x:c>
      <x:c r="H53" s="24" t="str">
        <x:v>Alert Engine V2 replay</x:v>
      </x:c>
      <x:c r="I53" s="24" t="str">
        <x:v>SHW</x:v>
      </x:c>
      <x:c r="J53" s="24" t="str">
        <x:v>ENTRY_CONFIRMED</x:v>
      </x:c>
      <x:c r="K53" s="24" t="str">
        <x:v>SWING+INTRADAY</x:v>
      </x:c>
      <x:c r="L53" s="21" t="n">
        <x:v>93.65</x:v>
      </x:c>
      <x:c r="M53" s="22" t="n">
        <x:v>366.92</x:v>
      </x:c>
      <x:c r="N53" s="22" t="n">
        <x:v>366.0027</x:v>
      </x:c>
      <x:c r="O53" s="22" t="n">
        <x:v>368.296</x:v>
      </x:c>
      <x:c r="P53" s="22" t="n">
        <x:v>366.58</x:v>
      </x:c>
      <x:c r="Q53" s="22" t="n">
        <x:v>366.395</x:v>
      </x:c>
      <x:c r="R53" s="22" t="n">
        <x:v>366.06</x:v>
      </x:c>
      <x:c r="S53" s="22" t="n">
        <x:v>369.68</x:v>
      </x:c>
      <x:c r="T53" s="22" t="n">
        <x:v>367.18</x:v>
      </x:c>
      <x:c r="U53" s="22" t="n">
        <x:v>366.06</x:v>
      </x:c>
      <x:c r="V53" s="19"/>
      <x:c r="W53" s="23" t="n">
        <x:f>IF(OR(M53="",P53=""),"",P53/M53-1)</x:f>
        <x:v>-0.0009266325084488214</x:v>
      </x:c>
      <x:c r="X53" s="23" t="n">
        <x:f>IF(OR(M53="",Q53=""),"",Q53/M53-1)</x:f>
        <x:v>-0.0014308296086341654</x:v>
      </x:c>
      <x:c r="Y53" s="23" t="n">
        <x:f>IF(OR(M53="",R53=""),"",R53/M53-1)</x:f>
        <x:v>-0.002343835168429176</x:v>
      </x:c>
      <x:c r="Z53" s="23" t="n">
        <x:f>IF(OR(M53="",S53=""),"",S53/M53-1)</x:f>
        <x:v>0.0075220756568188385</x:v>
      </x:c>
      <x:c r="AA53" s="23" t="n">
        <x:f>IF(OR(M53="",T53=""),"",T53/M53-1)</x:f>
        <x:v>0.0007086013299901772</x:v>
      </x:c>
      <x:c r="AB53" s="23" t="n">
        <x:f>IF(OR(M53="",U53=""),"",U53/M53-1)</x:f>
        <x:v>-0.002343835168429176</x:v>
      </x:c>
      <x:c r="AC53" s="22" t="n">
        <x:f>IF(V53="TARGET",O53,IF(OR(V53="INVALIDATION",V53="AMBIGUOUS"),N53,IF(R53&lt;&gt;"",R53,S53)))</x:f>
        <x:v>366.06</x:v>
      </x:c>
      <x:c r="AD53" s="19" t="str">
        <x:f>IF(V53="TARGET","TARGET",IF(V53="INVALIDATION","STOP",IF(V53="AMBIGUOUS","AMBIGUO→STOP",IF(R53&lt;&gt;"","60M","CIERRE"))))</x:f>
        <x:v>60M</x:v>
      </x:c>
      <x:c r="AE53" s="23" t="n">
        <x:f>IF(OR(M53="",AC53=""),"",AC53/M53-1)</x:f>
        <x:v>-0.002343835168429176</x:v>
      </x:c>
      <x:c r="AF53" s="19" t="str">
        <x:f>IF(AE53="","SIN DATO",IF(AE53&gt;0,"GAIN",IF(AE53&lt;0,"LOSS","FLAT")))</x:f>
        <x:v>LOSS</x:v>
      </x:c>
      <x:c r="AG53" s="19" t="n">
        <x:f>IF(COUNTIFS($E$2:E53,E53,$I$2:I53,I53)=1,1,0)</x:f>
        <x:v>0</x:v>
      </x:c>
      <x:c r="AH53" s="19" t="n">
        <x:v>388</x:v>
      </x:c>
      <x:c r="AI53" s="19" t="str">
        <x:v>Alpaca SIP 1Min raw bars</x:v>
      </x:c>
      <x:c r="AJ53" s="24" t="str">
        <x:v>019fd4f3-966a-7829-8fbc-41cf7261bdc7</x:v>
      </x:c>
      <x:c r="AK53" s="24" t="str">
        <x:v>entry_confirmed; swing:favorable:94.00; intraday:favorable:100.00; dilution_analysis_unavailable</x:v>
      </x:c>
    </x:row>
    <x:row r="54">
      <x:c r="A54" s="19" t="n">
        <x:v>10590007</x:v>
      </x:c>
      <x:c r="B54" s="20" t="n">
        <x:v>46239</x:v>
      </x:c>
      <x:c r="C54" s="19" t="str">
        <x:v>14:34:00</x:v>
      </x:c>
      <x:c r="D54" s="19" t="str">
        <x:v>13:34:00</x:v>
      </x:c>
      <x:c r="E54" s="19" t="str">
        <x:v>L2</x:v>
      </x:c>
      <x:c r="F54" s="19" t="str">
        <x:v>AZUL</x:v>
      </x:c>
      <x:c r="G54" s="19" t="n">
        <x:v>2</x:v>
      </x:c>
      <x:c r="H54" s="24" t="str">
        <x:v>Alert Engine V2 replay</x:v>
      </x:c>
      <x:c r="I54" s="24" t="str">
        <x:v>INTU</x:v>
      </x:c>
      <x:c r="J54" s="24" t="str">
        <x:v>ENTRY_CONFIRMED</x:v>
      </x:c>
      <x:c r="K54" s="24" t="str">
        <x:v>SWING+INTRADAY</x:v>
      </x:c>
      <x:c r="L54" s="21" t="n">
        <x:v>100</x:v>
      </x:c>
      <x:c r="M54" s="22" t="n">
        <x:v>324.4</x:v>
      </x:c>
      <x:c r="N54" s="22" t="n">
        <x:v>323.589</x:v>
      </x:c>
      <x:c r="O54" s="22" t="n">
        <x:v>325.6165</x:v>
      </x:c>
      <x:c r="P54" s="22" t="n">
        <x:v>325.19</x:v>
      </x:c>
      <x:c r="Q54" s="22" t="n">
        <x:v>325.32</x:v>
      </x:c>
      <x:c r="R54" s="22" t="n">
        <x:v>325.35</x:v>
      </x:c>
      <x:c r="S54" s="22" t="n">
        <x:v>327.94</x:v>
      </x:c>
      <x:c r="T54" s="22" t="n">
        <x:v>326.19</x:v>
      </x:c>
      <x:c r="U54" s="22" t="n">
        <x:v>324.13</x:v>
      </x:c>
      <x:c r="V54" s="19" t="str">
        <x:v>TARGET</x:v>
      </x:c>
      <x:c r="W54" s="23" t="n">
        <x:f>IF(OR(M54="",P54=""),"",P54/M54-1)</x:f>
        <x:v>0.002435265104808959</x:v>
      </x:c>
      <x:c r="X54" s="23" t="n">
        <x:f>IF(OR(M54="",Q54=""),"",Q54/M54-1)</x:f>
        <x:v>0.002836004932182501</x:v>
      </x:c>
      <x:c r="Y54" s="23" t="n">
        <x:f>IF(OR(M54="",R54=""),"",R54/M54-1)</x:f>
        <x:v>0.0029284833538842925</x:v>
      </x:c>
      <x:c r="Z54" s="23" t="n">
        <x:f>IF(OR(M54="",S54=""),"",S54/M54-1)</x:f>
        <x:v>0.010912453760789198</x:v>
      </x:c>
      <x:c r="AA54" s="23" t="n">
        <x:f>IF(OR(M54="",T54=""),"",T54/M54-1)</x:f>
        <x:v>0.005517879161529127</x:v>
      </x:c>
      <x:c r="AB54" s="23" t="n">
        <x:f>IF(OR(M54="",U54=""),"",U54/M54-1)</x:f>
        <x:v>-0.0008323057953143476</x:v>
      </x:c>
      <x:c r="AC54" s="22" t="n">
        <x:f>IF(V54="TARGET",O54,IF(OR(V54="INVALIDATION",V54="AMBIGUOUS"),N54,IF(R54&lt;&gt;"",R54,S54)))</x:f>
        <x:v>325.6165</x:v>
      </x:c>
      <x:c r="AD54" s="19" t="str">
        <x:f>IF(V54="TARGET","TARGET",IF(V54="INVALIDATION","STOP",IF(V54="AMBIGUOUS","AMBIGUO→STOP",IF(R54&lt;&gt;"","60M","CIERRE"))))</x:f>
        <x:v>TARGET</x:v>
      </x:c>
      <x:c r="AE54" s="23" t="n">
        <x:f>IF(OR(M54="",AC54=""),"",AC54/M54-1)</x:f>
        <x:v>0.00374999999999992</x:v>
      </x:c>
      <x:c r="AF54" s="19" t="str">
        <x:f>IF(AE54="","SIN DATO",IF(AE54&gt;0,"GAIN",IF(AE54&lt;0,"LOSS","FLAT")))</x:f>
        <x:v>GAIN</x:v>
      </x:c>
      <x:c r="AG54" s="19" t="n">
        <x:f>IF(COUNTIFS($E$2:E54,E54,$I$2:I54,I54)=1,1,0)</x:f>
        <x:v>1</x:v>
      </x:c>
      <x:c r="AH54" s="19" t="n">
        <x:v>391</x:v>
      </x:c>
      <x:c r="AI54" s="19" t="str">
        <x:v>Alpaca SIP 1Min raw bars</x:v>
      </x:c>
      <x:c r="AJ54" s="24" t="str">
        <x:v>019fd4f3-96aa-78b8-8c51-be1a4a88e5ba</x:v>
      </x:c>
      <x:c r="AK54" s="24" t="str">
        <x:v>entry_confirmed; swing:favorable:100.00; intraday:favorable:100.00; dilution_analysis_unavailable</x:v>
      </x:c>
    </x:row>
    <x:row r="55">
      <x:c r="A55" s="19" t="n">
        <x:v>10590402</x:v>
      </x:c>
      <x:c r="B55" s="20" t="n">
        <x:v>46239</x:v>
      </x:c>
      <x:c r="C55" s="19" t="str">
        <x:v>14:35:00</x:v>
      </x:c>
      <x:c r="D55" s="19" t="str">
        <x:v>13:35:00</x:v>
      </x:c>
      <x:c r="E55" s="19" t="str">
        <x:v>L2</x:v>
      </x:c>
      <x:c r="F55" s="19" t="str">
        <x:v>AZUL</x:v>
      </x:c>
      <x:c r="G55" s="19" t="n">
        <x:v>2</x:v>
      </x:c>
      <x:c r="H55" s="24" t="str">
        <x:v>Alert Engine V2 replay</x:v>
      </x:c>
      <x:c r="I55" s="24" t="str">
        <x:v>WFC</x:v>
      </x:c>
      <x:c r="J55" s="24" t="str">
        <x:v>ENTRY_CONFIRMED</x:v>
      </x:c>
      <x:c r="K55" s="24" t="str">
        <x:v>SWING+INTRADAY</x:v>
      </x:c>
      <x:c r="L55" s="21" t="n">
        <x:v>87.69</x:v>
      </x:c>
      <x:c r="M55" s="22" t="n">
        <x:v>89.45</x:v>
      </x:c>
      <x:c r="N55" s="22" t="n">
        <x:v>89.2264</x:v>
      </x:c>
      <x:c r="O55" s="22" t="n">
        <x:v>89.7854</x:v>
      </x:c>
      <x:c r="P55" s="22" t="n">
        <x:v>89.58</x:v>
      </x:c>
      <x:c r="Q55" s="22" t="n">
        <x:v>89.445</x:v>
      </x:c>
      <x:c r="R55" s="22" t="n">
        <x:v>89.322</x:v>
      </x:c>
      <x:c r="S55" s="22" t="n">
        <x:v>89.16</x:v>
      </x:c>
      <x:c r="T55" s="22" t="n">
        <x:v>89.62</x:v>
      </x:c>
      <x:c r="U55" s="22" t="n">
        <x:v>89.285</x:v>
      </x:c>
      <x:c r="V55" s="19"/>
      <x:c r="W55" s="23" t="n">
        <x:f>IF(OR(M55="",P55=""),"",P55/M55-1)</x:f>
        <x:v>0.001453325880379941</x:v>
      </x:c>
      <x:c r="X55" s="23" t="n">
        <x:f>IF(OR(M55="",Q55=""),"",Q55/M55-1)</x:f>
        <x:v>-0.000055897149245476285</x:v>
      </x:c>
      <x:c r="Y55" s="23" t="n">
        <x:f>IF(OR(M55="",R55=""),"",R55/M55-1)</x:f>
        <x:v>-0.0014309670206819058</x:v>
      </x:c>
      <x:c r="Z55" s="23" t="n">
        <x:f>IF(OR(M55="",S55=""),"",S55/M55-1)</x:f>
        <x:v>-0.0032420346562326285</x:v>
      </x:c>
      <x:c r="AA55" s="23" t="n">
        <x:f>IF(OR(M55="",T55=""),"",T55/M55-1)</x:f>
        <x:v>0.0019005030743433071</x:v>
      </x:c>
      <x:c r="AB55" s="23" t="n">
        <x:f>IF(OR(M55="",U55=""),"",U55/M55-1)</x:f>
        <x:v>-0.0018446059250979419</x:v>
      </x:c>
      <x:c r="AC55" s="22" t="n">
        <x:f>IF(V55="TARGET",O55,IF(OR(V55="INVALIDATION",V55="AMBIGUOUS"),N55,IF(R55&lt;&gt;"",R55,S55)))</x:f>
        <x:v>89.322</x:v>
      </x:c>
      <x:c r="AD55" s="19" t="str">
        <x:f>IF(V55="TARGET","TARGET",IF(V55="INVALIDATION","STOP",IF(V55="AMBIGUOUS","AMBIGUO→STOP",IF(R55&lt;&gt;"","60M","CIERRE"))))</x:f>
        <x:v>60M</x:v>
      </x:c>
      <x:c r="AE55" s="23" t="n">
        <x:f>IF(OR(M55="",AC55=""),"",AC55/M55-1)</x:f>
        <x:v>-0.0014309670206819058</x:v>
      </x:c>
      <x:c r="AF55" s="19" t="str">
        <x:f>IF(AE55="","SIN DATO",IF(AE55&gt;0,"GAIN",IF(AE55&lt;0,"LOSS","FLAT")))</x:f>
        <x:v>LOSS</x:v>
      </x:c>
      <x:c r="AG55" s="19" t="n">
        <x:f>IF(COUNTIFS($E$2:E55,E55,$I$2:I55,I55)=1,1,0)</x:f>
        <x:v>1</x:v>
      </x:c>
      <x:c r="AH55" s="19" t="n">
        <x:v>390</x:v>
      </x:c>
      <x:c r="AI55" s="19" t="str">
        <x:v>Alpaca SIP 1Min raw bars</x:v>
      </x:c>
      <x:c r="AJ55" s="24" t="str">
        <x:v>019fd4f3-96c1-76ce-a78d-e7699fdeee67</x:v>
      </x:c>
      <x:c r="AK55" s="24" t="str">
        <x:v>entry_confirmed; swing:favorable:88.00; intraday:favorable:100.00; dilution_analysis_unavailable</x:v>
      </x:c>
    </x:row>
    <x:row r="56">
      <x:c r="A56" s="19" t="n">
        <x:v>10591207</x:v>
      </x:c>
      <x:c r="B56" s="20" t="n">
        <x:v>46239</x:v>
      </x:c>
      <x:c r="C56" s="19" t="str">
        <x:v>14:35:00</x:v>
      </x:c>
      <x:c r="D56" s="19" t="str">
        <x:v>13:35:00</x:v>
      </x:c>
      <x:c r="E56" s="19" t="str">
        <x:v>L2</x:v>
      </x:c>
      <x:c r="F56" s="19" t="str">
        <x:v>AZUL</x:v>
      </x:c>
      <x:c r="G56" s="19" t="n">
        <x:v>2</x:v>
      </x:c>
      <x:c r="H56" s="24" t="str">
        <x:v>Alert Engine V2 replay</x:v>
      </x:c>
      <x:c r="I56" s="24" t="str">
        <x:v>NU</x:v>
      </x:c>
      <x:c r="J56" s="24" t="str">
        <x:v>ENTRY_CONFIRMED</x:v>
      </x:c>
      <x:c r="K56" s="24" t="str">
        <x:v>SWING+INTRADAY</x:v>
      </x:c>
      <x:c r="L56" s="21" t="n">
        <x:v>100</x:v>
      </x:c>
      <x:c r="M56" s="22" t="n">
        <x:v>14.48</x:v>
      </x:c>
      <x:c r="N56" s="22" t="n">
        <x:v>14.4438</x:v>
      </x:c>
      <x:c r="O56" s="22" t="n">
        <x:v>14.5343</x:v>
      </x:c>
      <x:c r="P56" s="22" t="n">
        <x:v>14.535</x:v>
      </x:c>
      <x:c r="Q56" s="22" t="n">
        <x:v>14.515</x:v>
      </x:c>
      <x:c r="R56" s="22" t="n">
        <x:v>14.505</x:v>
      </x:c>
      <x:c r="S56" s="22" t="n">
        <x:v>14.475</x:v>
      </x:c>
      <x:c r="T56" s="22" t="n">
        <x:v>14.565</x:v>
      </x:c>
      <x:c r="U56" s="22" t="n">
        <x:v>14.47</x:v>
      </x:c>
      <x:c r="V56" s="19" t="str">
        <x:v>TARGET</x:v>
      </x:c>
      <x:c r="W56" s="23" t="n">
        <x:f>IF(OR(M56="",P56=""),"",P56/M56-1)</x:f>
        <x:v>0.003798342541436517</x:v>
      </x:c>
      <x:c r="X56" s="23" t="n">
        <x:f>IF(OR(M56="",Q56=""),"",Q56/M56-1)</x:f>
        <x:v>0.0024171270718231774</x:v>
      </x:c>
      <x:c r="Y56" s="23" t="n">
        <x:f>IF(OR(M56="",R56=""),"",R56/M56-1)</x:f>
        <x:v>0.0017265193370166187</x:v>
      </x:c>
      <x:c r="Z56" s="23" t="n">
        <x:f>IF(OR(M56="",S56=""),"",S56/M56-1)</x:f>
        <x:v>-0.00034530386740339036</x:v>
      </x:c>
      <x:c r="AA56" s="23" t="n">
        <x:f>IF(OR(M56="",T56=""),"",T56/M56-1)</x:f>
        <x:v>0.005870165745856193</x:v>
      </x:c>
      <x:c r="AB56" s="23" t="n">
        <x:f>IF(OR(M56="",U56=""),"",U56/M56-1)</x:f>
        <x:v>-0.0006906077348066697</x:v>
      </x:c>
      <x:c r="AC56" s="22" t="n">
        <x:f>IF(V56="TARGET",O56,IF(OR(V56="INVALIDATION",V56="AMBIGUOUS"),N56,IF(R56&lt;&gt;"",R56,S56)))</x:f>
        <x:v>14.5343</x:v>
      </x:c>
      <x:c r="AD56" s="19" t="str">
        <x:f>IF(V56="TARGET","TARGET",IF(V56="INVALIDATION","STOP",IF(V56="AMBIGUOUS","AMBIGUO→STOP",IF(R56&lt;&gt;"","60M","CIERRE"))))</x:f>
        <x:v>TARGET</x:v>
      </x:c>
      <x:c r="AE56" s="23" t="n">
        <x:f>IF(OR(M56="",AC56=""),"",AC56/M56-1)</x:f>
        <x:v>0.00374999999999992</x:v>
      </x:c>
      <x:c r="AF56" s="19" t="str">
        <x:f>IF(AE56="","SIN DATO",IF(AE56&gt;0,"GAIN",IF(AE56&lt;0,"LOSS","FLAT")))</x:f>
        <x:v>GAIN</x:v>
      </x:c>
      <x:c r="AG56" s="19" t="n">
        <x:f>IF(COUNTIFS($E$2:E56,E56,$I$2:I56,I56)=1,1,0)</x:f>
        <x:v>0</x:v>
      </x:c>
      <x:c r="AH56" s="19" t="n">
        <x:v>392</x:v>
      </x:c>
      <x:c r="AI56" s="19" t="str">
        <x:v>Alpaca SIP 1Min raw bars</x:v>
      </x:c>
      <x:c r="AJ56" s="24" t="str">
        <x:v>019fd4f3-96e2-70ae-a502-c991c4fad16a</x:v>
      </x:c>
      <x:c r="AK56" s="24" t="str">
        <x:v>entry_confirmed; swing:favorable:100.00; intraday:favorable:100.00; dilution_analysis_unavailable</x:v>
      </x:c>
    </x:row>
    <x:row r="57">
      <x:c r="A57" s="19" t="n">
        <x:v>10594588</x:v>
      </x:c>
      <x:c r="B57" s="20" t="n">
        <x:v>46239</x:v>
      </x:c>
      <x:c r="C57" s="19" t="str">
        <x:v>14:39:00</x:v>
      </x:c>
      <x:c r="D57" s="19" t="str">
        <x:v>13:39:00</x:v>
      </x:c>
      <x:c r="E57" s="19" t="str">
        <x:v>L2</x:v>
      </x:c>
      <x:c r="F57" s="19" t="str">
        <x:v>AZUL</x:v>
      </x:c>
      <x:c r="G57" s="19" t="n">
        <x:v>2</x:v>
      </x:c>
      <x:c r="H57" s="24" t="str">
        <x:v>Alert Engine V2 replay</x:v>
      </x:c>
      <x:c r="I57" s="24" t="str">
        <x:v>ETHA</x:v>
      </x:c>
      <x:c r="J57" s="24" t="str">
        <x:v>ENTRY_CONFIRMED</x:v>
      </x:c>
      <x:c r="K57" s="24" t="str">
        <x:v>SWING+INTRADAY</x:v>
      </x:c>
      <x:c r="L57" s="21" t="n">
        <x:v>84.86</x:v>
      </x:c>
      <x:c r="M57" s="22" t="n">
        <x:v>14.385</x:v>
      </x:c>
      <x:c r="N57" s="22" t="n">
        <x:v>14.349</x:v>
      </x:c>
      <x:c r="O57" s="22" t="n">
        <x:v>14.4389</x:v>
      </x:c>
      <x:c r="P57" s="22" t="n">
        <x:v>14.4491</x:v>
      </x:c>
      <x:c r="Q57" s="22" t="n">
        <x:v>14.445</x:v>
      </x:c>
      <x:c r="R57" s="22" t="n">
        <x:v>14.485</x:v>
      </x:c>
      <x:c r="S57" s="22" t="n">
        <x:v>14.46</x:v>
      </x:c>
      <x:c r="T57" s="22" t="n">
        <x:v>14.545</x:v>
      </x:c>
      <x:c r="U57" s="22" t="n">
        <x:v>14.375</x:v>
      </x:c>
      <x:c r="V57" s="19" t="str">
        <x:v>TARGET</x:v>
      </x:c>
      <x:c r="W57" s="23" t="n">
        <x:f>IF(OR(M57="",P57=""),"",P57/M57-1)</x:f>
        <x:v>0.004456030587417503</x:v>
      </x:c>
      <x:c r="X57" s="23" t="n">
        <x:f>IF(OR(M57="",Q57=""),"",Q57/M57-1)</x:f>
        <x:v>0.004171011470281538</x:v>
      </x:c>
      <x:c r="Y57" s="23" t="n">
        <x:f>IF(OR(M57="",R57=""),"",R57/M57-1)</x:f>
        <x:v>0.006951685783802564</x:v>
      </x:c>
      <x:c r="Z57" s="23" t="n">
        <x:f>IF(OR(M57="",S57=""),"",S57/M57-1)</x:f>
        <x:v>0.005213764337852034</x:v>
      </x:c>
      <x:c r="AA57" s="23" t="n">
        <x:f>IF(OR(M57="",T57=""),"",T57/M57-1)</x:f>
        <x:v>0.011122697254084102</x:v>
      </x:c>
      <x:c r="AB57" s="23" t="n">
        <x:f>IF(OR(M57="",U57=""),"",U57/M57-1)</x:f>
        <x:v>-0.0006951685783802564</x:v>
      </x:c>
      <x:c r="AC57" s="22" t="n">
        <x:f>IF(V57="TARGET",O57,IF(OR(V57="INVALIDATION",V57="AMBIGUOUS"),N57,IF(R57&lt;&gt;"",R57,S57)))</x:f>
        <x:v>14.4389</x:v>
      </x:c>
      <x:c r="AD57" s="19" t="str">
        <x:f>IF(V57="TARGET","TARGET",IF(V57="INVALIDATION","STOP",IF(V57="AMBIGUOUS","AMBIGUO→STOP",IF(R57&lt;&gt;"","60M","CIERRE"))))</x:f>
        <x:v>TARGET</x:v>
      </x:c>
      <x:c r="AE57" s="23" t="n">
        <x:f>IF(OR(M57="",AC57=""),"",AC57/M57-1)</x:f>
        <x:v>0.003746958637469655</x:v>
      </x:c>
      <x:c r="AF57" s="19" t="str">
        <x:f>IF(AE57="","SIN DATO",IF(AE57&gt;0,"GAIN",IF(AE57&lt;0,"LOSS","FLAT")))</x:f>
        <x:v>GAIN</x:v>
      </x:c>
      <x:c r="AG57" s="19" t="n">
        <x:f>IF(COUNTIFS($E$2:E57,E57,$I$2:I57,I57)=1,1,0)</x:f>
        <x:v>0</x:v>
      </x:c>
      <x:c r="AH57" s="19" t="n">
        <x:v>392</x:v>
      </x:c>
      <x:c r="AI57" s="19" t="str">
        <x:v>Alpaca SIP 1Min raw bars</x:v>
      </x:c>
      <x:c r="AJ57" s="24" t="str">
        <x:v>019fd4f3-9769-78cd-a643-27dc7b602d52</x:v>
      </x:c>
      <x:c r="AK57" s="24" t="str">
        <x:v>entry_confirmed; swing:favorable:85.00; intraday:favorable:100.00; dilution_analysis_unavailable</x:v>
      </x:c>
    </x:row>
    <x:row r="58">
      <x:c r="A58" s="19" t="n">
        <x:v>10594591</x:v>
      </x:c>
      <x:c r="B58" s="20" t="n">
        <x:v>46239</x:v>
      </x:c>
      <x:c r="C58" s="19" t="str">
        <x:v>14:39:00</x:v>
      </x:c>
      <x:c r="D58" s="19" t="str">
        <x:v>13:39:00</x:v>
      </x:c>
      <x:c r="E58" s="19" t="str">
        <x:v>L4</x:v>
      </x:c>
      <x:c r="F58" s="19" t="str">
        <x:v>MAGENTA</x:v>
      </x:c>
      <x:c r="G58" s="19" t="n">
        <x:v>3</x:v>
      </x:c>
      <x:c r="H58" s="24" t="str">
        <x:v>Signal Fusion</x:v>
      </x:c>
      <x:c r="I58" s="24" t="str">
        <x:v>ETHA</x:v>
      </x:c>
      <x:c r="J58" s="24" t="str">
        <x:v>RECOVERY_CONFIRMED</x:v>
      </x:c>
      <x:c r="K58" s="24" t="str"/>
      <x:c r="L58" s="21" t="n">
        <x:v>60</x:v>
      </x:c>
      <x:c r="M58" s="22" t="n">
        <x:v>14.385</x:v>
      </x:c>
      <x:c r="N58" s="22" t="n">
        <x:v>14.349</x:v>
      </x:c>
      <x:c r="O58" s="22" t="n">
        <x:v>14.947</x:v>
      </x:c>
      <x:c r="P58" s="22" t="n">
        <x:v>14.4491</x:v>
      </x:c>
      <x:c r="Q58" s="22" t="n">
        <x:v>14.445</x:v>
      </x:c>
      <x:c r="R58" s="22" t="n">
        <x:v>14.485</x:v>
      </x:c>
      <x:c r="S58" s="22" t="n">
        <x:v>14.46</x:v>
      </x:c>
      <x:c r="T58" s="22" t="n">
        <x:v>14.545</x:v>
      </x:c>
      <x:c r="U58" s="22" t="n">
        <x:v>14.375</x:v>
      </x:c>
      <x:c r="V58" s="19"/>
      <x:c r="W58" s="23" t="n">
        <x:f>IF(OR(M58="",P58=""),"",P58/M58-1)</x:f>
        <x:v>0.004456030587417503</x:v>
      </x:c>
      <x:c r="X58" s="23" t="n">
        <x:f>IF(OR(M58="",Q58=""),"",Q58/M58-1)</x:f>
        <x:v>0.004171011470281538</x:v>
      </x:c>
      <x:c r="Y58" s="23" t="n">
        <x:f>IF(OR(M58="",R58=""),"",R58/M58-1)</x:f>
        <x:v>0.006951685783802564</x:v>
      </x:c>
      <x:c r="Z58" s="23" t="n">
        <x:f>IF(OR(M58="",S58=""),"",S58/M58-1)</x:f>
        <x:v>0.005213764337852034</x:v>
      </x:c>
      <x:c r="AA58" s="23" t="n">
        <x:f>IF(OR(M58="",T58=""),"",T58/M58-1)</x:f>
        <x:v>0.011122697254084102</x:v>
      </x:c>
      <x:c r="AB58" s="23" t="n">
        <x:f>IF(OR(M58="",U58=""),"",U58/M58-1)</x:f>
        <x:v>-0.0006951685783802564</x:v>
      </x:c>
      <x:c r="AC58" s="22" t="n">
        <x:f>IF(V58="TARGET",O58,IF(OR(V58="INVALIDATION",V58="AMBIGUOUS"),N58,IF(R58&lt;&gt;"",R58,S58)))</x:f>
        <x:v>14.485</x:v>
      </x:c>
      <x:c r="AD58" s="19" t="str">
        <x:f>IF(V58="TARGET","TARGET",IF(V58="INVALIDATION","STOP",IF(V58="AMBIGUOUS","AMBIGUO→STOP",IF(R58&lt;&gt;"","60M","CIERRE"))))</x:f>
        <x:v>60M</x:v>
      </x:c>
      <x:c r="AE58" s="23" t="n">
        <x:f>IF(OR(M58="",AC58=""),"",AC58/M58-1)</x:f>
        <x:v>0.006951685783802564</x:v>
      </x:c>
      <x:c r="AF58" s="19" t="str">
        <x:f>IF(AE58="","SIN DATO",IF(AE58&gt;0,"GAIN",IF(AE58&lt;0,"LOSS","FLAT")))</x:f>
        <x:v>GAIN</x:v>
      </x:c>
      <x:c r="AG58" s="19" t="n">
        <x:f>IF(COUNTIFS($E$2:E58,E58,$I$2:I58,I58)=1,1,0)</x:f>
        <x:v>0</x:v>
      </x:c>
      <x:c r="AH58" s="19" t="n">
        <x:v>392</x:v>
      </x:c>
      <x:c r="AI58" s="19" t="str">
        <x:v>Alpaca SIP 1Min raw bars</x:v>
      </x:c>
      <x:c r="AJ58" s="24" t="str">
        <x:v>019fd302-c75c-7f64-9f84-7bb31da57c78</x:v>
      </x:c>
      <x:c r="AK58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</x:v>
      </x:c>
    </x:row>
    <x:row r="59">
      <x:c r="A59" s="19" t="n">
        <x:v>10594647</x:v>
      </x:c>
      <x:c r="B59" s="20" t="n">
        <x:v>46239</x:v>
      </x:c>
      <x:c r="C59" s="19" t="str">
        <x:v>14:39:00</x:v>
      </x:c>
      <x:c r="D59" s="19" t="str">
        <x:v>13:39:00</x:v>
      </x:c>
      <x:c r="E59" s="19" t="str">
        <x:v>L2</x:v>
      </x:c>
      <x:c r="F59" s="19" t="str">
        <x:v>AZUL</x:v>
      </x:c>
      <x:c r="G59" s="19" t="n">
        <x:v>2</x:v>
      </x:c>
      <x:c r="H59" s="24" t="str">
        <x:v>Alert Engine V2 replay</x:v>
      </x:c>
      <x:c r="I59" s="24" t="str">
        <x:v>ANET</x:v>
      </x:c>
      <x:c r="J59" s="24" t="str">
        <x:v>ENTRY_CONFIRMED</x:v>
      </x:c>
      <x:c r="K59" s="24" t="str">
        <x:v>SWING+INTRADAY</x:v>
      </x:c>
      <x:c r="L59" s="21" t="n">
        <x:v>100</x:v>
      </x:c>
      <x:c r="M59" s="22" t="n">
        <x:v>201.81</x:v>
      </x:c>
      <x:c r="N59" s="22" t="n">
        <x:v>201.3055</x:v>
      </x:c>
      <x:c r="O59" s="22" t="n">
        <x:v>202.5668</x:v>
      </x:c>
      <x:c r="P59" s="22" t="n">
        <x:v>200.72</x:v>
      </x:c>
      <x:c r="Q59" s="22" t="n">
        <x:v>201.41</x:v>
      </x:c>
      <x:c r="R59" s="22" t="n">
        <x:v>202.875</x:v>
      </x:c>
      <x:c r="S59" s="22" t="n">
        <x:v>197.31</x:v>
      </x:c>
      <x:c r="T59" s="22" t="n">
        <x:v>204.4</x:v>
      </x:c>
      <x:c r="U59" s="22" t="n">
        <x:v>200.16</x:v>
      </x:c>
      <x:c r="V59" s="19" t="str">
        <x:v>INVALIDATION</x:v>
      </x:c>
      <x:c r="W59" s="23" t="n">
        <x:f>IF(OR(M59="",P59=""),"",P59/M59-1)</x:f>
        <x:v>-0.005401119865219739</x:v>
      </x:c>
      <x:c r="X59" s="23" t="n">
        <x:f>IF(OR(M59="",Q59=""),"",Q59/M59-1)</x:f>
        <x:v>-0.0019820623358605127</x:v>
      </x:c>
      <x:c r="Y59" s="23" t="n">
        <x:f>IF(OR(M59="",R59=""),"",R59/M59-1)</x:f>
        <x:v>0.005277240969228547</x:v>
      </x:c>
      <x:c r="Z59" s="23" t="n">
        <x:f>IF(OR(M59="",S59=""),"",S59/M59-1)</x:f>
        <x:v>-0.022298201278430185</x:v>
      </x:c>
      <x:c r="AA59" s="23" t="n">
        <x:f>IF(OR(M59="",T59=""),"",T59/M59-1)</x:f>
        <x:v>0.012833853624696578</x:v>
      </x:c>
      <x:c r="AB59" s="23" t="n">
        <x:f>IF(OR(M59="",U59=""),"",U59/M59-1)</x:f>
        <x:v>-0.008176007135424435</x:v>
      </x:c>
      <x:c r="AC59" s="22" t="n">
        <x:f>IF(V59="TARGET",O59,IF(OR(V59="INVALIDATION",V59="AMBIGUOUS"),N59,IF(R59&lt;&gt;"",R59,S59)))</x:f>
        <x:v>201.3055</x:v>
      </x:c>
      <x:c r="AD59" s="19" t="str">
        <x:f>IF(V59="TARGET","TARGET",IF(V59="INVALIDATION","STOP",IF(V59="AMBIGUOUS","AMBIGUO→STOP",IF(R59&lt;&gt;"","60M","CIERRE"))))</x:f>
        <x:v>STOP</x:v>
      </x:c>
      <x:c r="AE59" s="23" t="n">
        <x:f>IF(OR(M59="",AC59=""),"",AC59/M59-1)</x:f>
        <x:v>-0.0024998761211040277</x:v>
      </x:c>
      <x:c r="AF59" s="19" t="str">
        <x:f>IF(AE59="","SIN DATO",IF(AE59&gt;0,"GAIN",IF(AE59&lt;0,"LOSS","FLAT")))</x:f>
        <x:v>LOSS</x:v>
      </x:c>
      <x:c r="AG59" s="19" t="n">
        <x:f>IF(COUNTIFS($E$2:E59,E59,$I$2:I59,I59)=1,1,0)</x:f>
        <x:v>0</x:v>
      </x:c>
      <x:c r="AH59" s="19" t="n">
        <x:v>392</x:v>
      </x:c>
      <x:c r="AI59" s="19" t="str">
        <x:v>Alpaca SIP 1Min raw bars</x:v>
      </x:c>
      <x:c r="AJ59" s="24" t="str">
        <x:v>019fd4f3-976f-76c9-9e29-8dd4dbbbabb8</x:v>
      </x:c>
      <x:c r="AK59" s="24" t="str">
        <x:v>entry_confirmed; swing:favorable:100.00; intraday:favorable:100.00; dilution_analysis_unavailable</x:v>
      </x:c>
    </x:row>
    <x:row r="60">
      <x:c r="A60" s="19" t="n">
        <x:v>10595976</x:v>
      </x:c>
      <x:c r="B60" s="20" t="n">
        <x:v>46239</x:v>
      </x:c>
      <x:c r="C60" s="19" t="str">
        <x:v>14:40:00</x:v>
      </x:c>
      <x:c r="D60" s="19" t="str">
        <x:v>13:40:00</x:v>
      </x:c>
      <x:c r="E60" s="19" t="str">
        <x:v>L4</x:v>
      </x:c>
      <x:c r="F60" s="19" t="str">
        <x:v>MAGENTA</x:v>
      </x:c>
      <x:c r="G60" s="19" t="n">
        <x:v>3</x:v>
      </x:c>
      <x:c r="H60" s="24" t="str">
        <x:v>Signal Fusion</x:v>
      </x:c>
      <x:c r="I60" s="24" t="str">
        <x:v>ADUR</x:v>
      </x:c>
      <x:c r="J60" s="24" t="str">
        <x:v>RECOVERY_CONFIRMED</x:v>
      </x:c>
      <x:c r="K60" s="24" t="str"/>
      <x:c r="L60" s="21" t="n">
        <x:v>50</x:v>
      </x:c>
      <x:c r="M60" s="22" t="n">
        <x:v>15.64</x:v>
      </x:c>
      <x:c r="N60" s="22" t="n">
        <x:v>15.583</x:v>
      </x:c>
      <x:c r="O60" s="22" t="n">
        <x:v>17.0666</x:v>
      </x:c>
      <x:c r="P60" s="22" t="n">
        <x:v>15.66</x:v>
      </x:c>
      <x:c r="Q60" s="22" t="n">
        <x:v>15.57</x:v>
      </x:c>
      <x:c r="R60" s="22"/>
      <x:c r="S60" s="22" t="n">
        <x:v>15.48</x:v>
      </x:c>
      <x:c r="T60" s="22" t="n">
        <x:v>15.7099</x:v>
      </x:c>
      <x:c r="U60" s="22" t="n">
        <x:v>15.5</x:v>
      </x:c>
      <x:c r="V60" s="19" t="str">
        <x:v>INVALIDATION</x:v>
      </x:c>
      <x:c r="W60" s="23" t="n">
        <x:f>IF(OR(M60="",P60=""),"",P60/M60-1)</x:f>
        <x:v>0.0012787723785165905</x:v>
      </x:c>
      <x:c r="X60" s="23" t="n">
        <x:f>IF(OR(M60="",Q60=""),"",Q60/M60-1)</x:f>
        <x:v>-0.004475703324808178</x:v>
      </x:c>
      <x:c r="Y60" s="23" t="str">
        <x:f>IF(OR(M60="",R60=""),"",R60/M60-1)</x:f>
      </x:c>
      <x:c r="Z60" s="23" t="n">
        <x:f>IF(OR(M60="",S60=""),"",S60/M60-1)</x:f>
        <x:v>-0.010230179028132946</x:v>
      </x:c>
      <x:c r="AA60" s="23" t="n">
        <x:f>IF(OR(M60="",T60=""),"",T60/M60-1)</x:f>
        <x:v>0.004469309462915572</x:v>
      </x:c>
      <x:c r="AB60" s="23" t="n">
        <x:f>IF(OR(M60="",U60=""),"",U60/M60-1)</x:f>
        <x:v>-0.008951406649616356</x:v>
      </x:c>
      <x:c r="AC60" s="22" t="n">
        <x:f>IF(V60="TARGET",O60,IF(OR(V60="INVALIDATION",V60="AMBIGUOUS"),N60,IF(R60&lt;&gt;"",R60,S60)))</x:f>
        <x:v>15.583</x:v>
      </x:c>
      <x:c r="AD60" s="19" t="str">
        <x:f>IF(V60="TARGET","TARGET",IF(V60="INVALIDATION","STOP",IF(V60="AMBIGUOUS","AMBIGUO→STOP",IF(R60&lt;&gt;"","60M","CIERRE"))))</x:f>
        <x:v>STOP</x:v>
      </x:c>
      <x:c r="AE60" s="23" t="n">
        <x:f>IF(OR(M60="",AC60=""),"",AC60/M60-1)</x:f>
        <x:v>-0.0036445012787723607</x:v>
      </x:c>
      <x:c r="AF60" s="19" t="str">
        <x:f>IF(AE60="","SIN DATO",IF(AE60&gt;0,"GAIN",IF(AE60&lt;0,"LOSS","FLAT")))</x:f>
        <x:v>LOSS</x:v>
      </x:c>
      <x:c r="AG60" s="19" t="n">
        <x:f>IF(COUNTIFS($E$2:E60,E60,$I$2:I60,I60)=1,1,0)</x:f>
        <x:v>0</x:v>
      </x:c>
      <x:c r="AH60" s="19" t="n">
        <x:v>232</x:v>
      </x:c>
      <x:c r="AI60" s="19" t="str">
        <x:v>Alpaca SIP 1Min raw bars</x:v>
      </x:c>
      <x:c r="AJ60" s="24" t="str">
        <x:v>019fd303-b41f-77fc-b524-1bc9dd9e924b</x:v>
      </x:c>
      <x:c r="AK60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</x:v>
      </x:c>
    </x:row>
    <x:row r="61">
      <x:c r="A61" s="19" t="n">
        <x:v>10598166</x:v>
      </x:c>
      <x:c r="B61" s="20" t="n">
        <x:v>46239</x:v>
      </x:c>
      <x:c r="C61" s="19" t="str">
        <x:v>14:42:00</x:v>
      </x:c>
      <x:c r="D61" s="19" t="str">
        <x:v>13:42:00</x:v>
      </x:c>
      <x:c r="E61" s="19" t="str">
        <x:v>L2</x:v>
      </x:c>
      <x:c r="F61" s="19" t="str">
        <x:v>AZUL</x:v>
      </x:c>
      <x:c r="G61" s="19" t="n">
        <x:v>2</x:v>
      </x:c>
      <x:c r="H61" s="24" t="str">
        <x:v>Alert Engine V2 replay</x:v>
      </x:c>
      <x:c r="I61" s="24" t="str">
        <x:v>RTX</x:v>
      </x:c>
      <x:c r="J61" s="24" t="str">
        <x:v>ENTRY_CONFIRMED</x:v>
      </x:c>
      <x:c r="K61" s="24" t="str">
        <x:v>SWING+INTRADAY</x:v>
      </x:c>
      <x:c r="L61" s="21" t="n">
        <x:v>80.36</x:v>
      </x:c>
      <x:c r="M61" s="22" t="n">
        <x:v>221.22</x:v>
      </x:c>
      <x:c r="N61" s="22" t="n">
        <x:v>220.667</x:v>
      </x:c>
      <x:c r="O61" s="22" t="n">
        <x:v>222.0496</x:v>
      </x:c>
      <x:c r="P61" s="22" t="n">
        <x:v>221.04</x:v>
      </x:c>
      <x:c r="Q61" s="22" t="n">
        <x:v>221.415</x:v>
      </x:c>
      <x:c r="R61" s="22" t="n">
        <x:v>221.75</x:v>
      </x:c>
      <x:c r="S61" s="22" t="n">
        <x:v>222.31</x:v>
      </x:c>
      <x:c r="T61" s="22" t="n">
        <x:v>221.8</x:v>
      </x:c>
      <x:c r="U61" s="22" t="n">
        <x:v>220.97</x:v>
      </x:c>
      <x:c r="V61" s="19"/>
      <x:c r="W61" s="23" t="n">
        <x:f>IF(OR(M61="",P61=""),"",P61/M61-1)</x:f>
        <x:v>-0.0008136696501220841</x:v>
      </x:c>
      <x:c r="X61" s="23" t="n">
        <x:f>IF(OR(M61="",Q61=""),"",Q61/M61-1)</x:f>
        <x:v>0.0008814754542989522</x:v>
      </x:c>
      <x:c r="Y61" s="23" t="n">
        <x:f>IF(OR(M61="",R61=""),"",R61/M61-1)</x:f>
        <x:v>0.00239580508091497</x:v>
      </x:c>
      <x:c r="Z61" s="23" t="n">
        <x:f>IF(OR(M61="",S61=""),"",S61/M61-1)</x:f>
        <x:v>0.004927221770183454</x:v>
      </x:c>
      <x:c r="AA61" s="23" t="n">
        <x:f>IF(OR(M61="",T61=""),"",T61/M61-1)</x:f>
        <x:v>0.002621824428171049</x:v>
      </x:c>
      <x:c r="AB61" s="23" t="n">
        <x:f>IF(OR(M61="",U61=""),"",U61/M61-1)</x:f>
        <x:v>-0.001130096736280617</x:v>
      </x:c>
      <x:c r="AC61" s="22" t="n">
        <x:f>IF(V61="TARGET",O61,IF(OR(V61="INVALIDATION",V61="AMBIGUOUS"),N61,IF(R61&lt;&gt;"",R61,S61)))</x:f>
        <x:v>221.75</x:v>
      </x:c>
      <x:c r="AD61" s="19" t="str">
        <x:f>IF(V61="TARGET","TARGET",IF(V61="INVALIDATION","STOP",IF(V61="AMBIGUOUS","AMBIGUO→STOP",IF(R61&lt;&gt;"","60M","CIERRE"))))</x:f>
        <x:v>60M</x:v>
      </x:c>
      <x:c r="AE61" s="23" t="n">
        <x:f>IF(OR(M61="",AC61=""),"",AC61/M61-1)</x:f>
        <x:v>0.00239580508091497</x:v>
      </x:c>
      <x:c r="AF61" s="19" t="str">
        <x:f>IF(AE61="","SIN DATO",IF(AE61&gt;0,"GAIN",IF(AE61&lt;0,"LOSS","FLAT")))</x:f>
        <x:v>GAIN</x:v>
      </x:c>
      <x:c r="AG61" s="19" t="n">
        <x:f>IF(COUNTIFS($E$2:E61,E61,$I$2:I61,I61)=1,1,0)</x:f>
        <x:v>0</x:v>
      </x:c>
      <x:c r="AH61" s="19" t="n">
        <x:v>391</x:v>
      </x:c>
      <x:c r="AI61" s="19" t="str">
        <x:v>Alpaca SIP 1Min raw bars</x:v>
      </x:c>
      <x:c r="AJ61" s="24" t="str">
        <x:v>019fd4f3-97ff-7964-997f-c230b6818476</x:v>
      </x:c>
      <x:c r="AK61" s="24" t="str">
        <x:v>entry_confirmed; swing:favorable:80.00; intraday:favorable:100.00; dilution_analysis_unavailable</x:v>
      </x:c>
    </x:row>
    <x:row r="62">
      <x:c r="A62" s="19" t="n">
        <x:v>10610121</x:v>
      </x:c>
      <x:c r="B62" s="20" t="n">
        <x:v>46239</x:v>
      </x:c>
      <x:c r="C62" s="19" t="str">
        <x:v>14:52:00</x:v>
      </x:c>
      <x:c r="D62" s="19" t="str">
        <x:v>13:52:00</x:v>
      </x:c>
      <x:c r="E62" s="19" t="str">
        <x:v>L2</x:v>
      </x:c>
      <x:c r="F62" s="19" t="str">
        <x:v>AZUL</x:v>
      </x:c>
      <x:c r="G62" s="19" t="n">
        <x:v>2</x:v>
      </x:c>
      <x:c r="H62" s="24" t="str">
        <x:v>Alert Engine V2 replay</x:v>
      </x:c>
      <x:c r="I62" s="24" t="str">
        <x:v>NU</x:v>
      </x:c>
      <x:c r="J62" s="24" t="str">
        <x:v>ENTRY_CONFIRMED</x:v>
      </x:c>
      <x:c r="K62" s="24" t="str">
        <x:v>SWING+INTRADAY</x:v>
      </x:c>
      <x:c r="L62" s="21" t="n">
        <x:v>100</x:v>
      </x:c>
      <x:c r="M62" s="22" t="n">
        <x:v>14.555</x:v>
      </x:c>
      <x:c r="N62" s="22" t="n">
        <x:v>14.5186</x:v>
      </x:c>
      <x:c r="O62" s="22" t="n">
        <x:v>14.6096</x:v>
      </x:c>
      <x:c r="P62" s="22" t="n">
        <x:v>14.525</x:v>
      </x:c>
      <x:c r="Q62" s="22" t="n">
        <x:v>14.505</x:v>
      </x:c>
      <x:c r="R62" s="22" t="n">
        <x:v>14.475</x:v>
      </x:c>
      <x:c r="S62" s="22" t="n">
        <x:v>14.475</x:v>
      </x:c>
      <x:c r="T62" s="22" t="n">
        <x:v>14.565</x:v>
      </x:c>
      <x:c r="U62" s="22" t="n">
        <x:v>14.475</x:v>
      </x:c>
      <x:c r="V62" s="19" t="str">
        <x:v>INVALIDATION</x:v>
      </x:c>
      <x:c r="W62" s="23" t="n">
        <x:f>IF(OR(M62="",P62=""),"",P62/M62-1)</x:f>
        <x:v>-0.0020611473720371087</x:v>
      </x:c>
      <x:c r="X62" s="23" t="n">
        <x:f>IF(OR(M62="",Q62=""),"",Q62/M62-1)</x:f>
        <x:v>-0.003435245620061811</x:v>
      </x:c>
      <x:c r="Y62" s="23" t="n">
        <x:f>IF(OR(M62="",R62=""),"",R62/M62-1)</x:f>
        <x:v>-0.00549639299209892</x:v>
      </x:c>
      <x:c r="Z62" s="23" t="n">
        <x:f>IF(OR(M62="",S62=""),"",S62/M62-1)</x:f>
        <x:v>-0.00549639299209892</x:v>
      </x:c>
      <x:c r="AA62" s="23" t="n">
        <x:f>IF(OR(M62="",T62=""),"",T62/M62-1)</x:f>
        <x:v>0.0006870491240122956</x:v>
      </x:c>
      <x:c r="AB62" s="23" t="n">
        <x:f>IF(OR(M62="",U62=""),"",U62/M62-1)</x:f>
        <x:v>-0.00549639299209892</x:v>
      </x:c>
      <x:c r="AC62" s="22" t="n">
        <x:f>IF(V62="TARGET",O62,IF(OR(V62="INVALIDATION",V62="AMBIGUOUS"),N62,IF(R62&lt;&gt;"",R62,S62)))</x:f>
        <x:v>14.5186</x:v>
      </x:c>
      <x:c r="AD62" s="19" t="str">
        <x:f>IF(V62="TARGET","TARGET",IF(V62="INVALIDATION","STOP",IF(V62="AMBIGUOUS","AMBIGUO→STOP",IF(R62&lt;&gt;"","60M","CIERRE"))))</x:f>
        <x:v>STOP</x:v>
      </x:c>
      <x:c r="AE62" s="23" t="n">
        <x:f>IF(OR(M62="",AC62=""),"",AC62/M62-1)</x:f>
        <x:v>-0.002500858811405049</x:v>
      </x:c>
      <x:c r="AF62" s="19" t="str">
        <x:f>IF(AE62="","SIN DATO",IF(AE62&gt;0,"GAIN",IF(AE62&lt;0,"LOSS","FLAT")))</x:f>
        <x:v>LOSS</x:v>
      </x:c>
      <x:c r="AG62" s="19" t="n">
        <x:f>IF(COUNTIFS($E$2:E62,E62,$I$2:I62,I62)=1,1,0)</x:f>
        <x:v>0</x:v>
      </x:c>
      <x:c r="AH62" s="19" t="n">
        <x:v>392</x:v>
      </x:c>
      <x:c r="AI62" s="19" t="str">
        <x:v>Alpaca SIP 1Min raw bars</x:v>
      </x:c>
      <x:c r="AJ62" s="24" t="str">
        <x:v>019fd4f3-99fc-74f8-88b0-1b341ab98f60</x:v>
      </x:c>
      <x:c r="AK62" s="24" t="str">
        <x:v>entry_confirmed; swing:favorable:100.00; intraday:favorable:100.00; dilution_analysis_unavailable</x:v>
      </x:c>
    </x:row>
    <x:row r="63">
      <x:c r="A63" s="19" t="n">
        <x:v>10619706</x:v>
      </x:c>
      <x:c r="B63" s="20" t="n">
        <x:v>46239</x:v>
      </x:c>
      <x:c r="C63" s="19" t="str">
        <x:v>15:03:00</x:v>
      </x:c>
      <x:c r="D63" s="19" t="str">
        <x:v>14:03:00</x:v>
      </x:c>
      <x:c r="E63" s="19" t="str">
        <x:v>L1</x:v>
      </x:c>
      <x:c r="F63" s="19" t="str">
        <x:v>AMARILLO</x:v>
      </x:c>
      <x:c r="G63" s="19" t="n">
        <x:v>1</x:v>
      </x:c>
      <x:c r="H63" s="24" t="str">
        <x:v>Alert Engine V2 replay</x:v>
      </x:c>
      <x:c r="I63" s="24" t="str">
        <x:v>COP</x:v>
      </x:c>
      <x:c r="J63" s="24" t="str">
        <x:v>ENTRY_CONFIRMED</x:v>
      </x:c>
      <x:c r="K63" s="24" t="str">
        <x:v>LONG_TERM+INTRADAY</x:v>
      </x:c>
      <x:c r="L63" s="21" t="n">
        <x:v>83.96</x:v>
      </x:c>
      <x:c r="M63" s="22" t="n">
        <x:v>116.01</x:v>
      </x:c>
      <x:c r="N63" s="22" t="n">
        <x:v>115.72</x:v>
      </x:c>
      <x:c r="O63" s="22" t="n">
        <x:v>116.445</x:v>
      </x:c>
      <x:c r="P63" s="22" t="n">
        <x:v>116.13</x:v>
      </x:c>
      <x:c r="Q63" s="22" t="n">
        <x:v>116.185</x:v>
      </x:c>
      <x:c r="R63" s="22" t="n">
        <x:v>115.81</x:v>
      </x:c>
      <x:c r="S63" s="22" t="n">
        <x:v>115.04</x:v>
      </x:c>
      <x:c r="T63" s="22" t="n">
        <x:v>116.25</x:v>
      </x:c>
      <x:c r="U63" s="22" t="n">
        <x:v>115.805</x:v>
      </x:c>
      <x:c r="V63" s="19"/>
      <x:c r="W63" s="23" t="n">
        <x:f>IF(OR(M63="",P63=""),"",P63/M63-1)</x:f>
        <x:v>0.0010343935867596077</x:v>
      </x:c>
      <x:c r="X63" s="23" t="n">
        <x:f>IF(OR(M63="",Q63=""),"",Q63/M63-1)</x:f>
        <x:v>0.0015084906473579185</x:v>
      </x:c>
      <x:c r="Y63" s="23" t="n">
        <x:f>IF(OR(M63="",R63=""),"",R63/M63-1)</x:f>
        <x:v>-0.0017239893112662719</x:v>
      </x:c>
      <x:c r="Z63" s="23" t="n">
        <x:f>IF(OR(M63="",S63=""),"",S63/M63-1)</x:f>
        <x:v>-0.008361348159641402</x:v>
      </x:c>
      <x:c r="AA63" s="23" t="n">
        <x:f>IF(OR(M63="",T63=""),"",T63/M63-1)</x:f>
        <x:v>0.0020687871735194374</x:v>
      </x:c>
      <x:c r="AB63" s="23" t="n">
        <x:f>IF(OR(M63="",U63=""),"",U63/M63-1)</x:f>
        <x:v>-0.001767089044047876</x:v>
      </x:c>
      <x:c r="AC63" s="22" t="n">
        <x:f>IF(V63="TARGET",O63,IF(OR(V63="INVALIDATION",V63="AMBIGUOUS"),N63,IF(R63&lt;&gt;"",R63,S63)))</x:f>
        <x:v>115.81</x:v>
      </x:c>
      <x:c r="AD63" s="19" t="str">
        <x:f>IF(V63="TARGET","TARGET",IF(V63="INVALIDATION","STOP",IF(V63="AMBIGUOUS","AMBIGUO→STOP",IF(R63&lt;&gt;"","60M","CIERRE"))))</x:f>
        <x:v>60M</x:v>
      </x:c>
      <x:c r="AE63" s="23" t="n">
        <x:f>IF(OR(M63="",AC63=""),"",AC63/M63-1)</x:f>
        <x:v>-0.0017239893112662719</x:v>
      </x:c>
      <x:c r="AF63" s="19" t="str">
        <x:f>IF(AE63="","SIN DATO",IF(AE63&gt;0,"GAIN",IF(AE63&lt;0,"LOSS","FLAT")))</x:f>
        <x:v>LOSS</x:v>
      </x:c>
      <x:c r="AG63" s="19" t="n">
        <x:f>IF(COUNTIFS($E$2:E63,E63,$I$2:I63,I63)=1,1,0)</x:f>
        <x:v>1</x:v>
      </x:c>
      <x:c r="AH63" s="19" t="n">
        <x:v>391</x:v>
      </x:c>
      <x:c r="AI63" s="19" t="str">
        <x:v>Alpaca SIP 1Min raw bars</x:v>
      </x:c>
      <x:c r="AJ63" s="24" t="str">
        <x:v>019fd4f3-9b99-7cba-9bec-c985e97e75ea</x:v>
      </x:c>
      <x:c r="AK63" s="24" t="str">
        <x:v>entry_confirmed; long_term:watch:82.41; intraday:favorable:100.00; dilution_analysis_unavailable</x:v>
      </x:c>
    </x:row>
    <x:row r="64">
      <x:c r="A64" s="19" t="n">
        <x:v>10620895</x:v>
      </x:c>
      <x:c r="B64" s="20" t="n">
        <x:v>46239</x:v>
      </x:c>
      <x:c r="C64" s="19" t="str">
        <x:v>15:04:00</x:v>
      </x:c>
      <x:c r="D64" s="19" t="str">
        <x:v>14:04:00</x:v>
      </x:c>
      <x:c r="E64" s="19" t="str">
        <x:v>L2</x:v>
      </x:c>
      <x:c r="F64" s="19" t="str">
        <x:v>AZUL</x:v>
      </x:c>
      <x:c r="G64" s="19" t="n">
        <x:v>2</x:v>
      </x:c>
      <x:c r="H64" s="24" t="str">
        <x:v>Alert Engine V2 replay</x:v>
      </x:c>
      <x:c r="I64" s="24" t="str">
        <x:v>ETHA</x:v>
      </x:c>
      <x:c r="J64" s="24" t="str">
        <x:v>ENTRY_CONFIRMED</x:v>
      </x:c>
      <x:c r="K64" s="24" t="str">
        <x:v>SWING+INTRADAY</x:v>
      </x:c>
      <x:c r="L64" s="21" t="n">
        <x:v>90.62</x:v>
      </x:c>
      <x:c r="M64" s="22" t="n">
        <x:v>14.48</x:v>
      </x:c>
      <x:c r="N64" s="22" t="n">
        <x:v>14.4438</x:v>
      </x:c>
      <x:c r="O64" s="22" t="n">
        <x:v>14.5343</x:v>
      </x:c>
      <x:c r="P64" s="22" t="n">
        <x:v>14.485</x:v>
      </x:c>
      <x:c r="Q64" s="22" t="n">
        <x:v>14.445</x:v>
      </x:c>
      <x:c r="R64" s="22" t="n">
        <x:v>14.48</x:v>
      </x:c>
      <x:c r="S64" s="22" t="n">
        <x:v>14.46</x:v>
      </x:c>
      <x:c r="T64" s="22" t="n">
        <x:v>14.545</x:v>
      </x:c>
      <x:c r="U64" s="22" t="n">
        <x:v>14.435</x:v>
      </x:c>
      <x:c r="V64" s="19" t="str">
        <x:v>INVALIDATION</x:v>
      </x:c>
      <x:c r="W64" s="23" t="n">
        <x:f>IF(OR(M64="",P64=""),"",P64/M64-1)</x:f>
        <x:v>0.00034530386740327934</x:v>
      </x:c>
      <x:c r="X64" s="23" t="n">
        <x:f>IF(OR(M64="",Q64=""),"",Q64/M64-1)</x:f>
        <x:v>-0.0024171270718231774</x:v>
      </x:c>
      <x:c r="Y64" s="23" t="n">
        <x:f>IF(OR(M64="",R64=""),"",R64/M64-1)</x:f>
        <x:v>0</x:v>
      </x:c>
      <x:c r="Z64" s="23" t="n">
        <x:f>IF(OR(M64="",S64=""),"",S64/M64-1)</x:f>
        <x:v>-0.0013812154696132284</x:v>
      </x:c>
      <x:c r="AA64" s="23" t="n">
        <x:f>IF(OR(M64="",T64=""),"",T64/M64-1)</x:f>
        <x:v>0.0044889502762430755</x:v>
      </x:c>
      <x:c r="AB64" s="23" t="n">
        <x:f>IF(OR(M64="",U64=""),"",U64/M64-1)</x:f>
        <x:v>-0.003107734806629847</x:v>
      </x:c>
      <x:c r="AC64" s="22" t="n">
        <x:f>IF(V64="TARGET",O64,IF(OR(V64="INVALIDATION",V64="AMBIGUOUS"),N64,IF(R64&lt;&gt;"",R64,S64)))</x:f>
        <x:v>14.4438</x:v>
      </x:c>
      <x:c r="AD64" s="19" t="str">
        <x:f>IF(V64="TARGET","TARGET",IF(V64="INVALIDATION","STOP",IF(V64="AMBIGUOUS","AMBIGUO→STOP",IF(R64&lt;&gt;"","60M","CIERRE"))))</x:f>
        <x:v>STOP</x:v>
      </x:c>
      <x:c r="AE64" s="23" t="n">
        <x:f>IF(OR(M64="",AC64=""),"",AC64/M64-1)</x:f>
        <x:v>-0.0025000000000000577</x:v>
      </x:c>
      <x:c r="AF64" s="19" t="str">
        <x:f>IF(AE64="","SIN DATO",IF(AE64&gt;0,"GAIN",IF(AE64&lt;0,"LOSS","FLAT")))</x:f>
        <x:v>LOSS</x:v>
      </x:c>
      <x:c r="AG64" s="19" t="n">
        <x:f>IF(COUNTIFS($E$2:E64,E64,$I$2:I64,I64)=1,1,0)</x:f>
        <x:v>0</x:v>
      </x:c>
      <x:c r="AH64" s="19" t="n">
        <x:v>392</x:v>
      </x:c>
      <x:c r="AI64" s="19" t="str">
        <x:v>Alpaca SIP 1Min raw bars</x:v>
      </x:c>
      <x:c r="AJ64" s="24" t="str">
        <x:v>019fd4f3-9bc5-795c-b218-be0680cb85eb</x:v>
      </x:c>
      <x:c r="AK64" s="24" t="str">
        <x:v>entry_confirmed; swing:favorable:91.00; intraday:favorable:100.00; dilution_analysis_unavailable</x:v>
      </x:c>
    </x:row>
    <x:row r="65">
      <x:c r="A65" s="19" t="n">
        <x:v>10620899</x:v>
      </x:c>
      <x:c r="B65" s="20" t="n">
        <x:v>46239</x:v>
      </x:c>
      <x:c r="C65" s="19" t="str">
        <x:v>15:04:00</x:v>
      </x:c>
      <x:c r="D65" s="19" t="str">
        <x:v>14:04:00</x:v>
      </x:c>
      <x:c r="E65" s="19" t="str">
        <x:v>L4</x:v>
      </x:c>
      <x:c r="F65" s="19" t="str">
        <x:v>MAGENTA</x:v>
      </x:c>
      <x:c r="G65" s="19" t="n">
        <x:v>3</x:v>
      </x:c>
      <x:c r="H65" s="24" t="str">
        <x:v>Signal Fusion</x:v>
      </x:c>
      <x:c r="I65" s="24" t="str">
        <x:v>ETHA</x:v>
      </x:c>
      <x:c r="J65" s="24" t="str">
        <x:v>RECOVERY_CONFIRMED</x:v>
      </x:c>
      <x:c r="K65" s="24" t="str"/>
      <x:c r="L65" s="21" t="n">
        <x:v>60</x:v>
      </x:c>
      <x:c r="M65" s="22" t="n">
        <x:v>14.48</x:v>
      </x:c>
      <x:c r="N65" s="22" t="n">
        <x:v>14.4438</x:v>
      </x:c>
      <x:c r="O65" s="22" t="n">
        <x:v>15.2186</x:v>
      </x:c>
      <x:c r="P65" s="22" t="n">
        <x:v>14.485</x:v>
      </x:c>
      <x:c r="Q65" s="22" t="n">
        <x:v>14.445</x:v>
      </x:c>
      <x:c r="R65" s="22" t="n">
        <x:v>14.48</x:v>
      </x:c>
      <x:c r="S65" s="22" t="n">
        <x:v>14.46</x:v>
      </x:c>
      <x:c r="T65" s="22" t="n">
        <x:v>14.545</x:v>
      </x:c>
      <x:c r="U65" s="22" t="n">
        <x:v>14.435</x:v>
      </x:c>
      <x:c r="V65" s="19" t="str">
        <x:v>INVALIDATION</x:v>
      </x:c>
      <x:c r="W65" s="23" t="n">
        <x:f>IF(OR(M65="",P65=""),"",P65/M65-1)</x:f>
        <x:v>0.00034530386740327934</x:v>
      </x:c>
      <x:c r="X65" s="23" t="n">
        <x:f>IF(OR(M65="",Q65=""),"",Q65/M65-1)</x:f>
        <x:v>-0.0024171270718231774</x:v>
      </x:c>
      <x:c r="Y65" s="23" t="n">
        <x:f>IF(OR(M65="",R65=""),"",R65/M65-1)</x:f>
        <x:v>0</x:v>
      </x:c>
      <x:c r="Z65" s="23" t="n">
        <x:f>IF(OR(M65="",S65=""),"",S65/M65-1)</x:f>
        <x:v>-0.0013812154696132284</x:v>
      </x:c>
      <x:c r="AA65" s="23" t="n">
        <x:f>IF(OR(M65="",T65=""),"",T65/M65-1)</x:f>
        <x:v>0.0044889502762430755</x:v>
      </x:c>
      <x:c r="AB65" s="23" t="n">
        <x:f>IF(OR(M65="",U65=""),"",U65/M65-1)</x:f>
        <x:v>-0.003107734806629847</x:v>
      </x:c>
      <x:c r="AC65" s="22" t="n">
        <x:f>IF(V65="TARGET",O65,IF(OR(V65="INVALIDATION",V65="AMBIGUOUS"),N65,IF(R65&lt;&gt;"",R65,S65)))</x:f>
        <x:v>14.4438</x:v>
      </x:c>
      <x:c r="AD65" s="19" t="str">
        <x:f>IF(V65="TARGET","TARGET",IF(V65="INVALIDATION","STOP",IF(V65="AMBIGUOUS","AMBIGUO→STOP",IF(R65&lt;&gt;"","60M","CIERRE"))))</x:f>
        <x:v>STOP</x:v>
      </x:c>
      <x:c r="AE65" s="23" t="n">
        <x:f>IF(OR(M65="",AC65=""),"",AC65/M65-1)</x:f>
        <x:v>-0.0025000000000000577</x:v>
      </x:c>
      <x:c r="AF65" s="19" t="str">
        <x:f>IF(AE65="","SIN DATO",IF(AE65&gt;0,"GAIN",IF(AE65&lt;0,"LOSS","FLAT")))</x:f>
        <x:v>LOSS</x:v>
      </x:c>
      <x:c r="AG65" s="19" t="n">
        <x:f>IF(COUNTIFS($E$2:E65,E65,$I$2:I65,I65)=1,1,0)</x:f>
        <x:v>0</x:v>
      </x:c>
      <x:c r="AH65" s="19" t="n">
        <x:v>392</x:v>
      </x:c>
      <x:c r="AI65" s="19" t="str">
        <x:v>Alpaca SIP 1Min raw bars</x:v>
      </x:c>
      <x:c r="AJ65" s="24" t="str">
        <x:v>019fd319-aa20-7bf9-87f2-222e0be80b27</x:v>
      </x:c>
      <x:c r="AK65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</x:v>
      </x:c>
    </x:row>
    <x:row r="66">
      <x:c r="A66" s="19" t="n">
        <x:v>10632802</x:v>
      </x:c>
      <x:c r="B66" s="20" t="n">
        <x:v>46239</x:v>
      </x:c>
      <x:c r="C66" s="19" t="str">
        <x:v>15:14:00</x:v>
      </x:c>
      <x:c r="D66" s="19" t="str">
        <x:v>14:14:00</x:v>
      </x:c>
      <x:c r="E66" s="19" t="str">
        <x:v>L2</x:v>
      </x:c>
      <x:c r="F66" s="19" t="str">
        <x:v>AZUL</x:v>
      </x:c>
      <x:c r="G66" s="19" t="n">
        <x:v>2</x:v>
      </x:c>
      <x:c r="H66" s="24" t="str">
        <x:v>Alert Engine V2 replay</x:v>
      </x:c>
      <x:c r="I66" s="24" t="str">
        <x:v>INTU</x:v>
      </x:c>
      <x:c r="J66" s="24" t="str">
        <x:v>ENTRY_CONFIRMED</x:v>
      </x:c>
      <x:c r="K66" s="24" t="str">
        <x:v>SWING+INTRADAY</x:v>
      </x:c>
      <x:c r="L66" s="21" t="n">
        <x:v>89.64</x:v>
      </x:c>
      <x:c r="M66" s="22" t="n">
        <x:v>326</x:v>
      </x:c>
      <x:c r="N66" s="22" t="n">
        <x:v>325.185</x:v>
      </x:c>
      <x:c r="O66" s="22" t="n">
        <x:v>327.2225</x:v>
      </x:c>
      <x:c r="P66" s="22" t="n">
        <x:v>325.365</x:v>
      </x:c>
      <x:c r="Q66" s="22" t="n">
        <x:v>325.39</x:v>
      </x:c>
      <x:c r="R66" s="22" t="n">
        <x:v>325.47</x:v>
      </x:c>
      <x:c r="S66" s="22" t="n">
        <x:v>327.94</x:v>
      </x:c>
      <x:c r="T66" s="22" t="n">
        <x:v>326.19</x:v>
      </x:c>
      <x:c r="U66" s="22" t="n">
        <x:v>324.34</x:v>
      </x:c>
      <x:c r="V66" s="19" t="str">
        <x:v>INVALIDATION</x:v>
      </x:c>
      <x:c r="W66" s="23" t="n">
        <x:f>IF(OR(M66="",P66=""),"",P66/M66-1)</x:f>
        <x:v>-0.0019478527607361684</x:v>
      </x:c>
      <x:c r="X66" s="23" t="n">
        <x:f>IF(OR(M66="",Q66=""),"",Q66/M66-1)</x:f>
        <x:v>-0.0018711656441717794</x:v>
      </x:c>
      <x:c r="Y66" s="23" t="n">
        <x:f>IF(OR(M66="",R66=""),"",R66/M66-1)</x:f>
        <x:v>-0.001625766871165557</x:v>
      </x:c>
      <x:c r="Z66" s="23" t="n">
        <x:f>IF(OR(M66="",S66=""),"",S66/M66-1)</x:f>
        <x:v>0.005950920245398672</x:v>
      </x:c>
      <x:c r="AA66" s="23" t="n">
        <x:f>IF(OR(M66="",T66=""),"",T66/M66-1)</x:f>
        <x:v>0.0005828220858896671</x:v>
      </x:c>
      <x:c r="AB66" s="23" t="n">
        <x:f>IF(OR(M66="",U66=""),"",U66/M66-1)</x:f>
        <x:v>-0.005092024539877338</x:v>
      </x:c>
      <x:c r="AC66" s="22" t="n">
        <x:f>IF(V66="TARGET",O66,IF(OR(V66="INVALIDATION",V66="AMBIGUOUS"),N66,IF(R66&lt;&gt;"",R66,S66)))</x:f>
        <x:v>325.185</x:v>
      </x:c>
      <x:c r="AD66" s="19" t="str">
        <x:f>IF(V66="TARGET","TARGET",IF(V66="INVALIDATION","STOP",IF(V66="AMBIGUOUS","AMBIGUO→STOP",IF(R66&lt;&gt;"","60M","CIERRE"))))</x:f>
        <x:v>STOP</x:v>
      </x:c>
      <x:c r="AE66" s="23" t="n">
        <x:f>IF(OR(M66="",AC66=""),"",AC66/M66-1)</x:f>
        <x:v>-0.0024999999999999467</x:v>
      </x:c>
      <x:c r="AF66" s="19" t="str">
        <x:f>IF(AE66="","SIN DATO",IF(AE66&gt;0,"GAIN",IF(AE66&lt;0,"LOSS","FLAT")))</x:f>
        <x:v>LOSS</x:v>
      </x:c>
      <x:c r="AG66" s="19" t="n">
        <x:f>IF(COUNTIFS($E$2:E66,E66,$I$2:I66,I66)=1,1,0)</x:f>
        <x:v>0</x:v>
      </x:c>
      <x:c r="AH66" s="19" t="n">
        <x:v>391</x:v>
      </x:c>
      <x:c r="AI66" s="19" t="str">
        <x:v>Alpaca SIP 1Min raw bars</x:v>
      </x:c>
      <x:c r="AJ66" s="24" t="str">
        <x:v>019fd4f3-9da5-7bbd-909f-f98aee4b38c9</x:v>
      </x:c>
      <x:c r="AK66" s="24" t="str">
        <x:v>entry_confirmed; swing:favorable:90.00; intraday:favorable:100.00; dilution_analysis_unavailable</x:v>
      </x:c>
    </x:row>
    <x:row r="67">
      <x:c r="A67" s="19" t="n">
        <x:v>10672286</x:v>
      </x:c>
      <x:c r="B67" s="20" t="n">
        <x:v>46239</x:v>
      </x:c>
      <x:c r="C67" s="19" t="str">
        <x:v>15:47:00</x:v>
      </x:c>
      <x:c r="D67" s="19" t="str">
        <x:v>14:47:00</x:v>
      </x:c>
      <x:c r="E67" s="19" t="str">
        <x:v>L2</x:v>
      </x:c>
      <x:c r="F67" s="19" t="str">
        <x:v>AZUL</x:v>
      </x:c>
      <x:c r="G67" s="19" t="n">
        <x:v>2</x:v>
      </x:c>
      <x:c r="H67" s="24" t="str">
        <x:v>Alert Engine V2 replay</x:v>
      </x:c>
      <x:c r="I67" s="24" t="str">
        <x:v>RTX</x:v>
      </x:c>
      <x:c r="J67" s="24" t="str">
        <x:v>ENTRY_CONFIRMED</x:v>
      </x:c>
      <x:c r="K67" s="24" t="str">
        <x:v>SWING+INTRADAY</x:v>
      </x:c>
      <x:c r="L67" s="21" t="n">
        <x:v>100</x:v>
      </x:c>
      <x:c r="M67" s="22" t="n">
        <x:v>222.09</x:v>
      </x:c>
      <x:c r="N67" s="22" t="n">
        <x:v>221.5348</x:v>
      </x:c>
      <x:c r="O67" s="22" t="n">
        <x:v>222.9228</x:v>
      </x:c>
      <x:c r="P67" s="22" t="n">
        <x:v>221.925</x:v>
      </x:c>
      <x:c r="Q67" s="22" t="n">
        <x:v>221.94</x:v>
      </x:c>
      <x:c r="R67" s="22" t="n">
        <x:v>222.5399</x:v>
      </x:c>
      <x:c r="S67" s="22" t="n">
        <x:v>222.31</x:v>
      </x:c>
      <x:c r="T67" s="22" t="n">
        <x:v>222.7</x:v>
      </x:c>
      <x:c r="U67" s="22" t="n">
        <x:v>221.7</x:v>
      </x:c>
      <x:c r="V67" s="19"/>
      <x:c r="W67" s="23" t="n">
        <x:f>IF(OR(M67="",P67=""),"",P67/M67-1)</x:f>
        <x:v>-0.0007429420505200568</x:v>
      </x:c>
      <x:c r="X67" s="23" t="n">
        <x:f>IF(OR(M67="",Q67=""),"",Q67/M67-1)</x:f>
        <x:v>-0.000675401864109193</x:v>
      </x:c>
      <x:c r="Y67" s="23" t="n">
        <x:f>IF(OR(M67="",R67=""),"",R67/M67-1)</x:f>
        <x:v>0.002025755324418066</x:v>
      </x:c>
      <x:c r="Z67" s="23" t="n">
        <x:f>IF(OR(M67="",S67=""),"",S67/M67-1)</x:f>
        <x:v>0.000990589400693409</x:v>
      </x:c>
      <x:c r="AA67" s="23" t="n">
        <x:f>IF(OR(M67="",T67=""),"",T67/M67-1)</x:f>
        <x:v>0.0027466342473772</x:v>
      </x:c>
      <x:c r="AB67" s="23" t="n">
        <x:f>IF(OR(M67="",U67=""),"",U67/M67-1)</x:f>
        <x:v>-0.0017560448466837908</x:v>
      </x:c>
      <x:c r="AC67" s="22" t="n">
        <x:f>IF(V67="TARGET",O67,IF(OR(V67="INVALIDATION",V67="AMBIGUOUS"),N67,IF(R67&lt;&gt;"",R67,S67)))</x:f>
        <x:v>222.5399</x:v>
      </x:c>
      <x:c r="AD67" s="19" t="str">
        <x:f>IF(V67="TARGET","TARGET",IF(V67="INVALIDATION","STOP",IF(V67="AMBIGUOUS","AMBIGUO→STOP",IF(R67&lt;&gt;"","60M","CIERRE"))))</x:f>
        <x:v>60M</x:v>
      </x:c>
      <x:c r="AE67" s="23" t="n">
        <x:f>IF(OR(M67="",AC67=""),"",AC67/M67-1)</x:f>
        <x:v>0.002025755324418066</x:v>
      </x:c>
      <x:c r="AF67" s="19" t="str">
        <x:f>IF(AE67="","SIN DATO",IF(AE67&gt;0,"GAIN",IF(AE67&lt;0,"LOSS","FLAT")))</x:f>
        <x:v>GAIN</x:v>
      </x:c>
      <x:c r="AG67" s="19" t="n">
        <x:f>IF(COUNTIFS($E$2:E67,E67,$I$2:I67,I67)=1,1,0)</x:f>
        <x:v>0</x:v>
      </x:c>
      <x:c r="AH67" s="19" t="n">
        <x:v>391</x:v>
      </x:c>
      <x:c r="AI67" s="19" t="str">
        <x:v>Alpaca SIP 1Min raw bars</x:v>
      </x:c>
      <x:c r="AJ67" s="24" t="str">
        <x:v>019fd4f3-a3bb-7cfd-b75e-f152fe01f664</x:v>
      </x:c>
      <x:c r="AK67" s="24" t="str">
        <x:v>entry_confirmed; swing:favorable:100.00; intraday:favorable:100.00; dilution_analysis_unavailable</x:v>
      </x:c>
    </x:row>
    <x:row r="68">
      <x:c r="A68" s="19" t="n">
        <x:v>10682141</x:v>
      </x:c>
      <x:c r="B68" s="20" t="n">
        <x:v>46239</x:v>
      </x:c>
      <x:c r="C68" s="19" t="str">
        <x:v>15:55:00</x:v>
      </x:c>
      <x:c r="D68" s="19" t="str">
        <x:v>14:55:00</x:v>
      </x:c>
      <x:c r="E68" s="19" t="str">
        <x:v>L2</x:v>
      </x:c>
      <x:c r="F68" s="19" t="str">
        <x:v>AZUL</x:v>
      </x:c>
      <x:c r="G68" s="19" t="n">
        <x:v>2</x:v>
      </x:c>
      <x:c r="H68" s="24" t="str">
        <x:v>Alert Engine V2 replay</x:v>
      </x:c>
      <x:c r="I68" s="24" t="str">
        <x:v>BLFS</x:v>
      </x:c>
      <x:c r="J68" s="24" t="str">
        <x:v>ENTRY_CONFIRMED</x:v>
      </x:c>
      <x:c r="K68" s="24" t="str">
        <x:v>SWING+INTRADAY</x:v>
      </x:c>
      <x:c r="L68" s="21" t="n">
        <x:v>100</x:v>
      </x:c>
      <x:c r="M68" s="22" t="n">
        <x:v>33.52</x:v>
      </x:c>
      <x:c r="N68" s="22" t="n">
        <x:v>33.4362</x:v>
      </x:c>
      <x:c r="O68" s="22" t="n">
        <x:v>33.6457</x:v>
      </x:c>
      <x:c r="P68" s="22" t="n">
        <x:v>33.32</x:v>
      </x:c>
      <x:c r="Q68" s="22" t="n">
        <x:v>33.445</x:v>
      </x:c>
      <x:c r="R68" s="22" t="n">
        <x:v>33.72</x:v>
      </x:c>
      <x:c r="S68" s="22" t="n">
        <x:v>33.8</x:v>
      </x:c>
      <x:c r="T68" s="22" t="n">
        <x:v>33.74</x:v>
      </x:c>
      <x:c r="U68" s="22" t="n">
        <x:v>33.32</x:v>
      </x:c>
      <x:c r="V68" s="19" t="str">
        <x:v>INVALIDATION</x:v>
      </x:c>
      <x:c r="W68" s="23" t="n">
        <x:f>IF(OR(M68="",P68=""),"",P68/M68-1)</x:f>
        <x:v>-0.005966587112171906</x:v>
      </x:c>
      <x:c r="X68" s="23" t="n">
        <x:f>IF(OR(M68="",Q68=""),"",Q68/M68-1)</x:f>
        <x:v>-0.002237470167064548</x:v>
      </x:c>
      <x:c r="Y68" s="23" t="n">
        <x:f>IF(OR(M68="",R68=""),"",R68/M68-1)</x:f>
        <x:v>0.005966587112171684</x:v>
      </x:c>
      <x:c r="Z68" s="23" t="n">
        <x:f>IF(OR(M68="",S68=""),"",S68/M68-1)</x:f>
        <x:v>0.008353221957040358</x:v>
      </x:c>
      <x:c r="AA68" s="23" t="n">
        <x:f>IF(OR(M68="",T68=""),"",T68/M68-1)</x:f>
        <x:v>0.0065632458233890745</x:v>
      </x:c>
      <x:c r="AB68" s="23" t="n">
        <x:f>IF(OR(M68="",U68=""),"",U68/M68-1)</x:f>
        <x:v>-0.005966587112171906</x:v>
      </x:c>
      <x:c r="AC68" s="22" t="n">
        <x:f>IF(V68="TARGET",O68,IF(OR(V68="INVALIDATION",V68="AMBIGUOUS"),N68,IF(R68&lt;&gt;"",R68,S68)))</x:f>
        <x:v>33.4362</x:v>
      </x:c>
      <x:c r="AD68" s="19" t="str">
        <x:f>IF(V68="TARGET","TARGET",IF(V68="INVALIDATION","STOP",IF(V68="AMBIGUOUS","AMBIGUO→STOP",IF(R68&lt;&gt;"","60M","CIERRE"))))</x:f>
        <x:v>STOP</x:v>
      </x:c>
      <x:c r="AE68" s="23" t="n">
        <x:f>IF(OR(M68="",AC68=""),"",AC68/M68-1)</x:f>
        <x:v>-0.0025000000000000577</x:v>
      </x:c>
      <x:c r="AF68" s="19" t="str">
        <x:f>IF(AE68="","SIN DATO",IF(AE68&gt;0,"GAIN",IF(AE68&lt;0,"LOSS","FLAT")))</x:f>
        <x:v>LOSS</x:v>
      </x:c>
      <x:c r="AG68" s="19" t="n">
        <x:f>IF(COUNTIFS($E$2:E68,E68,$I$2:I68,I68)=1,1,0)</x:f>
        <x:v>0</x:v>
      </x:c>
      <x:c r="AH68" s="19" t="n">
        <x:v>241</x:v>
      </x:c>
      <x:c r="AI68" s="19" t="str">
        <x:v>Alpaca SIP 1Min raw bars</x:v>
      </x:c>
      <x:c r="AJ68" s="24" t="str">
        <x:v>019fd4f3-a55f-7baf-a210-425ec05caa43</x:v>
      </x:c>
      <x:c r="AK68" s="24" t="str">
        <x:v>entry_confirmed; swing:favorable:100.00; intraday:favorable:100.00; dilution_analysis_unavailable</x:v>
      </x:c>
    </x:row>
    <x:row r="69">
      <x:c r="A69" s="19" t="n">
        <x:v>10723271</x:v>
      </x:c>
      <x:c r="B69" s="20" t="n">
        <x:v>46239</x:v>
      </x:c>
      <x:c r="C69" s="19" t="str">
        <x:v>16:15:00</x:v>
      </x:c>
      <x:c r="D69" s="19" t="str">
        <x:v>15:15:00</x:v>
      </x:c>
      <x:c r="E69" s="19" t="str">
        <x:v>L2</x:v>
      </x:c>
      <x:c r="F69" s="19" t="str">
        <x:v>AZUL</x:v>
      </x:c>
      <x:c r="G69" s="19" t="n">
        <x:v>2</x:v>
      </x:c>
      <x:c r="H69" s="24" t="str">
        <x:v>Alert Engine V2 replay</x:v>
      </x:c>
      <x:c r="I69" s="24" t="str">
        <x:v>SE</x:v>
      </x:c>
      <x:c r="J69" s="24" t="str">
        <x:v>ENTRY_CONFIRMED</x:v>
      </x:c>
      <x:c r="K69" s="24" t="str">
        <x:v>SWING+INTRADAY</x:v>
      </x:c>
      <x:c r="L69" s="21" t="n">
        <x:v>82.13</x:v>
      </x:c>
      <x:c r="M69" s="22" t="n">
        <x:v>114.57</x:v>
      </x:c>
      <x:c r="N69" s="22" t="n">
        <x:v>114.2836</x:v>
      </x:c>
      <x:c r="O69" s="22" t="n">
        <x:v>114.9996</x:v>
      </x:c>
      <x:c r="P69" s="22" t="n">
        <x:v>114.61</x:v>
      </x:c>
      <x:c r="Q69" s="22" t="n">
        <x:v>114.665</x:v>
      </x:c>
      <x:c r="R69" s="22"/>
      <x:c r="S69" s="22" t="n">
        <x:v>114.91</x:v>
      </x:c>
      <x:c r="T69" s="22" t="n">
        <x:v>114.95</x:v>
      </x:c>
      <x:c r="U69" s="22" t="n">
        <x:v>114.18</x:v>
      </x:c>
      <x:c r="V69" s="19" t="str">
        <x:v>INVALIDATION</x:v>
      </x:c>
      <x:c r="W69" s="23" t="n">
        <x:f>IF(OR(M69="",P69=""),"",P69/M69-1)</x:f>
        <x:v>0.00034913153530591323</x:v>
      </x:c>
      <x:c r="X69" s="23" t="n">
        <x:f>IF(OR(M69="",Q69=""),"",Q69/M69-1)</x:f>
        <x:v>0.0008291873963517382</x:v>
      </x:c>
      <x:c r="Y69" s="23" t="str">
        <x:f>IF(OR(M69="",R69=""),"",R69/M69-1)</x:f>
      </x:c>
      <x:c r="Z69" s="23" t="n">
        <x:f>IF(OR(M69="",S69=""),"",S69/M69-1)</x:f>
        <x:v>0.0029676180501003735</x:v>
      </x:c>
      <x:c r="AA69" s="23" t="n">
        <x:f>IF(OR(M69="",T69=""),"",T69/M69-1)</x:f>
        <x:v>0.0033167495854062867</x:v>
      </x:c>
      <x:c r="AB69" s="23" t="n">
        <x:f>IF(OR(M69="",U69=""),"",U69/M69-1)</x:f>
        <x:v>-0.0034040324692327095</x:v>
      </x:c>
      <x:c r="AC69" s="22" t="n">
        <x:f>IF(V69="TARGET",O69,IF(OR(V69="INVALIDATION",V69="AMBIGUOUS"),N69,IF(R69&lt;&gt;"",R69,S69)))</x:f>
        <x:v>114.2836</x:v>
      </x:c>
      <x:c r="AD69" s="19" t="str">
        <x:f>IF(V69="TARGET","TARGET",IF(V69="INVALIDATION","STOP",IF(V69="AMBIGUOUS","AMBIGUO→STOP",IF(R69&lt;&gt;"","60M","CIERRE"))))</x:f>
        <x:v>STOP</x:v>
      </x:c>
      <x:c r="AE69" s="23" t="n">
        <x:f>IF(OR(M69="",AC69=""),"",AC69/M69-1)</x:f>
        <x:v>-0.002499781792790312</x:v>
      </x:c>
      <x:c r="AF69" s="19" t="str">
        <x:f>IF(AE69="","SIN DATO",IF(AE69&gt;0,"GAIN",IF(AE69&lt;0,"LOSS","FLAT")))</x:f>
        <x:v>LOSS</x:v>
      </x:c>
      <x:c r="AG69" s="19" t="n">
        <x:f>IF(COUNTIFS($E$2:E69,E69,$I$2:I69,I69)=1,1,0)</x:f>
        <x:v>1</x:v>
      </x:c>
      <x:c r="AH69" s="19" t="n">
        <x:v>389</x:v>
      </x:c>
      <x:c r="AI69" s="19" t="str">
        <x:v>Alpaca SIP 1Min raw bars</x:v>
      </x:c>
      <x:c r="AJ69" s="24" t="str">
        <x:v>019fd4f3-abde-7d7f-a8c9-edf00ab8dd93</x:v>
      </x:c>
      <x:c r="AK69" s="24" t="str">
        <x:v>entry_confirmed; swing:watch:82.00; intraday:favorable:100.00; dilution_analysis_unavailable</x:v>
      </x:c>
    </x:row>
    <x:row r="70">
      <x:c r="A70" s="19" t="n">
        <x:v>10714831</x:v>
      </x:c>
      <x:c r="B70" s="20" t="n">
        <x:v>46239</x:v>
      </x:c>
      <x:c r="C70" s="19" t="str">
        <x:v>16:23:00</x:v>
      </x:c>
      <x:c r="D70" s="19" t="str">
        <x:v>15:23:00</x:v>
      </x:c>
      <x:c r="E70" s="19" t="str">
        <x:v>L4</x:v>
      </x:c>
      <x:c r="F70" s="19" t="str">
        <x:v>MAGENTA</x:v>
      </x:c>
      <x:c r="G70" s="19" t="n">
        <x:v>3</x:v>
      </x:c>
      <x:c r="H70" s="24" t="str">
        <x:v>Signal Fusion</x:v>
      </x:c>
      <x:c r="I70" s="24" t="str">
        <x:v>NBIS</x:v>
      </x:c>
      <x:c r="J70" s="24" t="str">
        <x:v>RECOVERY_CONFIRMED</x:v>
      </x:c>
      <x:c r="K70" s="24" t="str"/>
      <x:c r="L70" s="21" t="n">
        <x:v>50</x:v>
      </x:c>
      <x:c r="M70" s="22" t="n">
        <x:v>226.21</x:v>
      </x:c>
      <x:c r="N70" s="22" t="n">
        <x:v>225.6445</x:v>
      </x:c>
      <x:c r="O70" s="22" t="n">
        <x:v>233.535</x:v>
      </x:c>
      <x:c r="P70" s="22" t="n">
        <x:v>226.03</x:v>
      </x:c>
      <x:c r="Q70" s="22" t="n">
        <x:v>221.56</x:v>
      </x:c>
      <x:c r="R70" s="22"/>
      <x:c r="S70" s="22" t="n">
        <x:v>219.5</x:v>
      </x:c>
      <x:c r="T70" s="22" t="n">
        <x:v>227.59</x:v>
      </x:c>
      <x:c r="U70" s="22" t="n">
        <x:v>218.25</x:v>
      </x:c>
      <x:c r="V70" s="19" t="str">
        <x:v>INVALIDATION</x:v>
      </x:c>
      <x:c r="W70" s="23" t="n">
        <x:f>IF(OR(M70="",P70=""),"",P70/M70-1)</x:f>
        <x:v>-0.0007957207904160102</x:v>
      </x:c>
      <x:c r="X70" s="23" t="n">
        <x:f>IF(OR(M70="",Q70=""),"",Q70/M70-1)</x:f>
        <x:v>-0.020556120419079615</x:v>
      </x:c>
      <x:c r="Y70" s="23" t="str">
        <x:f>IF(OR(M70="",R70=""),"",R70/M70-1)</x:f>
      </x:c>
      <x:c r="Z70" s="23" t="n">
        <x:f>IF(OR(M70="",S70=""),"",S70/M70-1)</x:f>
        <x:v>-0.029662702798284868</x:v>
      </x:c>
      <x:c r="AA70" s="23" t="n">
        <x:f>IF(OR(M70="",T70=""),"",T70/M70-1)</x:f>
        <x:v>0.006100526059855893</x:v>
      </x:c>
      <x:c r="AB70" s="23" t="n">
        <x:f>IF(OR(M70="",U70=""),"",U70/M70-1)</x:f>
        <x:v>-0.03518854162061802</x:v>
      </x:c>
      <x:c r="AC70" s="22" t="n">
        <x:f>IF(V70="TARGET",O70,IF(OR(V70="INVALIDATION",V70="AMBIGUOUS"),N70,IF(R70&lt;&gt;"",R70,S70)))</x:f>
        <x:v>225.6445</x:v>
      </x:c>
      <x:c r="AD70" s="19" t="str">
        <x:f>IF(V70="TARGET","TARGET",IF(V70="INVALIDATION","STOP",IF(V70="AMBIGUOUS","AMBIGUO→STOP",IF(R70&lt;&gt;"","60M","CIERRE"))))</x:f>
        <x:v>STOP</x:v>
      </x:c>
      <x:c r="AE70" s="23" t="n">
        <x:f>IF(OR(M70="",AC70=""),"",AC70/M70-1)</x:f>
        <x:v>-0.0024998894832236607</x:v>
      </x:c>
      <x:c r="AF70" s="19" t="str">
        <x:f>IF(AE70="","SIN DATO",IF(AE70&gt;0,"GAIN",IF(AE70&lt;0,"LOSS","FLAT")))</x:f>
        <x:v>LOSS</x:v>
      </x:c>
      <x:c r="AG70" s="19" t="n">
        <x:f>IF(COUNTIFS($E$2:E70,E70,$I$2:I70,I70)=1,1,0)</x:f>
        <x:v>0</x:v>
      </x:c>
      <x:c r="AH70" s="19" t="n">
        <x:v>392</x:v>
      </x:c>
      <x:c r="AI70" s="19" t="str">
        <x:v>Alpaca SIP 1Min raw bars</x:v>
      </x:c>
      <x:c r="AJ70" s="24" t="str">
        <x:v>019fd362-00a3-7fe2-a52d-c85a04f7022c</x:v>
      </x:c>
      <x:c r="AK70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support_b_wave_risk; patreon_context:SUPPORT_TEST</x:v>
      </x:c>
    </x:row>
    <x:row r="71">
      <x:c r="A71" s="19" t="n">
        <x:v>10719792</x:v>
      </x:c>
      <x:c r="B71" s="20" t="n">
        <x:v>46239</x:v>
      </x:c>
      <x:c r="C71" s="19" t="str">
        <x:v>16:27:00</x:v>
      </x:c>
      <x:c r="D71" s="19" t="str">
        <x:v>15:27:00</x:v>
      </x:c>
      <x:c r="E71" s="19" t="str">
        <x:v>L4</x:v>
      </x:c>
      <x:c r="F71" s="19" t="str">
        <x:v>MAGENTA</x:v>
      </x:c>
      <x:c r="G71" s="19" t="n">
        <x:v>3</x:v>
      </x:c>
      <x:c r="H71" s="24" t="str">
        <x:v>Signal Fusion</x:v>
      </x:c>
      <x:c r="I71" s="24" t="str">
        <x:v>NBIS</x:v>
      </x:c>
      <x:c r="J71" s="24" t="str">
        <x:v>RECOVERY_CONFIRMED</x:v>
      </x:c>
      <x:c r="K71" s="24" t="str"/>
      <x:c r="L71" s="21" t="n">
        <x:v>50</x:v>
      </x:c>
      <x:c r="M71" s="22" t="n">
        <x:v>226.74</x:v>
      </x:c>
      <x:c r="N71" s="22" t="n">
        <x:v>226.1732</x:v>
      </x:c>
      <x:c r="O71" s="22" t="n">
        <x:v>233.514</x:v>
      </x:c>
      <x:c r="P71" s="22" t="n">
        <x:v>225.32</x:v>
      </x:c>
      <x:c r="Q71" s="22" t="n">
        <x:v>220.46</x:v>
      </x:c>
      <x:c r="R71" s="22"/>
      <x:c r="S71" s="22" t="n">
        <x:v>219.5</x:v>
      </x:c>
      <x:c r="T71" s="22" t="n">
        <x:v>227.59</x:v>
      </x:c>
      <x:c r="U71" s="22" t="n">
        <x:v>218.25</x:v>
      </x:c>
      <x:c r="V71" s="19" t="str">
        <x:v>INVALIDATION</x:v>
      </x:c>
      <x:c r="W71" s="23" t="n">
        <x:f>IF(OR(M71="",P71=""),"",P71/M71-1)</x:f>
        <x:v>-0.006262679721266706</x:v>
      </x:c>
      <x:c r="X71" s="23" t="n">
        <x:f>IF(OR(M71="",Q71=""),"",Q71/M71-1)</x:f>
        <x:v>-0.027696921584193346</x:v>
      </x:c>
      <x:c r="Y71" s="23" t="str">
        <x:f>IF(OR(M71="",R71=""),"",R71/M71-1)</x:f>
      </x:c>
      <x:c r="Z71" s="23" t="n">
        <x:f>IF(OR(M71="",S71=""),"",S71/M71-1)</x:f>
        <x:v>-0.03193084590279616</x:v>
      </x:c>
      <x:c r="AA71" s="23" t="n">
        <x:f>IF(OR(M71="",T71=""),"",T71/M71-1)</x:f>
        <x:v>0.003748787157096256</x:v>
      </x:c>
      <x:c r="AB71" s="23" t="n">
        <x:f>IF(OR(M71="",U71=""),"",U71/M71-1)</x:f>
        <x:v>-0.03744376819264361</x:v>
      </x:c>
      <x:c r="AC71" s="22" t="n">
        <x:f>IF(V71="TARGET",O71,IF(OR(V71="INVALIDATION",V71="AMBIGUOUS"),N71,IF(R71&lt;&gt;"",R71,S71)))</x:f>
        <x:v>226.1732</x:v>
      </x:c>
      <x:c r="AD71" s="19" t="str">
        <x:f>IF(V71="TARGET","TARGET",IF(V71="INVALIDATION","STOP",IF(V71="AMBIGUOUS","AMBIGUO→STOP",IF(R71&lt;&gt;"","60M","CIERRE"))))</x:f>
        <x:v>STOP</x:v>
      </x:c>
      <x:c r="AE71" s="23" t="n">
        <x:f>IF(OR(M71="",AC71=""),"",AC71/M71-1)</x:f>
        <x:v>-0.002499779483108422</x:v>
      </x:c>
      <x:c r="AF71" s="19" t="str">
        <x:f>IF(AE71="","SIN DATO",IF(AE71&gt;0,"GAIN",IF(AE71&lt;0,"LOSS","FLAT")))</x:f>
        <x:v>LOSS</x:v>
      </x:c>
      <x:c r="AG71" s="19" t="n">
        <x:f>IF(COUNTIFS($E$2:E71,E71,$I$2:I71,I71)=1,1,0)</x:f>
        <x:v>0</x:v>
      </x:c>
      <x:c r="AH71" s="19" t="n">
        <x:v>392</x:v>
      </x:c>
      <x:c r="AI71" s="19" t="str">
        <x:v>Alpaca SIP 1Min raw bars</x:v>
      </x:c>
      <x:c r="AJ71" s="24" t="str">
        <x:v>019fd365-acf2-7006-b33c-41143514b2fc</x:v>
      </x:c>
      <x:c r="AK71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support_b_wave_risk; patreon_context:SUPPORT_TEST</x:v>
      </x:c>
    </x:row>
    <x:row r="72">
      <x:c r="A72" s="19" t="n">
        <x:v>10723293</x:v>
      </x:c>
      <x:c r="B72" s="20" t="n">
        <x:v>46239</x:v>
      </x:c>
      <x:c r="C72" s="19" t="str">
        <x:v>16:30:00</x:v>
      </x:c>
      <x:c r="D72" s="19" t="str">
        <x:v>15:30:00</x:v>
      </x:c>
      <x:c r="E72" s="19" t="str">
        <x:v>L2</x:v>
      </x:c>
      <x:c r="F72" s="19" t="str">
        <x:v>AZUL</x:v>
      </x:c>
      <x:c r="G72" s="19" t="n">
        <x:v>2</x:v>
      </x:c>
      <x:c r="H72" s="24" t="str">
        <x:v>Alert Engine V2 replay</x:v>
      </x:c>
      <x:c r="I72" s="24" t="str">
        <x:v>RCL</x:v>
      </x:c>
      <x:c r="J72" s="24" t="str">
        <x:v>ENTRY_CONFIRMED</x:v>
      </x:c>
      <x:c r="K72" s="24" t="str">
        <x:v>SWING+INTRADAY</x:v>
      </x:c>
      <x:c r="L72" s="21" t="n">
        <x:v>82.13</x:v>
      </x:c>
      <x:c r="M72" s="22" t="n">
        <x:v>327.875</x:v>
      </x:c>
      <x:c r="N72" s="22" t="n">
        <x:v>327.0553</x:v>
      </x:c>
      <x:c r="O72" s="22" t="n">
        <x:v>329.1045</x:v>
      </x:c>
      <x:c r="P72" s="22" t="n">
        <x:v>328.75</x:v>
      </x:c>
      <x:c r="Q72" s="22" t="n">
        <x:v>327.42</x:v>
      </x:c>
      <x:c r="R72" s="22"/>
      <x:c r="S72" s="22" t="n">
        <x:v>327.42</x:v>
      </x:c>
      <x:c r="T72" s="22" t="n">
        <x:v>329.21</x:v>
      </x:c>
      <x:c r="U72" s="22" t="n">
        <x:v>326.97</x:v>
      </x:c>
      <x:c r="V72" s="19" t="str">
        <x:v>TARGET</x:v>
      </x:c>
      <x:c r="W72" s="23" t="n">
        <x:f>IF(OR(M72="",P72=""),"",P72/M72-1)</x:f>
        <x:v>0.002668699961875687</x:v>
      </x:c>
      <x:c r="X72" s="23" t="n">
        <x:f>IF(OR(M72="",Q72=""),"",Q72/M72-1)</x:f>
        <x:v>-0.0013877239801752816</x:v>
      </x:c>
      <x:c r="Y72" s="23" t="str">
        <x:f>IF(OR(M72="",R72=""),"",R72/M72-1)</x:f>
      </x:c>
      <x:c r="Z72" s="23" t="n">
        <x:f>IF(OR(M72="",S72=""),"",S72/M72-1)</x:f>
        <x:v>-0.0013877239801752816</x:v>
      </x:c>
      <x:c r="AA72" s="23" t="n">
        <x:f>IF(OR(M72="",T72=""),"",T72/M72-1)</x:f>
        <x:v>0.004071673656118824</x:v>
      </x:c>
      <x:c r="AB72" s="23" t="n">
        <x:f>IF(OR(M72="",U72=""),"",U72/M72-1)</x:f>
        <x:v>-0.002760198246282819</x:v>
      </x:c>
      <x:c r="AC72" s="22" t="n">
        <x:f>IF(V72="TARGET",O72,IF(OR(V72="INVALIDATION",V72="AMBIGUOUS"),N72,IF(R72&lt;&gt;"",R72,S72)))</x:f>
        <x:v>329.1045</x:v>
      </x:c>
      <x:c r="AD72" s="19" t="str">
        <x:f>IF(V72="TARGET","TARGET",IF(V72="INVALIDATION","STOP",IF(V72="AMBIGUOUS","AMBIGUO→STOP",IF(R72&lt;&gt;"","60M","CIERRE"))))</x:f>
        <x:v>TARGET</x:v>
      </x:c>
      <x:c r="AE72" s="23" t="n">
        <x:f>IF(OR(M72="",AC72=""),"",AC72/M72-1)</x:f>
        <x:v>0.0037499046892870425</x:v>
      </x:c>
      <x:c r="AF72" s="19" t="str">
        <x:f>IF(AE72="","SIN DATO",IF(AE72&gt;0,"GAIN",IF(AE72&lt;0,"LOSS","FLAT")))</x:f>
        <x:v>GAIN</x:v>
      </x:c>
      <x:c r="AG72" s="19" t="n">
        <x:f>IF(COUNTIFS($E$2:E72,E72,$I$2:I72,I72)=1,1,0)</x:f>
        <x:v>0</x:v>
      </x:c>
      <x:c r="AH72" s="19" t="n">
        <x:v>388</x:v>
      </x:c>
      <x:c r="AI72" s="19" t="str">
        <x:v>Alpaca SIP 1Min raw bars</x:v>
      </x:c>
      <x:c r="AJ72" s="24" t="str">
        <x:v>019fd4f3-abdf-76a1-a8b9-c74aca1b8b04</x:v>
      </x:c>
      <x:c r="AK72" s="24" t="str">
        <x:v>entry_confirmed; swing:watch:82.00; intraday:favorable:100.00; dilution_analysis_unavailable</x:v>
      </x:c>
    </x:row>
    <x:row r="73">
      <x:c r="A73" s="19" t="n">
        <x:v>10723628</x:v>
      </x:c>
      <x:c r="B73" s="20" t="n">
        <x:v>46239</x:v>
      </x:c>
      <x:c r="C73" s="19" t="str">
        <x:v>16:30:00</x:v>
      </x:c>
      <x:c r="D73" s="19" t="str">
        <x:v>15:30:00</x:v>
      </x:c>
      <x:c r="E73" s="19" t="str">
        <x:v>L4</x:v>
      </x:c>
      <x:c r="F73" s="19" t="str">
        <x:v>MAGENTA</x:v>
      </x:c>
      <x:c r="G73" s="19" t="n">
        <x:v>3</x:v>
      </x:c>
      <x:c r="H73" s="24" t="str">
        <x:v>Signal Fusion</x:v>
      </x:c>
      <x:c r="I73" s="24" t="str">
        <x:v>NBIS</x:v>
      </x:c>
      <x:c r="J73" s="24" t="str">
        <x:v>RECOVERY_CONFIRMED</x:v>
      </x:c>
      <x:c r="K73" s="24" t="str"/>
      <x:c r="L73" s="21" t="n">
        <x:v>50</x:v>
      </x:c>
      <x:c r="M73" s="22" t="n">
        <x:v>227.54</x:v>
      </x:c>
      <x:c r="N73" s="22" t="n">
        <x:v>226.7048</x:v>
      </x:c>
      <x:c r="O73" s="22" t="n">
        <x:v>237.8776</x:v>
      </x:c>
      <x:c r="P73" s="22" t="n">
        <x:v>223.4201</x:v>
      </x:c>
      <x:c r="Q73" s="22" t="n">
        <x:v>220</x:v>
      </x:c>
      <x:c r="R73" s="22"/>
      <x:c r="S73" s="22" t="n">
        <x:v>219.5</x:v>
      </x:c>
      <x:c r="T73" s="22" t="n">
        <x:v>227.5199</x:v>
      </x:c>
      <x:c r="U73" s="22" t="n">
        <x:v>218.25</x:v>
      </x:c>
      <x:c r="V73" s="19" t="str">
        <x:v>INVALIDATION</x:v>
      </x:c>
      <x:c r="W73" s="23" t="n">
        <x:f>IF(OR(M73="",P73=""),"",P73/M73-1)</x:f>
        <x:v>-0.018106267029972756</x:v>
      </x:c>
      <x:c r="X73" s="23" t="n">
        <x:f>IF(OR(M73="",Q73=""),"",Q73/M73-1)</x:f>
        <x:v>-0.033137030851718374</x:v>
      </x:c>
      <x:c r="Y73" s="23" t="str">
        <x:f>IF(OR(M73="",R73=""),"",R73/M73-1)</x:f>
      </x:c>
      <x:c r="Z73" s="23" t="n">
        <x:f>IF(OR(M73="",S73=""),"",S73/M73-1)</x:f>
        <x:v>-0.035334446690691745</x:v>
      </x:c>
      <x:c r="AA73" s="23" t="n">
        <x:f>IF(OR(M73="",T73=""),"",T73/M73-1)</x:f>
        <x:v>-0.00008833611672665054</x:v>
      </x:c>
      <x:c r="AB73" s="23" t="n">
        <x:f>IF(OR(M73="",U73=""),"",U73/M73-1)</x:f>
        <x:v>-0.04082798628812512</x:v>
      </x:c>
      <x:c r="AC73" s="22" t="n">
        <x:f>IF(V73="TARGET",O73,IF(OR(V73="INVALIDATION",V73="AMBIGUOUS"),N73,IF(R73&lt;&gt;"",R73,S73)))</x:f>
        <x:v>226.7048</x:v>
      </x:c>
      <x:c r="AD73" s="19" t="str">
        <x:f>IF(V73="TARGET","TARGET",IF(V73="INVALIDATION","STOP",IF(V73="AMBIGUOUS","AMBIGUO→STOP",IF(R73&lt;&gt;"","60M","CIERRE"))))</x:f>
        <x:v>STOP</x:v>
      </x:c>
      <x:c r="AE73" s="23" t="n">
        <x:f>IF(OR(M73="",AC73=""),"",AC73/M73-1)</x:f>
        <x:v>-0.0036705634174210022</x:v>
      </x:c>
      <x:c r="AF73" s="19" t="str">
        <x:f>IF(AE73="","SIN DATO",IF(AE73&gt;0,"GAIN",IF(AE73&lt;0,"LOSS","FLAT")))</x:f>
        <x:v>LOSS</x:v>
      </x:c>
      <x:c r="AG73" s="19" t="n">
        <x:f>IF(COUNTIFS($E$2:E73,E73,$I$2:I73,I73)=1,1,0)</x:f>
        <x:v>0</x:v>
      </x:c>
      <x:c r="AH73" s="19" t="n">
        <x:v>392</x:v>
      </x:c>
      <x:c r="AI73" s="19" t="str">
        <x:v>Alpaca SIP 1Min raw bars</x:v>
      </x:c>
      <x:c r="AJ73" s="24" t="str">
        <x:v>019fd368-6d78-7cc9-85d3-d6cf14b18d82</x:v>
      </x:c>
      <x:c r="AK73" s="24" t="str">
        <x:v>SHADOW; fusion_state_recovery_confirmed; support_structure_unconfirmed; long_trend_unconfirmed; dilution_assessment_unavailable; elliott_trigger_with_intraday_confirmation; recovery_entry_tactical_size_only; support_structure_pending_for_scale_in; long_trend_pending_for_scale_in; support_b_wave_risk; patreon_context:SUPPORT_TEST</x:v>
      </x:c>
    </x:row>
    <x:row r="74">
      <x:c r="A74" s="19" t="n">
        <x:v>10741957</x:v>
      </x:c>
      <x:c r="B74" s="20" t="n">
        <x:v>46239</x:v>
      </x:c>
      <x:c r="C74" s="19" t="str">
        <x:v>16:30:00</x:v>
      </x:c>
      <x:c r="D74" s="19" t="str">
        <x:v>15:30:00</x:v>
      </x:c>
      <x:c r="E74" s="19" t="str">
        <x:v>L2</x:v>
      </x:c>
      <x:c r="F74" s="19" t="str">
        <x:v>AZUL</x:v>
      </x:c>
      <x:c r="G74" s="19" t="n">
        <x:v>2</x:v>
      </x:c>
      <x:c r="H74" s="24" t="str">
        <x:v>Alert Engine V2 replay</x:v>
      </x:c>
      <x:c r="I74" s="24" t="str">
        <x:v>KO</x:v>
      </x:c>
      <x:c r="J74" s="24" t="str">
        <x:v>ENTRY_CONFIRMED</x:v>
      </x:c>
      <x:c r="K74" s="24" t="str">
        <x:v>SWING+INTRADAY</x:v>
      </x:c>
      <x:c r="L74" s="21" t="n">
        <x:v>84.86</x:v>
      </x:c>
      <x:c r="M74" s="22" t="n">
        <x:v>86.99</x:v>
      </x:c>
      <x:c r="N74" s="22" t="n">
        <x:v>86.7725</x:v>
      </x:c>
      <x:c r="O74" s="22" t="n">
        <x:v>87.3162</x:v>
      </x:c>
      <x:c r="P74" s="22" t="n">
        <x:v>86.965</x:v>
      </x:c>
      <x:c r="Q74" s="22" t="n">
        <x:v>86.83</x:v>
      </x:c>
      <x:c r="R74" s="22"/>
      <x:c r="S74" s="22" t="n">
        <x:v>86.83</x:v>
      </x:c>
      <x:c r="T74" s="22" t="n">
        <x:v>87.15</x:v>
      </x:c>
      <x:c r="U74" s="22" t="n">
        <x:v>86.7725</x:v>
      </x:c>
      <x:c r="V74" s="19" t="str">
        <x:v>INVALIDATION</x:v>
      </x:c>
      <x:c r="W74" s="23" t="n">
        <x:f>IF(OR(M74="",P74=""),"",P74/M74-1)</x:f>
        <x:v>-0.00028738935509819985</x:v>
      </x:c>
      <x:c r="X74" s="23" t="n">
        <x:f>IF(OR(M74="",Q74=""),"",Q74/M74-1)</x:f>
        <x:v>-0.0018392918726289897</x:v>
      </x:c>
      <x:c r="Y74" s="23" t="str">
        <x:f>IF(OR(M74="",R74=""),"",R74/M74-1)</x:f>
      </x:c>
      <x:c r="Z74" s="23" t="n">
        <x:f>IF(OR(M74="",S74=""),"",S74/M74-1)</x:f>
        <x:v>-0.0018392918726289897</x:v>
      </x:c>
      <x:c r="AA74" s="23" t="n">
        <x:f>IF(OR(M74="",T74=""),"",T74/M74-1)</x:f>
        <x:v>0.0018392918726291008</x:v>
      </x:c>
      <x:c r="AB74" s="23" t="n">
        <x:f>IF(OR(M74="",U74=""),"",U74/M74-1)</x:f>
        <x:v>-0.002500287389355149</x:v>
      </x:c>
      <x:c r="AC74" s="22" t="n">
        <x:f>IF(V74="TARGET",O74,IF(OR(V74="INVALIDATION",V74="AMBIGUOUS"),N74,IF(R74&lt;&gt;"",R74,S74)))</x:f>
        <x:v>86.7725</x:v>
      </x:c>
      <x:c r="AD74" s="19" t="str">
        <x:f>IF(V74="TARGET","TARGET",IF(V74="INVALIDATION","STOP",IF(V74="AMBIGUOUS","AMBIGUO→STOP",IF(R74&lt;&gt;"","60M","CIERRE"))))</x:f>
        <x:v>STOP</x:v>
      </x:c>
      <x:c r="AE74" s="23" t="n">
        <x:f>IF(OR(M74="",AC74=""),"",AC74/M74-1)</x:f>
        <x:v>-0.002500287389355149</x:v>
      </x:c>
      <x:c r="AF74" s="19" t="str">
        <x:f>IF(AE74="","SIN DATO",IF(AE74&gt;0,"GAIN",IF(AE74&lt;0,"LOSS","FLAT")))</x:f>
        <x:v>LOSS</x:v>
      </x:c>
      <x:c r="AG74" s="19" t="n">
        <x:f>IF(COUNTIFS($E$2:E74,E74,$I$2:I74,I74)=1,1,0)</x:f>
        <x:v>1</x:v>
      </x:c>
      <x:c r="AH74" s="19" t="n">
        <x:v>391</x:v>
      </x:c>
      <x:c r="AI74" s="19" t="str">
        <x:v>Alpaca SIP 1Min raw bars</x:v>
      </x:c>
      <x:c r="AJ74" s="24" t="str">
        <x:v>019fd4f3-aee3-7c44-bf13-5a49558eced7</x:v>
      </x:c>
      <x:c r="AK74" s="24" t="str">
        <x:v>entry_confirmed; swing:watch:85.00; intraday:favorable:100.00; dilution_analysis_unavailable</x:v>
      </x:c>
    </x:row>
    <x:row r="75">
      <x:c r="A75" s="19" t="n">
        <x:v>10726196</x:v>
      </x:c>
      <x:c r="B75" s="20" t="n">
        <x:v>46239</x:v>
      </x:c>
      <x:c r="C75" s="19" t="str">
        <x:v>16:32:00</x:v>
      </x:c>
      <x:c r="D75" s="19" t="str">
        <x:v>15:32:00</x:v>
      </x:c>
      <x:c r="E75" s="19" t="str">
        <x:v>L2</x:v>
      </x:c>
      <x:c r="F75" s="19" t="str">
        <x:v>AZUL</x:v>
      </x:c>
      <x:c r="G75" s="19" t="n">
        <x:v>2</x:v>
      </x:c>
      <x:c r="H75" s="24" t="str">
        <x:v>Alert Engine V2 replay</x:v>
      </x:c>
      <x:c r="I75" s="24" t="str">
        <x:v>BLFS</x:v>
      </x:c>
      <x:c r="J75" s="24" t="str">
        <x:v>ENTRY_CONFIRMED</x:v>
      </x:c>
      <x:c r="K75" s="24" t="str">
        <x:v>SWING+INTRADAY</x:v>
      </x:c>
      <x:c r="L75" s="21" t="n">
        <x:v>100</x:v>
      </x:c>
      <x:c r="M75" s="22" t="n">
        <x:v>33.53</x:v>
      </x:c>
      <x:c r="N75" s="22" t="n">
        <x:v>33.4462</x:v>
      </x:c>
      <x:c r="O75" s="22" t="n">
        <x:v>33.6557</x:v>
      </x:c>
      <x:c r="P75" s="22" t="n">
        <x:v>33.6201</x:v>
      </x:c>
      <x:c r="Q75" s="22"/>
      <x:c r="R75" s="22"/>
      <x:c r="S75" s="22" t="n">
        <x:v>33.8</x:v>
      </x:c>
      <x:c r="T75" s="22" t="n">
        <x:v>33.84</x:v>
      </x:c>
      <x:c r="U75" s="22" t="n">
        <x:v>33.51</x:v>
      </x:c>
      <x:c r="V75" s="19" t="str">
        <x:v>TARGET</x:v>
      </x:c>
      <x:c r="W75" s="23" t="n">
        <x:f>IF(OR(M75="",P75=""),"",P75/M75-1)</x:f>
        <x:v>0.0026871458395467673</x:v>
      </x:c>
      <x:c r="X75" s="23" t="str">
        <x:f>IF(OR(M75="",Q75=""),"",Q75/M75-1)</x:f>
      </x:c>
      <x:c r="Y75" s="23" t="str">
        <x:f>IF(OR(M75="",R75=""),"",R75/M75-1)</x:f>
      </x:c>
      <x:c r="Z75" s="23" t="n">
        <x:f>IF(OR(M75="",S75=""),"",S75/M75-1)</x:f>
        <x:v>0.008052490307187465</x:v>
      </x:c>
      <x:c r="AA75" s="23" t="n">
        <x:f>IF(OR(M75="",T75=""),"",T75/M75-1)</x:f>
        <x:v>0.009245451834178464</x:v>
      </x:c>
      <x:c r="AB75" s="23" t="n">
        <x:f>IF(OR(M75="",U75=""),"",U75/M75-1)</x:f>
        <x:v>-0.0005964807634954994</x:v>
      </x:c>
      <x:c r="AC75" s="22" t="n">
        <x:f>IF(V75="TARGET",O75,IF(OR(V75="INVALIDATION",V75="AMBIGUOUS"),N75,IF(R75&lt;&gt;"",R75,S75)))</x:f>
        <x:v>33.6557</x:v>
      </x:c>
      <x:c r="AD75" s="19" t="str">
        <x:f>IF(V75="TARGET","TARGET",IF(V75="INVALIDATION","STOP",IF(V75="AMBIGUOUS","AMBIGUO→STOP",IF(R75&lt;&gt;"","60M","CIERRE"))))</x:f>
        <x:v>TARGET</x:v>
      </x:c>
      <x:c r="AE75" s="23" t="n">
        <x:f>IF(OR(M75="",AC75=""),"",AC75/M75-1)</x:f>
        <x:v>0.0037488815985684543</x:v>
      </x:c>
      <x:c r="AF75" s="19" t="str">
        <x:f>IF(AE75="","SIN DATO",IF(AE75&gt;0,"GAIN",IF(AE75&lt;0,"LOSS","FLAT")))</x:f>
        <x:v>GAIN</x:v>
      </x:c>
      <x:c r="AG75" s="19" t="n">
        <x:f>IF(COUNTIFS($E$2:E75,E75,$I$2:I75,I75)=1,1,0)</x:f>
        <x:v>0</x:v>
      </x:c>
      <x:c r="AH75" s="19" t="n">
        <x:v>241</x:v>
      </x:c>
      <x:c r="AI75" s="19" t="str">
        <x:v>Alpaca SIP 1Min raw bars</x:v>
      </x:c>
      <x:c r="AJ75" s="24" t="str">
        <x:v>019fd4f3-ac57-7d3d-a477-d0f019ca025d</x:v>
      </x:c>
      <x:c r="AK75" s="24" t="str">
        <x:v>entry_confirmed; swing:favorable:100.00; intraday:favorable:100.00; dilution_analysis_unavailable</x:v>
      </x:c>
    </x:row>
    <x:row r="76">
      <x:c r="A76" s="19" t="n">
        <x:v>10727015</x:v>
      </x:c>
      <x:c r="B76" s="20" t="n">
        <x:v>46239</x:v>
      </x:c>
      <x:c r="C76" s="19" t="str">
        <x:v>16:33:00</x:v>
      </x:c>
      <x:c r="D76" s="19" t="str">
        <x:v>15:33:00</x:v>
      </x:c>
      <x:c r="E76" s="19" t="str">
        <x:v>L2</x:v>
      </x:c>
      <x:c r="F76" s="19" t="str">
        <x:v>AZUL</x:v>
      </x:c>
      <x:c r="G76" s="19" t="n">
        <x:v>2</x:v>
      </x:c>
      <x:c r="H76" s="24" t="str">
        <x:v>Alert Engine V2 replay</x:v>
      </x:c>
      <x:c r="I76" s="24" t="str">
        <x:v>SE</x:v>
      </x:c>
      <x:c r="J76" s="24" t="str">
        <x:v>ENTRY_CONFIRMED</x:v>
      </x:c>
      <x:c r="K76" s="24" t="str">
        <x:v>SWING+INTRADAY</x:v>
      </x:c>
      <x:c r="L76" s="21" t="n">
        <x:v>82.13</x:v>
      </x:c>
      <x:c r="M76" s="22" t="n">
        <x:v>114.67</x:v>
      </x:c>
      <x:c r="N76" s="22" t="n">
        <x:v>114.3833</x:v>
      </x:c>
      <x:c r="O76" s="22" t="n">
        <x:v>115.1</x:v>
      </x:c>
      <x:c r="P76" s="22" t="n">
        <x:v>114.6</x:v>
      </x:c>
      <x:c r="Q76" s="22"/>
      <x:c r="R76" s="22"/>
      <x:c r="S76" s="22" t="n">
        <x:v>114.91</x:v>
      </x:c>
      <x:c r="T76" s="22" t="n">
        <x:v>114.95</x:v>
      </x:c>
      <x:c r="U76" s="22" t="n">
        <x:v>114.18</x:v>
      </x:c>
      <x:c r="V76" s="19" t="str">
        <x:v>INVALIDATION</x:v>
      </x:c>
      <x:c r="W76" s="23" t="n">
        <x:f>IF(OR(M76="",P76=""),"",P76/M76-1)</x:f>
        <x:v>-0.0006104473707160274</x:v>
      </x:c>
      <x:c r="X76" s="23" t="str">
        <x:f>IF(OR(M76="",Q76=""),"",Q76/M76-1)</x:f>
      </x:c>
      <x:c r="Y76" s="23" t="str">
        <x:f>IF(OR(M76="",R76=""),"",R76/M76-1)</x:f>
      </x:c>
      <x:c r="Z76" s="23" t="n">
        <x:f>IF(OR(M76="",S76=""),"",S76/M76-1)</x:f>
        <x:v>0.002092962413883237</x:v>
      </x:c>
      <x:c r="AA76" s="23" t="n">
        <x:f>IF(OR(M76="",T76=""),"",T76/M76-1)</x:f>
        <x:v>0.0024417894828638875</x:v>
      </x:c>
      <x:c r="AB76" s="23" t="n">
        <x:f>IF(OR(M76="",U76=""),"",U76/M76-1)</x:f>
        <x:v>-0.004273131595011748</x:v>
      </x:c>
      <x:c r="AC76" s="22" t="n">
        <x:f>IF(V76="TARGET",O76,IF(OR(V76="INVALIDATION",V76="AMBIGUOUS"),N76,IF(R76&lt;&gt;"",R76,S76)))</x:f>
        <x:v>114.3833</x:v>
      </x:c>
      <x:c r="AD76" s="19" t="str">
        <x:f>IF(V76="TARGET","TARGET",IF(V76="INVALIDATION","STOP",IF(V76="AMBIGUOUS","AMBIGUO→STOP",IF(R76&lt;&gt;"","60M","CIERRE"))))</x:f>
        <x:v>STOP</x:v>
      </x:c>
      <x:c r="AE76" s="23" t="n">
        <x:f>IF(OR(M76="",AC76=""),"",AC76/M76-1)</x:f>
        <x:v>-0.002500218016918132</x:v>
      </x:c>
      <x:c r="AF76" s="19" t="str">
        <x:f>IF(AE76="","SIN DATO",IF(AE76&gt;0,"GAIN",IF(AE76&lt;0,"LOSS","FLAT")))</x:f>
        <x:v>LOSS</x:v>
      </x:c>
      <x:c r="AG76" s="19" t="n">
        <x:f>IF(COUNTIFS($E$2:E76,E76,$I$2:I76,I76)=1,1,0)</x:f>
        <x:v>0</x:v>
      </x:c>
      <x:c r="AH76" s="19" t="n">
        <x:v>389</x:v>
      </x:c>
      <x:c r="AI76" s="19" t="str">
        <x:v>Alpaca SIP 1Min raw bars</x:v>
      </x:c>
      <x:c r="AJ76" s="24" t="str">
        <x:v>019fd4f3-ac78-7f48-8a7b-06d0101ce529</x:v>
      </x:c>
      <x:c r="AK76" s="24" t="str">
        <x:v>entry_confirmed; swing:watch:82.00; intraday:favorable:100.00; dilution_analysis_unavailable</x:v>
      </x:c>
    </x:row>
    <x:row r="77">
      <x:c r="A77" s="19" t="n">
        <x:v>10725474</x:v>
      </x:c>
      <x:c r="B77" s="20" t="n">
        <x:v>46239</x:v>
      </x:c>
      <x:c r="C77" s="19" t="str">
        <x:v>16:33:02</x:v>
      </x:c>
      <x:c r="D77" s="19" t="str">
        <x:v>15:33:02</x:v>
      </x:c>
      <x:c r="E77" s="19" t="str">
        <x:v>L4</x:v>
      </x:c>
      <x:c r="F77" s="19" t="str">
        <x:v>MAGENTA</x:v>
      </x:c>
      <x:c r="G77" s="19" t="n">
        <x:v>3</x:v>
      </x:c>
      <x:c r="H77" s="24" t="str">
        <x:v>Entry Watcher</x:v>
      </x:c>
      <x:c r="I77" s="24" t="str">
        <x:v>DLR</x:v>
      </x:c>
      <x:c r="J77" s="24" t="str">
        <x:v>ENTRY_WATCH</x:v>
      </x:c>
      <x:c r="K77" s="24" t="str">
        <x:v>LONG_TERM+SWING+INTRADAY</x:v>
      </x:c>
      <x:c r="L77" s="21" t="n">
        <x:v>85</x:v>
      </x:c>
      <x:c r="M77" s="22" t="n">
        <x:v>195.3</x:v>
      </x:c>
      <x:c r="N77" s="22" t="n">
        <x:v>165.8991</x:v>
      </x:c>
      <x:c r="O77" s="22" t="n">
        <x:v>196.0324</x:v>
      </x:c>
      <x:c r="P77" s="22" t="n">
        <x:v>195.49</x:v>
      </x:c>
      <x:c r="Q77" s="22"/>
      <x:c r="R77" s="22"/>
      <x:c r="S77" s="22" t="n">
        <x:v>194.93</x:v>
      </x:c>
      <x:c r="T77" s="22" t="n">
        <x:v>195.9</x:v>
      </x:c>
      <x:c r="U77" s="22" t="n">
        <x:v>194.87</x:v>
      </x:c>
      <x:c r="V77" s="19"/>
      <x:c r="W77" s="23" t="n">
        <x:f>IF(OR(M77="",P77=""),"",P77/M77-1)</x:f>
        <x:v>0.000972862263184826</x:v>
      </x:c>
      <x:c r="X77" s="23" t="str">
        <x:f>IF(OR(M77="",Q77=""),"",Q77/M77-1)</x:f>
      </x:c>
      <x:c r="Y77" s="23" t="str">
        <x:f>IF(OR(M77="",R77=""),"",R77/M77-1)</x:f>
      </x:c>
      <x:c r="Z77" s="23" t="n">
        <x:f>IF(OR(M77="",S77=""),"",S77/M77-1)</x:f>
        <x:v>-0.0018945212493599595</x:v>
      </x:c>
      <x:c r="AA77" s="23" t="n">
        <x:f>IF(OR(M77="",T77=""),"",T77/M77-1)</x:f>
        <x:v>0.003072196620583778</x:v>
      </x:c>
      <x:c r="AB77" s="23" t="n">
        <x:f>IF(OR(M77="",U77=""),"",U77/M77-1)</x:f>
        <x:v>-0.0022017409114183373</x:v>
      </x:c>
      <x:c r="AC77" s="22" t="n">
        <x:f>IF(V77="TARGET",O77,IF(OR(V77="INVALIDATION",V77="AMBIGUOUS"),N77,IF(R77&lt;&gt;"",R77,S77)))</x:f>
        <x:v>194.93</x:v>
      </x:c>
      <x:c r="AD77" s="19" t="str">
        <x:f>IF(V77="TARGET","TARGET",IF(V77="INVALIDATION","STOP",IF(V77="AMBIGUOUS","AMBIGUO→STOP",IF(R77&lt;&gt;"","60M","CIERRE"))))</x:f>
        <x:v>CIERRE</x:v>
      </x:c>
      <x:c r="AE77" s="23" t="n">
        <x:f>IF(OR(M77="",AC77=""),"",AC77/M77-1)</x:f>
        <x:v>-0.0018945212493599595</x:v>
      </x:c>
      <x:c r="AF77" s="19" t="str">
        <x:f>IF(AE77="","SIN DATO",IF(AE77&gt;0,"GAIN",IF(AE77&lt;0,"LOSS","FLAT")))</x:f>
        <x:v>LOSS</x:v>
      </x:c>
      <x:c r="AG77" s="19" t="n">
        <x:f>IF(COUNTIFS($E$2:E77,E77,$I$2:I77,I77)=1,1,0)</x:f>
        <x:v>1</x:v>
      </x:c>
      <x:c r="AH77" s="19" t="n">
        <x:v>373</x:v>
      </x:c>
      <x:c r="AI77" s="19" t="str">
        <x:v>Alpaca SIP 1Min raw bars</x:v>
      </x:c>
      <x:c r="AJ77" s="24" t="str">
        <x:v>019fd4f3-ac32-780d-b54f-13d56932a128</x:v>
      </x:c>
      <x:c r="AK77" s="24" t="str">
        <x:v>regime_aware_entry_confirmed; dilution_warning:unavailable</x:v>
      </x:c>
    </x:row>
    <x:row r="78">
      <x:c r="A78" s="19" t="n">
        <x:v>10730889</x:v>
      </x:c>
      <x:c r="B78" s="20" t="n">
        <x:v>46239</x:v>
      </x:c>
      <x:c r="C78" s="19" t="str">
        <x:v>16:36:00</x:v>
      </x:c>
      <x:c r="D78" s="19" t="str">
        <x:v>15:36:00</x:v>
      </x:c>
      <x:c r="E78" s="19" t="str">
        <x:v>L2</x:v>
      </x:c>
      <x:c r="F78" s="19" t="str">
        <x:v>AZUL</x:v>
      </x:c>
      <x:c r="G78" s="19" t="n">
        <x:v>2</x:v>
      </x:c>
      <x:c r="H78" s="24" t="str">
        <x:v>Alert Engine V2 replay</x:v>
      </x:c>
      <x:c r="I78" s="24" t="str">
        <x:v>ADBE</x:v>
      </x:c>
      <x:c r="J78" s="24" t="str">
        <x:v>ENTRY_CONFIRMED</x:v>
      </x:c>
      <x:c r="K78" s="24" t="str">
        <x:v>SWING+INTRADAY</x:v>
      </x:c>
      <x:c r="L78" s="21" t="n">
        <x:v>83.94</x:v>
      </x:c>
      <x:c r="M78" s="22" t="n">
        <x:v>258.44</x:v>
      </x:c>
      <x:c r="N78" s="22" t="n">
        <x:v>257.7939</x:v>
      </x:c>
      <x:c r="O78" s="22" t="n">
        <x:v>259.4092</x:v>
      </x:c>
      <x:c r="P78" s="22" t="n">
        <x:v>259.49</x:v>
      </x:c>
      <x:c r="Q78" s="22"/>
      <x:c r="R78" s="22"/>
      <x:c r="S78" s="22" t="n">
        <x:v>259.32</x:v>
      </x:c>
      <x:c r="T78" s="22" t="n">
        <x:v>259.83</x:v>
      </x:c>
      <x:c r="U78" s="22" t="n">
        <x:v>258.16</x:v>
      </x:c>
      <x:c r="V78" s="19" t="str">
        <x:v>TARGET</x:v>
      </x:c>
      <x:c r="W78" s="23" t="n">
        <x:f>IF(OR(M78="",P78=""),"",P78/M78-1)</x:f>
        <x:v>0.004062838569880878</x:v>
      </x:c>
      <x:c r="X78" s="23" t="str">
        <x:f>IF(OR(M78="",Q78=""),"",Q78/M78-1)</x:f>
      </x:c>
      <x:c r="Y78" s="23" t="str">
        <x:f>IF(OR(M78="",R78=""),"",R78/M78-1)</x:f>
      </x:c>
      <x:c r="Z78" s="23" t="n">
        <x:f>IF(OR(M78="",S78=""),"",S78/M78-1)</x:f>
        <x:v>0.0034050456585668076</x:v>
      </x:c>
      <x:c r="AA78" s="23" t="n">
        <x:f>IF(OR(M78="",T78=""),"",T78/M78-1)</x:f>
        <x:v>0.005378424392508796</x:v>
      </x:c>
      <x:c r="AB78" s="23" t="n">
        <x:f>IF(OR(M78="",U78=""),"",U78/M78-1)</x:f>
        <x:v>-0.0010834236186347823</x:v>
      </x:c>
      <x:c r="AC78" s="22" t="n">
        <x:f>IF(V78="TARGET",O78,IF(OR(V78="INVALIDATION",V78="AMBIGUOUS"),N78,IF(R78&lt;&gt;"",R78,S78)))</x:f>
        <x:v>259.4092</x:v>
      </x:c>
      <x:c r="AD78" s="19" t="str">
        <x:f>IF(V78="TARGET","TARGET",IF(V78="INVALIDATION","STOP",IF(V78="AMBIGUOUS","AMBIGUO→STOP",IF(R78&lt;&gt;"","60M","CIERRE"))))</x:f>
        <x:v>TARGET</x:v>
      </x:c>
      <x:c r="AE78" s="23" t="n">
        <x:f>IF(OR(M78="",AC78=""),"",AC78/M78-1)</x:f>
        <x:v>0.00375019346850336</x:v>
      </x:c>
      <x:c r="AF78" s="19" t="str">
        <x:f>IF(AE78="","SIN DATO",IF(AE78&gt;0,"GAIN",IF(AE78&lt;0,"LOSS","FLAT")))</x:f>
        <x:v>GAIN</x:v>
      </x:c>
      <x:c r="AG78" s="19" t="n">
        <x:f>IF(COUNTIFS($E$2:E78,E78,$I$2:I78,I78)=1,1,0)</x:f>
        <x:v>1</x:v>
      </x:c>
      <x:c r="AH78" s="19" t="n">
        <x:v>391</x:v>
      </x:c>
      <x:c r="AI78" s="19" t="str">
        <x:v>Alpaca SIP 1Min raw bars</x:v>
      </x:c>
      <x:c r="AJ78" s="24" t="str">
        <x:v>019fd4f3-ad1a-7787-a485-efa033edbb0e</x:v>
      </x:c>
      <x:c r="AK78" s="24" t="str">
        <x:v>entry_confirmed; swing:favorable:84.00; intraday:favorable:100.00; dilution_analysis_unavailable</x:v>
      </x:c>
    </x:row>
    <x:row r="79">
      <x:c r="A79" s="19" t="n">
        <x:v>10738184</x:v>
      </x:c>
      <x:c r="B79" s="20" t="n">
        <x:v>46239</x:v>
      </x:c>
      <x:c r="C79" s="19" t="str">
        <x:v>16:42:00</x:v>
      </x:c>
      <x:c r="D79" s="19" t="str">
        <x:v>15:42:00</x:v>
      </x:c>
      <x:c r="E79" s="19" t="str">
        <x:v>L2</x:v>
      </x:c>
      <x:c r="F79" s="19" t="str">
        <x:v>AZUL</x:v>
      </x:c>
      <x:c r="G79" s="19" t="n">
        <x:v>2</x:v>
      </x:c>
      <x:c r="H79" s="24" t="str">
        <x:v>Alert Engine V2 replay</x:v>
      </x:c>
      <x:c r="I79" s="24" t="str">
        <x:v>INTU</x:v>
      </x:c>
      <x:c r="J79" s="24" t="str">
        <x:v>ENTRY_CONFIRMED</x:v>
      </x:c>
      <x:c r="K79" s="24" t="str">
        <x:v>SWING+INTRADAY</x:v>
      </x:c>
      <x:c r="L79" s="21" t="n">
        <x:v>97.84</x:v>
      </x:c>
      <x:c r="M79" s="22" t="n">
        <x:v>325.555</x:v>
      </x:c>
      <x:c r="N79" s="22" t="n">
        <x:v>324.7411</x:v>
      </x:c>
      <x:c r="O79" s="22" t="n">
        <x:v>326.7758</x:v>
      </x:c>
      <x:c r="P79" s="22" t="n">
        <x:v>328.36</x:v>
      </x:c>
      <x:c r="Q79" s="22"/>
      <x:c r="R79" s="22"/>
      <x:c r="S79" s="22" t="n">
        <x:v>327.94</x:v>
      </x:c>
      <x:c r="T79" s="22" t="n">
        <x:v>328.43</x:v>
      </x:c>
      <x:c r="U79" s="22" t="n">
        <x:v>325.4726</x:v>
      </x:c>
      <x:c r="V79" s="19" t="str">
        <x:v>TARGET</x:v>
      </x:c>
      <x:c r="W79" s="23" t="n">
        <x:f>IF(OR(M79="",P79=""),"",P79/M79-1)</x:f>
        <x:v>0.008616055658797972</x:v>
      </x:c>
      <x:c r="X79" s="23" t="str">
        <x:f>IF(OR(M79="",Q79=""),"",Q79/M79-1)</x:f>
      </x:c>
      <x:c r="Y79" s="23" t="str">
        <x:f>IF(OR(M79="",R79=""),"",R79/M79-1)</x:f>
      </x:c>
      <x:c r="Z79" s="23" t="n">
        <x:f>IF(OR(M79="",S79=""),"",S79/M79-1)</x:f>
        <x:v>0.0073259510681757956</x:v>
      </x:c>
      <x:c r="AA79" s="23" t="n">
        <x:f>IF(OR(M79="",T79=""),"",T79/M79-1)</x:f>
        <x:v>0.00883107309056852</x:v>
      </x:c>
      <x:c r="AB79" s="23" t="n">
        <x:f>IF(OR(M79="",U79=""),"",U79/M79-1)</x:f>
        <x:v>-0.0002531062339696799</x:v>
      </x:c>
      <x:c r="AC79" s="22" t="n">
        <x:f>IF(V79="TARGET",O79,IF(OR(V79="INVALIDATION",V79="AMBIGUOUS"),N79,IF(R79&lt;&gt;"",R79,S79)))</x:f>
        <x:v>326.7758</x:v>
      </x:c>
      <x:c r="AD79" s="19" t="str">
        <x:f>IF(V79="TARGET","TARGET",IF(V79="INVALIDATION","STOP",IF(V79="AMBIGUOUS","AMBIGUO→STOP",IF(R79&lt;&gt;"","60M","CIERRE"))))</x:f>
        <x:v>TARGET</x:v>
      </x:c>
      <x:c r="AE79" s="23" t="n">
        <x:f>IF(OR(M79="",AC79=""),"",AC79/M79-1)</x:f>
        <x:v>0.0037499040100750225</x:v>
      </x:c>
      <x:c r="AF79" s="19" t="str">
        <x:f>IF(AE79="","SIN DATO",IF(AE79&gt;0,"GAIN",IF(AE79&lt;0,"LOSS","FLAT")))</x:f>
        <x:v>GAIN</x:v>
      </x:c>
      <x:c r="AG79" s="19" t="n">
        <x:f>IF(COUNTIFS($E$2:E79,E79,$I$2:I79,I79)=1,1,0)</x:f>
        <x:v>0</x:v>
      </x:c>
      <x:c r="AH79" s="19" t="n">
        <x:v>391</x:v>
      </x:c>
      <x:c r="AI79" s="19" t="str">
        <x:v>Alpaca SIP 1Min raw bars</x:v>
      </x:c>
      <x:c r="AJ79" s="24" t="str">
        <x:v>019fd4f3-ae51-7855-b840-7f7bb2b5ae0b</x:v>
      </x:c>
      <x:c r="AK79" s="24" t="str">
        <x:v>entry_confirmed; swing:favorable:98.00; intraday:favorable:100.00; dilution_analysis_unavailable</x:v>
      </x:c>
    </x:row>
    <x:row r="80">
      <x:c r="A80" s="19" t="n">
        <x:v>10742093</x:v>
      </x:c>
      <x:c r="B80" s="20" t="n">
        <x:v>46239</x:v>
      </x:c>
      <x:c r="C80" s="19" t="str">
        <x:v>16:45:00</x:v>
      </x:c>
      <x:c r="D80" s="19" t="str">
        <x:v>15:45:00</x:v>
      </x:c>
      <x:c r="E80" s="19" t="str">
        <x:v>L1</x:v>
      </x:c>
      <x:c r="F80" s="19" t="str">
        <x:v>AMARILLO</x:v>
      </x:c>
      <x:c r="G80" s="19" t="n">
        <x:v>1</x:v>
      </x:c>
      <x:c r="H80" s="24" t="str">
        <x:v>Alert Engine V2 replay</x:v>
      </x:c>
      <x:c r="I80" s="24" t="str">
        <x:v>VRTX</x:v>
      </x:c>
      <x:c r="J80" s="24" t="str">
        <x:v>ENTRY_CONFIRMED</x:v>
      </x:c>
      <x:c r="K80" s="24" t="str">
        <x:v>LONG_TERM+INTRADAY</x:v>
      </x:c>
      <x:c r="L80" s="21" t="n">
        <x:v>87.67</x:v>
      </x:c>
      <x:c r="M80" s="22" t="n">
        <x:v>485.97</x:v>
      </x:c>
      <x:c r="N80" s="22" t="n">
        <x:v>484.7551</x:v>
      </x:c>
      <x:c r="O80" s="22" t="n">
        <x:v>487.7924</x:v>
      </x:c>
      <x:c r="P80" s="22" t="n">
        <x:v>484.83</x:v>
      </x:c>
      <x:c r="Q80" s="22"/>
      <x:c r="R80" s="22"/>
      <x:c r="S80" s="22" t="n">
        <x:v>484.83</x:v>
      </x:c>
      <x:c r="T80" s="22" t="n">
        <x:v>486.37</x:v>
      </x:c>
      <x:c r="U80" s="22" t="n">
        <x:v>484.465</x:v>
      </x:c>
      <x:c r="V80" s="19" t="str">
        <x:v>INVALIDATION</x:v>
      </x:c>
      <x:c r="W80" s="23" t="n">
        <x:f>IF(OR(M80="",P80=""),"",P80/M80-1)</x:f>
        <x:v>-0.0023458238162850087</x:v>
      </x:c>
      <x:c r="X80" s="23" t="str">
        <x:f>IF(OR(M80="",Q80=""),"",Q80/M80-1)</x:f>
      </x:c>
      <x:c r="Y80" s="23" t="str">
        <x:f>IF(OR(M80="",R80=""),"",R80/M80-1)</x:f>
      </x:c>
      <x:c r="Z80" s="23" t="n">
        <x:f>IF(OR(M80="",S80=""),"",S80/M80-1)</x:f>
        <x:v>-0.0023458238162850087</x:v>
      </x:c>
      <x:c r="AA80" s="23" t="n">
        <x:f>IF(OR(M80="",T80=""),"",T80/M80-1)</x:f>
        <x:v>0.0008230960758894845</x:v>
      </x:c>
      <x:c r="AB80" s="23" t="n">
        <x:f>IF(OR(M80="",U80=""),"",U80/M80-1)</x:f>
        <x:v>-0.0030968989855342244</x:v>
      </x:c>
      <x:c r="AC80" s="22" t="n">
        <x:f>IF(V80="TARGET",O80,IF(OR(V80="INVALIDATION",V80="AMBIGUOUS"),N80,IF(R80&lt;&gt;"",R80,S80)))</x:f>
        <x:v>484.7551</x:v>
      </x:c>
      <x:c r="AD80" s="19" t="str">
        <x:f>IF(V80="TARGET","TARGET",IF(V80="INVALIDATION","STOP",IF(V80="AMBIGUOUS","AMBIGUO→STOP",IF(R80&lt;&gt;"","60M","CIERRE"))))</x:f>
        <x:v>STOP</x:v>
      </x:c>
      <x:c r="AE80" s="23" t="n">
        <x:f>IF(OR(M80="",AC80=""),"",AC80/M80-1)</x:f>
        <x:v>-0.0024999485564952684</x:v>
      </x:c>
      <x:c r="AF80" s="19" t="str">
        <x:f>IF(AE80="","SIN DATO",IF(AE80&gt;0,"GAIN",IF(AE80&lt;0,"LOSS","FLAT")))</x:f>
        <x:v>LOSS</x:v>
      </x:c>
      <x:c r="AG80" s="19" t="n">
        <x:f>IF(COUNTIFS($E$2:E80,E80,$I$2:I80,I80)=1,1,0)</x:f>
        <x:v>1</x:v>
      </x:c>
      <x:c r="AH80" s="19" t="n">
        <x:v>390</x:v>
      </x:c>
      <x:c r="AI80" s="19" t="str">
        <x:v>Alpaca SIP 1Min raw bars</x:v>
      </x:c>
      <x:c r="AJ80" s="24" t="str">
        <x:v>019fd4f3-aeec-791d-af06-3e593638f146</x:v>
      </x:c>
      <x:c r="AK80" s="24" t="str">
        <x:v>entry_confirmed; long_term:favorable:86.80; intraday:favorable:100.00; dilution_analysis_unavailable</x:v>
      </x:c>
    </x:row>
    <x:row r="81">
      <x:c r="A81" s="19" t="n">
        <x:v>10743108</x:v>
      </x:c>
      <x:c r="B81" s="20" t="n">
        <x:v>46239</x:v>
      </x:c>
      <x:c r="C81" s="19" t="str">
        <x:v>16:46:00</x:v>
      </x:c>
      <x:c r="D81" s="19" t="str">
        <x:v>15:46:00</x:v>
      </x:c>
      <x:c r="E81" s="19" t="str">
        <x:v>L2</x:v>
      </x:c>
      <x:c r="F81" s="19" t="str">
        <x:v>AZUL</x:v>
      </x:c>
      <x:c r="G81" s="19" t="n">
        <x:v>2</x:v>
      </x:c>
      <x:c r="H81" s="24" t="str">
        <x:v>Alert Engine V2 replay</x:v>
      </x:c>
      <x:c r="I81" s="24" t="str">
        <x:v>KO</x:v>
      </x:c>
      <x:c r="J81" s="24" t="str">
        <x:v>ENTRY_CONFIRMED</x:v>
      </x:c>
      <x:c r="K81" s="24" t="str">
        <x:v>SWING+INTRADAY</x:v>
      </x:c>
      <x:c r="L81" s="21" t="n">
        <x:v>84.86</x:v>
      </x:c>
      <x:c r="M81" s="22" t="n">
        <x:v>87.025</x:v>
      </x:c>
      <x:c r="N81" s="22" t="n">
        <x:v>86.8074</x:v>
      </x:c>
      <x:c r="O81" s="22" t="n">
        <x:v>87.3513</x:v>
      </x:c>
      <x:c r="P81" s="22"/>
      <x:c r="Q81" s="22"/>
      <x:c r="R81" s="22"/>
      <x:c r="S81" s="22" t="n">
        <x:v>86.83</x:v>
      </x:c>
      <x:c r="T81" s="22" t="n">
        <x:v>87.15</x:v>
      </x:c>
      <x:c r="U81" s="22" t="n">
        <x:v>86.79</x:v>
      </x:c>
      <x:c r="V81" s="19" t="str">
        <x:v>INVALIDATION</x:v>
      </x:c>
      <x:c r="W81" s="23" t="str">
        <x:f>IF(OR(M81="",P81=""),"",P81/M81-1)</x:f>
      </x:c>
      <x:c r="X81" s="23" t="str">
        <x:f>IF(OR(M81="",Q81=""),"",Q81/M81-1)</x:f>
      </x:c>
      <x:c r="Y81" s="23" t="str">
        <x:f>IF(OR(M81="",R81=""),"",R81/M81-1)</x:f>
      </x:c>
      <x:c r="Z81" s="23" t="n">
        <x:f>IF(OR(M81="",S81=""),"",S81/M81-1)</x:f>
        <x:v>-0.0022407354208561214</x:v>
      </x:c>
      <x:c r="AA81" s="23" t="n">
        <x:f>IF(OR(M81="",T81=""),"",T81/M81-1)</x:f>
        <x:v>0.0014363688595231405</x:v>
      </x:c>
      <x:c r="AB81" s="23" t="n">
        <x:f>IF(OR(M81="",U81=""),"",U81/M81-1)</x:f>
        <x:v>-0.00270037345590346</x:v>
      </x:c>
      <x:c r="AC81" s="22" t="n">
        <x:f>IF(V81="TARGET",O81,IF(OR(V81="INVALIDATION",V81="AMBIGUOUS"),N81,IF(R81&lt;&gt;"",R81,S81)))</x:f>
        <x:v>86.8074</x:v>
      </x:c>
      <x:c r="AD81" s="19" t="str">
        <x:f>IF(V81="TARGET","TARGET",IF(V81="INVALIDATION","STOP",IF(V81="AMBIGUOUS","AMBIGUO→STOP",IF(R81&lt;&gt;"","60M","CIERRE"))))</x:f>
        <x:v>STOP</x:v>
      </x:c>
      <x:c r="AE81" s="23" t="n">
        <x:f>IF(OR(M81="",AC81=""),"",AC81/M81-1)</x:f>
        <x:v>-0.0025004309106578804</x:v>
      </x:c>
      <x:c r="AF81" s="19" t="str">
        <x:f>IF(AE81="","SIN DATO",IF(AE81&gt;0,"GAIN",IF(AE81&lt;0,"LOSS","FLAT")))</x:f>
        <x:v>LOSS</x:v>
      </x:c>
      <x:c r="AG81" s="19" t="n">
        <x:f>IF(COUNTIFS($E$2:E81,E81,$I$2:I81,I81)=1,1,0)</x:f>
        <x:v>0</x:v>
      </x:c>
      <x:c r="AH81" s="19" t="n">
        <x:v>391</x:v>
      </x:c>
      <x:c r="AI81" s="19" t="str">
        <x:v>Alpaca SIP 1Min raw bars</x:v>
      </x:c>
      <x:c r="AJ81" s="24" t="str">
        <x:v>019fd4f3-af0a-7f8c-94b1-72ca65670322</x:v>
      </x:c>
      <x:c r="AK81" s="24" t="str">
        <x:v>entry_confirmed; swing:watch:85.00; intraday:favorable:100.00; dilution_analysis_unavailable</x:v>
      </x:c>
    </x:row>
    <x:row r="82">
      <x:c r="A82" s="19" t="n">
        <x:v>10743383</x:v>
      </x:c>
      <x:c r="B82" s="20" t="n">
        <x:v>46239</x:v>
      </x:c>
      <x:c r="C82" s="19" t="str">
        <x:v>16:46:00</x:v>
      </x:c>
      <x:c r="D82" s="19" t="str">
        <x:v>15:46:00</x:v>
      </x:c>
      <x:c r="E82" s="19" t="str">
        <x:v>L2</x:v>
      </x:c>
      <x:c r="F82" s="19" t="str">
        <x:v>AZUL</x:v>
      </x:c>
      <x:c r="G82" s="19" t="n">
        <x:v>2</x:v>
      </x:c>
      <x:c r="H82" s="24" t="str">
        <x:v>Alert Engine V2 replay</x:v>
      </x:c>
      <x:c r="I82" s="24" t="str">
        <x:v>SHW</x:v>
      </x:c>
      <x:c r="J82" s="24" t="str">
        <x:v>ENTRY_CONFIRMED</x:v>
      </x:c>
      <x:c r="K82" s="24" t="str">
        <x:v>SWING+INTRADAY</x:v>
      </x:c>
      <x:c r="L82" s="21" t="n">
        <x:v>100</x:v>
      </x:c>
      <x:c r="M82" s="22" t="n">
        <x:v>368.12</x:v>
      </x:c>
      <x:c r="N82" s="22" t="n">
        <x:v>367.1997</x:v>
      </x:c>
      <x:c r="O82" s="22" t="n">
        <x:v>369.5005</x:v>
      </x:c>
      <x:c r="P82" s="22"/>
      <x:c r="Q82" s="22"/>
      <x:c r="R82" s="22"/>
      <x:c r="S82" s="22" t="n">
        <x:v>369.68</x:v>
      </x:c>
      <x:c r="T82" s="22" t="n">
        <x:v>369.76</x:v>
      </x:c>
      <x:c r="U82" s="22" t="n">
        <x:v>368.04</x:v>
      </x:c>
      <x:c r="V82" s="19" t="str">
        <x:v>TARGET</x:v>
      </x:c>
      <x:c r="W82" s="23" t="str">
        <x:f>IF(OR(M82="",P82=""),"",P82/M82-1)</x:f>
      </x:c>
      <x:c r="X82" s="23" t="str">
        <x:f>IF(OR(M82="",Q82=""),"",Q82/M82-1)</x:f>
      </x:c>
      <x:c r="Y82" s="23" t="str">
        <x:f>IF(OR(M82="",R82=""),"",R82/M82-1)</x:f>
      </x:c>
      <x:c r="Z82" s="23" t="n">
        <x:f>IF(OR(M82="",S82=""),"",S82/M82-1)</x:f>
        <x:v>0.004237748560252053</x:v>
      </x:c>
      <x:c r="AA82" s="23" t="n">
        <x:f>IF(OR(M82="",T82=""),"",T82/M82-1)</x:f>
        <x:v>0.004455068999239309</x:v>
      </x:c>
      <x:c r="AB82" s="23" t="n">
        <x:f>IF(OR(M82="",U82=""),"",U82/M82-1)</x:f>
        <x:v>-0.00021732043898725628</x:v>
      </x:c>
      <x:c r="AC82" s="22" t="n">
        <x:f>IF(V82="TARGET",O82,IF(OR(V82="INVALIDATION",V82="AMBIGUOUS"),N82,IF(R82&lt;&gt;"",R82,S82)))</x:f>
        <x:v>369.5005</x:v>
      </x:c>
      <x:c r="AD82" s="19" t="str">
        <x:f>IF(V82="TARGET","TARGET",IF(V82="INVALIDATION","STOP",IF(V82="AMBIGUOUS","AMBIGUO→STOP",IF(R82&lt;&gt;"","60M","CIERRE"))))</x:f>
        <x:v>TARGET</x:v>
      </x:c>
      <x:c r="AE82" s="23" t="n">
        <x:f>IF(OR(M82="",AC82=""),"",AC82/M82-1)</x:f>
        <x:v>0.003750135825274281</x:v>
      </x:c>
      <x:c r="AF82" s="19" t="str">
        <x:f>IF(AE82="","SIN DATO",IF(AE82&gt;0,"GAIN",IF(AE82&lt;0,"LOSS","FLAT")))</x:f>
        <x:v>GAIN</x:v>
      </x:c>
      <x:c r="AG82" s="19" t="n">
        <x:f>IF(COUNTIFS($E$2:E82,E82,$I$2:I82,I82)=1,1,0)</x:f>
        <x:v>0</x:v>
      </x:c>
      <x:c r="AH82" s="19" t="n">
        <x:v>388</x:v>
      </x:c>
      <x:c r="AI82" s="19" t="str">
        <x:v>Alpaca SIP 1Min raw bars</x:v>
      </x:c>
      <x:c r="AJ82" s="24" t="str">
        <x:v>019fd4f3-af1a-7a67-8012-bf093c203561</x:v>
      </x:c>
      <x:c r="AK82" s="24" t="str">
        <x:v>entry_confirmed; swing:favorable:100.00; intraday:favorable:100.00; dilution_analysis_unavailable</x:v>
      </x:c>
    </x:row>
    <x:row r="83">
      <x:c r="A83" s="19" t="n">
        <x:v>10744367</x:v>
      </x:c>
      <x:c r="B83" s="20" t="n">
        <x:v>46239</x:v>
      </x:c>
      <x:c r="C83" s="19" t="str">
        <x:v>16:47:00</x:v>
      </x:c>
      <x:c r="D83" s="19" t="str">
        <x:v>15:47:00</x:v>
      </x:c>
      <x:c r="E83" s="19" t="str">
        <x:v>L3</x:v>
      </x:c>
      <x:c r="F83" s="19" t="str">
        <x:v>VERDE</x:v>
      </x:c>
      <x:c r="G83" s="19" t="n">
        <x:v>3</x:v>
      </x:c>
      <x:c r="H83" s="24" t="str">
        <x:v>Alert Engine V2 replay</x:v>
      </x:c>
      <x:c r="I83" s="24" t="str">
        <x:v>ECL</x:v>
      </x:c>
      <x:c r="J83" s="24" t="str">
        <x:v>HIGH_CONVICTION_BUY</x:v>
      </x:c>
      <x:c r="K83" s="24" t="str">
        <x:v>LONG_TERM+SWING+INTRADAY</x:v>
      </x:c>
      <x:c r="L83" s="21" t="n">
        <x:v>89.91</x:v>
      </x:c>
      <x:c r="M83" s="22" t="n">
        <x:v>284.93</x:v>
      </x:c>
      <x:c r="N83" s="22" t="n">
        <x:v>284.2177</x:v>
      </x:c>
      <x:c r="O83" s="22" t="n">
        <x:v>285.9985</x:v>
      </x:c>
      <x:c r="P83" s="22"/>
      <x:c r="Q83" s="22"/>
      <x:c r="R83" s="22"/>
      <x:c r="S83" s="22" t="n">
        <x:v>285.47</x:v>
      </x:c>
      <x:c r="T83" s="22" t="n">
        <x:v>285.85</x:v>
      </x:c>
      <x:c r="U83" s="22" t="n">
        <x:v>284.86</x:v>
      </x:c>
      <x:c r="V83" s="19"/>
      <x:c r="W83" s="23" t="str">
        <x:f>IF(OR(M83="",P83=""),"",P83/M83-1)</x:f>
      </x:c>
      <x:c r="X83" s="23" t="str">
        <x:f>IF(OR(M83="",Q83=""),"",Q83/M83-1)</x:f>
      </x:c>
      <x:c r="Y83" s="23" t="str">
        <x:f>IF(OR(M83="",R83=""),"",R83/M83-1)</x:f>
      </x:c>
      <x:c r="Z83" s="23" t="n">
        <x:f>IF(OR(M83="",S83=""),"",S83/M83-1)</x:f>
        <x:v>0.0018952023303970833</x:v>
      </x:c>
      <x:c r="AA83" s="23" t="n">
        <x:f>IF(OR(M83="",T83=""),"",T83/M83-1)</x:f>
        <x:v>0.003228863229565171</x:v>
      </x:c>
      <x:c r="AB83" s="23" t="n">
        <x:f>IF(OR(M83="",U83=""),"",U83/M83-1)</x:f>
        <x:v>-0.0002456743761625191</x:v>
      </x:c>
      <x:c r="AC83" s="22" t="n">
        <x:f>IF(V83="TARGET",O83,IF(OR(V83="INVALIDATION",V83="AMBIGUOUS"),N83,IF(R83&lt;&gt;"",R83,S83)))</x:f>
        <x:v>285.47</x:v>
      </x:c>
      <x:c r="AD83" s="19" t="str">
        <x:f>IF(V83="TARGET","TARGET",IF(V83="INVALIDATION","STOP",IF(V83="AMBIGUOUS","AMBIGUO→STOP",IF(R83&lt;&gt;"","60M","CIERRE"))))</x:f>
        <x:v>CIERRE</x:v>
      </x:c>
      <x:c r="AE83" s="23" t="n">
        <x:f>IF(OR(M83="",AC83=""),"",AC83/M83-1)</x:f>
        <x:v>0.0018952023303970833</x:v>
      </x:c>
      <x:c r="AF83" s="19" t="str">
        <x:f>IF(AE83="","SIN DATO",IF(AE83&gt;0,"GAIN",IF(AE83&lt;0,"LOSS","FLAT")))</x:f>
        <x:v>GAIN</x:v>
      </x:c>
      <x:c r="AG83" s="19" t="n">
        <x:f>IF(COUNTIFS($E$2:E83,E83,$I$2:I83,I83)=1,1,0)</x:f>
        <x:v>1</x:v>
      </x:c>
      <x:c r="AH83" s="19" t="n">
        <x:v>390</x:v>
      </x:c>
      <x:c r="AI83" s="19" t="str">
        <x:v>Alpaca SIP 1Min raw bars</x:v>
      </x:c>
      <x:c r="AJ83" s="24" t="str">
        <x:v>019fd4f3-af3b-71ea-8aac-e443a5fefe42</x:v>
      </x:c>
      <x:c r="AK83" s="24" t="str">
        <x:v>high_conviction_buy; long_term:watch:85.13; swing:favorable:98.00; intraday:favorable:100.00; dilution_analysis_unavailable</x:v>
      </x:c>
    </x:row>
    <x:row r="84">
      <x:c r="A84" s="19" t="n">
        <x:v>10747983</x:v>
      </x:c>
      <x:c r="B84" s="20" t="n">
        <x:v>46239</x:v>
      </x:c>
      <x:c r="C84" s="19" t="str">
        <x:v>16:50:00</x:v>
      </x:c>
      <x:c r="D84" s="19" t="str">
        <x:v>15:50:00</x:v>
      </x:c>
      <x:c r="E84" s="19" t="str">
        <x:v>L2</x:v>
      </x:c>
      <x:c r="F84" s="19" t="str">
        <x:v>AZUL</x:v>
      </x:c>
      <x:c r="G84" s="19" t="n">
        <x:v>2</x:v>
      </x:c>
      <x:c r="H84" s="24" t="str">
        <x:v>Alert Engine V2 replay</x:v>
      </x:c>
      <x:c r="I84" s="24" t="str">
        <x:v>NUE</x:v>
      </x:c>
      <x:c r="J84" s="24" t="str">
        <x:v>ENTRY_CONFIRMED</x:v>
      </x:c>
      <x:c r="K84" s="24" t="str">
        <x:v>SWING+INTRADAY</x:v>
      </x:c>
      <x:c r="L84" s="21" t="n">
        <x:v>100</x:v>
      </x:c>
      <x:c r="M84" s="22" t="n">
        <x:v>276.11</x:v>
      </x:c>
      <x:c r="N84" s="22" t="n">
        <x:v>275.4197</x:v>
      </x:c>
      <x:c r="O84" s="22" t="n">
        <x:v>277.1454</x:v>
      </x:c>
      <x:c r="P84" s="22"/>
      <x:c r="Q84" s="22"/>
      <x:c r="R84" s="22"/>
      <x:c r="S84" s="22" t="n">
        <x:v>274.74</x:v>
      </x:c>
      <x:c r="T84" s="22" t="n">
        <x:v>276.33</x:v>
      </x:c>
      <x:c r="U84" s="22" t="n">
        <x:v>274.27</x:v>
      </x:c>
      <x:c r="V84" s="19" t="str">
        <x:v>INVALIDATION</x:v>
      </x:c>
      <x:c r="W84" s="23" t="str">
        <x:f>IF(OR(M84="",P84=""),"",P84/M84-1)</x:f>
      </x:c>
      <x:c r="X84" s="23" t="str">
        <x:f>IF(OR(M84="",Q84=""),"",Q84/M84-1)</x:f>
      </x:c>
      <x:c r="Y84" s="23" t="str">
        <x:f>IF(OR(M84="",R84=""),"",R84/M84-1)</x:f>
      </x:c>
      <x:c r="Z84" s="23" t="n">
        <x:f>IF(OR(M84="",S84=""),"",S84/M84-1)</x:f>
        <x:v>-0.004961790590706672</x:v>
      </x:c>
      <x:c r="AA84" s="23" t="n">
        <x:f>IF(OR(M84="",T84=""),"",T84/M84-1)</x:f>
        <x:v>0.0007967838904783253</x:v>
      </x:c>
      <x:c r="AB84" s="23" t="n">
        <x:f>IF(OR(M84="",U84=""),"",U84/M84-1)</x:f>
        <x:v>-0.006664010720365154</x:v>
      </x:c>
      <x:c r="AC84" s="22" t="n">
        <x:f>IF(V84="TARGET",O84,IF(OR(V84="INVALIDATION",V84="AMBIGUOUS"),N84,IF(R84&lt;&gt;"",R84,S84)))</x:f>
        <x:v>275.4197</x:v>
      </x:c>
      <x:c r="AD84" s="19" t="str">
        <x:f>IF(V84="TARGET","TARGET",IF(V84="INVALIDATION","STOP",IF(V84="AMBIGUOUS","AMBIGUO→STOP",IF(R84&lt;&gt;"","60M","CIERRE"))))</x:f>
        <x:v>STOP</x:v>
      </x:c>
      <x:c r="AE84" s="23" t="n">
        <x:f>IF(OR(M84="",AC84=""),"",AC84/M84-1)</x:f>
        <x:v>-0.0025000905436241005</x:v>
      </x:c>
      <x:c r="AF84" s="19" t="str">
        <x:f>IF(AE84="","SIN DATO",IF(AE84&gt;0,"GAIN",IF(AE84&lt;0,"LOSS","FLAT")))</x:f>
        <x:v>LOSS</x:v>
      </x:c>
      <x:c r="AG84" s="19" t="n">
        <x:f>IF(COUNTIFS($E$2:E84,E84,$I$2:I84,I84)=1,1,0)</x:f>
        <x:v>0</x:v>
      </x:c>
      <x:c r="AH84" s="19" t="n">
        <x:v>376</x:v>
      </x:c>
      <x:c r="AI84" s="19" t="str">
        <x:v>Alpaca SIP 1Min raw bars</x:v>
      </x:c>
      <x:c r="AJ84" s="24" t="str">
        <x:v>019fd4f3-afc3-74b3-9ee1-0a014cb6af7d</x:v>
      </x:c>
      <x:c r="AK84" s="24" t="str">
        <x:v>entry_confirmed; swing:favorable:100.00; intraday:favorable:100.00; dilution_analysis_unavailable</x:v>
      </x:c>
    </x:row>
    <x:row r="85">
      <x:c r="A85" s="19" t="n">
        <x:v>10748267</x:v>
      </x:c>
      <x:c r="B85" s="20" t="n">
        <x:v>46239</x:v>
      </x:c>
      <x:c r="C85" s="19" t="str">
        <x:v>16:50:00</x:v>
      </x:c>
      <x:c r="D85" s="19" t="str">
        <x:v>15:50:00</x:v>
      </x:c>
      <x:c r="E85" s="19" t="str">
        <x:v>L3</x:v>
      </x:c>
      <x:c r="F85" s="19" t="str">
        <x:v>VERDE</x:v>
      </x:c>
      <x:c r="G85" s="19" t="n">
        <x:v>3</x:v>
      </x:c>
      <x:c r="H85" s="24" t="str">
        <x:v>Alert Engine V2 replay</x:v>
      </x:c>
      <x:c r="I85" s="24" t="str">
        <x:v>ABNB</x:v>
      </x:c>
      <x:c r="J85" s="24" t="str">
        <x:v>HIGH_CONVICTION_BUY</x:v>
      </x:c>
      <x:c r="K85" s="24" t="str">
        <x:v>LONG_TERM+SWING+INTRADAY</x:v>
      </x:c>
      <x:c r="L85" s="21" t="n">
        <x:v>90.02</x:v>
      </x:c>
      <x:c r="M85" s="22" t="n">
        <x:v>152.945</x:v>
      </x:c>
      <x:c r="N85" s="22" t="n">
        <x:v>152.5626</x:v>
      </x:c>
      <x:c r="O85" s="22" t="n">
        <x:v>153.5185</x:v>
      </x:c>
      <x:c r="P85" s="22"/>
      <x:c r="Q85" s="22"/>
      <x:c r="R85" s="22"/>
      <x:c r="S85" s="22" t="n">
        <x:v>152.49</x:v>
      </x:c>
      <x:c r="T85" s="22" t="n">
        <x:v>153.32</x:v>
      </x:c>
      <x:c r="U85" s="22" t="n">
        <x:v>152.42</x:v>
      </x:c>
      <x:c r="V85" s="19" t="str">
        <x:v>INVALIDATION</x:v>
      </x:c>
      <x:c r="W85" s="23" t="str">
        <x:f>IF(OR(M85="",P85=""),"",P85/M85-1)</x:f>
      </x:c>
      <x:c r="X85" s="23" t="str">
        <x:f>IF(OR(M85="",Q85=""),"",Q85/M85-1)</x:f>
      </x:c>
      <x:c r="Y85" s="23" t="str">
        <x:f>IF(OR(M85="",R85=""),"",R85/M85-1)</x:f>
      </x:c>
      <x:c r="Z85" s="23" t="n">
        <x:f>IF(OR(M85="",S85=""),"",S85/M85-1)</x:f>
        <x:v>-0.002974925626859193</x:v>
      </x:c>
      <x:c r="AA85" s="23" t="n">
        <x:f>IF(OR(M85="",T85=""),"",T85/M85-1)</x:f>
        <x:v>0.0024518617803785947</x:v>
      </x:c>
      <x:c r="AB85" s="23" t="n">
        <x:f>IF(OR(M85="",U85=""),"",U85/M85-1)</x:f>
        <x:v>-0.003432606492530077</x:v>
      </x:c>
      <x:c r="AC85" s="22" t="n">
        <x:f>IF(V85="TARGET",O85,IF(OR(V85="INVALIDATION",V85="AMBIGUOUS"),N85,IF(R85&lt;&gt;"",R85,S85)))</x:f>
        <x:v>152.5626</x:v>
      </x:c>
      <x:c r="AD85" s="19" t="str">
        <x:f>IF(V85="TARGET","TARGET",IF(V85="INVALIDATION","STOP",IF(V85="AMBIGUOUS","AMBIGUO→STOP",IF(R85&lt;&gt;"","60M","CIERRE"))))</x:f>
        <x:v>STOP</x:v>
      </x:c>
      <x:c r="AE85" s="23" t="n">
        <x:f>IF(OR(M85="",AC85=""),"",AC85/M85-1)</x:f>
        <x:v>-0.002500245186177974</x:v>
      </x:c>
      <x:c r="AF85" s="19" t="str">
        <x:f>IF(AE85="","SIN DATO",IF(AE85&gt;0,"GAIN",IF(AE85&lt;0,"LOSS","FLAT")))</x:f>
        <x:v>LOSS</x:v>
      </x:c>
      <x:c r="AG85" s="19" t="n">
        <x:f>IF(COUNTIFS($E$2:E85,E85,$I$2:I85,I85)=1,1,0)</x:f>
        <x:v>1</x:v>
      </x:c>
      <x:c r="AH85" s="19" t="n">
        <x:v>389</x:v>
      </x:c>
      <x:c r="AI85" s="19" t="str">
        <x:v>Alpaca SIP 1Min raw bars</x:v>
      </x:c>
      <x:c r="AJ85" s="24" t="str">
        <x:v>019fd4f3-afd3-7d21-af2a-2a9c7699d62a</x:v>
      </x:c>
      <x:c r="AK85" s="24" t="str">
        <x:v>high_conviction_buy; long_term:watch:82.50; swing:favorable:100.00; intraday:favorable:100.00; dilution_analysis_unavailable</x:v>
      </x:c>
    </x:row>
    <x:row r="86">
      <x:c r="A86" s="19" t="n">
        <x:v>10748708</x:v>
      </x:c>
      <x:c r="B86" s="20" t="n">
        <x:v>46239</x:v>
      </x:c>
      <x:c r="C86" s="19" t="str">
        <x:v>16:51:00</x:v>
      </x:c>
      <x:c r="D86" s="19" t="str">
        <x:v>15:51:00</x:v>
      </x:c>
      <x:c r="E86" s="19" t="str">
        <x:v>L2</x:v>
      </x:c>
      <x:c r="F86" s="19" t="str">
        <x:v>AZUL</x:v>
      </x:c>
      <x:c r="G86" s="19" t="n">
        <x:v>2</x:v>
      </x:c>
      <x:c r="H86" s="24" t="str">
        <x:v>Alert Engine V2 replay</x:v>
      </x:c>
      <x:c r="I86" s="24" t="str">
        <x:v>BLK</x:v>
      </x:c>
      <x:c r="J86" s="24" t="str">
        <x:v>ENTRY_CONFIRMED</x:v>
      </x:c>
      <x:c r="K86" s="24" t="str">
        <x:v>SWING+INTRADAY</x:v>
      </x:c>
      <x:c r="L86" s="21" t="n">
        <x:v>97.84</x:v>
      </x:c>
      <x:c r="M86" s="22" t="n">
        <x:v>1131.86</x:v>
      </x:c>
      <x:c r="N86" s="22" t="n">
        <x:v>1129.0304</x:v>
      </x:c>
      <x:c r="O86" s="22" t="n">
        <x:v>1136.1045</x:v>
      </x:c>
      <x:c r="P86" s="22"/>
      <x:c r="Q86" s="22"/>
      <x:c r="R86" s="22"/>
      <x:c r="S86" s="22" t="n">
        <x:v>1133.58</x:v>
      </x:c>
      <x:c r="T86" s="22" t="n">
        <x:v>1134.155</x:v>
      </x:c>
      <x:c r="U86" s="22" t="n">
        <x:v>1130.77</x:v>
      </x:c>
      <x:c r="V86" s="19"/>
      <x:c r="W86" s="23" t="str">
        <x:f>IF(OR(M86="",P86=""),"",P86/M86-1)</x:f>
      </x:c>
      <x:c r="X86" s="23" t="str">
        <x:f>IF(OR(M86="",Q86=""),"",Q86/M86-1)</x:f>
      </x:c>
      <x:c r="Y86" s="23" t="str">
        <x:f>IF(OR(M86="",R86=""),"",R86/M86-1)</x:f>
      </x:c>
      <x:c r="Z86" s="23" t="n">
        <x:f>IF(OR(M86="",S86=""),"",S86/M86-1)</x:f>
        <x:v>0.0015196225681621822</x:v>
      </x:c>
      <x:c r="AA86" s="23" t="n">
        <x:f>IF(OR(M86="",T86=""),"",T86/M86-1)</x:f>
        <x:v>0.0020276359267048516</x:v>
      </x:c>
      <x:c r="AB86" s="23" t="n">
        <x:f>IF(OR(M86="",U86=""),"",U86/M86-1)</x:f>
        <x:v>-0.0009630166274979812</x:v>
      </x:c>
      <x:c r="AC86" s="22" t="n">
        <x:f>IF(V86="TARGET",O86,IF(OR(V86="INVALIDATION",V86="AMBIGUOUS"),N86,IF(R86&lt;&gt;"",R86,S86)))</x:f>
        <x:v>1133.58</x:v>
      </x:c>
      <x:c r="AD86" s="19" t="str">
        <x:f>IF(V86="TARGET","TARGET",IF(V86="INVALIDATION","STOP",IF(V86="AMBIGUOUS","AMBIGUO→STOP",IF(R86&lt;&gt;"","60M","CIERRE"))))</x:f>
        <x:v>CIERRE</x:v>
      </x:c>
      <x:c r="AE86" s="23" t="n">
        <x:f>IF(OR(M86="",AC86=""),"",AC86/M86-1)</x:f>
        <x:v>0.0015196225681621822</x:v>
      </x:c>
      <x:c r="AF86" s="19" t="str">
        <x:f>IF(AE86="","SIN DATO",IF(AE86&gt;0,"GAIN",IF(AE86&lt;0,"LOSS","FLAT")))</x:f>
        <x:v>GAIN</x:v>
      </x:c>
      <x:c r="AG86" s="19" t="n">
        <x:f>IF(COUNTIFS($E$2:E86,E86,$I$2:I86,I86)=1,1,0)</x:f>
        <x:v>1</x:v>
      </x:c>
      <x:c r="AH86" s="19" t="n">
        <x:v>365</x:v>
      </x:c>
      <x:c r="AI86" s="19" t="str">
        <x:v>Alpaca SIP 1Min raw bars</x:v>
      </x:c>
      <x:c r="AJ86" s="24" t="str">
        <x:v>019fd4f3-afe1-744d-90cb-07e8c01f74bc</x:v>
      </x:c>
      <x:c r="AK86" s="24" t="str">
        <x:v>entry_confirmed; swing:favorable:98.00; intraday:favorable:100.00; dilution_analysis_unavailable</x:v>
      </x:c>
    </x:row>
    <x:row r="87">
      <x:c r="A87" s="19" t="n">
        <x:v>10750624</x:v>
      </x:c>
      <x:c r="B87" s="20" t="n">
        <x:v>46239</x:v>
      </x:c>
      <x:c r="C87" s="19" t="str">
        <x:v>16:52:00</x:v>
      </x:c>
      <x:c r="D87" s="19" t="str">
        <x:v>15:52:00</x:v>
      </x:c>
      <x:c r="E87" s="19" t="str">
        <x:v>L2</x:v>
      </x:c>
      <x:c r="F87" s="19" t="str">
        <x:v>AZUL</x:v>
      </x:c>
      <x:c r="G87" s="19" t="n">
        <x:v>2</x:v>
      </x:c>
      <x:c r="H87" s="24" t="str">
        <x:v>Alert Engine V2 replay</x:v>
      </x:c>
      <x:c r="I87" s="24" t="str">
        <x:v>BLFS</x:v>
      </x:c>
      <x:c r="J87" s="24" t="str">
        <x:v>ENTRY_CONFIRMED</x:v>
      </x:c>
      <x:c r="K87" s="24" t="str">
        <x:v>SWING+INTRADAY</x:v>
      </x:c>
      <x:c r="L87" s="21" t="n">
        <x:v>93.65</x:v>
      </x:c>
      <x:c r="M87" s="22" t="n">
        <x:v>33.72</x:v>
      </x:c>
      <x:c r="N87" s="22" t="n">
        <x:v>33.6357</x:v>
      </x:c>
      <x:c r="O87" s="22" t="n">
        <x:v>33.8465</x:v>
      </x:c>
      <x:c r="P87" s="22"/>
      <x:c r="Q87" s="22"/>
      <x:c r="R87" s="22"/>
      <x:c r="S87" s="22" t="n">
        <x:v>33.8</x:v>
      </x:c>
      <x:c r="T87" s="22" t="n">
        <x:v>33.84</x:v>
      </x:c>
      <x:c r="U87" s="22" t="n">
        <x:v>33.67</x:v>
      </x:c>
      <x:c r="V87" s="19"/>
      <x:c r="W87" s="23" t="str">
        <x:f>IF(OR(M87="",P87=""),"",P87/M87-1)</x:f>
      </x:c>
      <x:c r="X87" s="23" t="str">
        <x:f>IF(OR(M87="",Q87=""),"",Q87/M87-1)</x:f>
      </x:c>
      <x:c r="Y87" s="23" t="str">
        <x:f>IF(OR(M87="",R87=""),"",R87/M87-1)</x:f>
      </x:c>
      <x:c r="Z87" s="23" t="n">
        <x:f>IF(OR(M87="",S87=""),"",S87/M87-1)</x:f>
        <x:v>0.0023724792408066353</x:v>
      </x:c>
      <x:c r="AA87" s="23" t="n">
        <x:f>IF(OR(M87="",T87=""),"",T87/M87-1)</x:f>
        <x:v>0.003558718861210064</x:v>
      </x:c>
      <x:c r="AB87" s="23" t="n">
        <x:f>IF(OR(M87="",U87=""),"",U87/M87-1)</x:f>
        <x:v>-0.0014827995255041193</x:v>
      </x:c>
      <x:c r="AC87" s="22" t="n">
        <x:f>IF(V87="TARGET",O87,IF(OR(V87="INVALIDATION",V87="AMBIGUOUS"),N87,IF(R87&lt;&gt;"",R87,S87)))</x:f>
        <x:v>33.8</x:v>
      </x:c>
      <x:c r="AD87" s="19" t="str">
        <x:f>IF(V87="TARGET","TARGET",IF(V87="INVALIDATION","STOP",IF(V87="AMBIGUOUS","AMBIGUO→STOP",IF(R87&lt;&gt;"","60M","CIERRE"))))</x:f>
        <x:v>CIERRE</x:v>
      </x:c>
      <x:c r="AE87" s="23" t="n">
        <x:f>IF(OR(M87="",AC87=""),"",AC87/M87-1)</x:f>
        <x:v>0.0023724792408066353</x:v>
      </x:c>
      <x:c r="AF87" s="19" t="str">
        <x:f>IF(AE87="","SIN DATO",IF(AE87&gt;0,"GAIN",IF(AE87&lt;0,"LOSS","FLAT")))</x:f>
        <x:v>GAIN</x:v>
      </x:c>
      <x:c r="AG87" s="19" t="n">
        <x:f>IF(COUNTIFS($E$2:E87,E87,$I$2:I87,I87)=1,1,0)</x:f>
        <x:v>0</x:v>
      </x:c>
      <x:c r="AH87" s="19" t="n">
        <x:v>241</x:v>
      </x:c>
      <x:c r="AI87" s="19" t="str">
        <x:v>Alpaca SIP 1Min raw bars</x:v>
      </x:c>
      <x:c r="AJ87" s="24" t="str">
        <x:v>019fd4f3-b049-7819-8448-48580d76a51f</x:v>
      </x:c>
      <x:c r="AK87" s="24" t="str">
        <x:v>entry_confirmed; swing:favorable:94.00; intraday:favorable:100.00; dilution_analysis_unavailable</x:v>
      </x:c>
    </x:row>
    <x:row r="88">
      <x:c r="A88" s="19" t="n">
        <x:v>10751743</x:v>
      </x:c>
      <x:c r="B88" s="20" t="n">
        <x:v>46239</x:v>
      </x:c>
      <x:c r="C88" s="19" t="str">
        <x:v>16:53:00</x:v>
      </x:c>
      <x:c r="D88" s="19" t="str">
        <x:v>15:53:00</x:v>
      </x:c>
      <x:c r="E88" s="19" t="str">
        <x:v>L2</x:v>
      </x:c>
      <x:c r="F88" s="19" t="str">
        <x:v>AZUL</x:v>
      </x:c>
      <x:c r="G88" s="19" t="n">
        <x:v>2</x:v>
      </x:c>
      <x:c r="H88" s="24" t="str">
        <x:v>Alert Engine V2 replay</x:v>
      </x:c>
      <x:c r="I88" s="24" t="str">
        <x:v>PFE</x:v>
      </x:c>
      <x:c r="J88" s="24" t="str">
        <x:v>ENTRY_CONFIRMED</x:v>
      </x:c>
      <x:c r="K88" s="24" t="str">
        <x:v>SWING+INTRADAY</x:v>
      </x:c>
      <x:c r="L88" s="21" t="n">
        <x:v>89.64</x:v>
      </x:c>
      <x:c r="M88" s="22" t="n">
        <x:v>25.735</x:v>
      </x:c>
      <x:c r="N88" s="22" t="n">
        <x:v>25.6707</x:v>
      </x:c>
      <x:c r="O88" s="22" t="n">
        <x:v>25.8315</x:v>
      </x:c>
      <x:c r="P88" s="22"/>
      <x:c r="Q88" s="22"/>
      <x:c r="R88" s="22"/>
      <x:c r="S88" s="22" t="n">
        <x:v>25.6146</x:v>
      </x:c>
      <x:c r="T88" s="22" t="n">
        <x:v>25.81</x:v>
      </x:c>
      <x:c r="U88" s="22" t="n">
        <x:v>25.46</x:v>
      </x:c>
      <x:c r="V88" s="19" t="str">
        <x:v>INVALIDATION</x:v>
      </x:c>
      <x:c r="W88" s="23" t="str">
        <x:f>IF(OR(M88="",P88=""),"",P88/M88-1)</x:f>
      </x:c>
      <x:c r="X88" s="23" t="str">
        <x:f>IF(OR(M88="",Q88=""),"",Q88/M88-1)</x:f>
      </x:c>
      <x:c r="Y88" s="23" t="str">
        <x:f>IF(OR(M88="",R88=""),"",R88/M88-1)</x:f>
      </x:c>
      <x:c r="Z88" s="23" t="n">
        <x:f>IF(OR(M88="",S88=""),"",S88/M88-1)</x:f>
        <x:v>-0.004678453468039634</x:v>
      </x:c>
      <x:c r="AA88" s="23" t="n">
        <x:f>IF(OR(M88="",T88=""),"",T88/M88-1)</x:f>
        <x:v>0.002914319020788758</x:v>
      </x:c>
      <x:c r="AB88" s="23" t="n">
        <x:f>IF(OR(M88="",U88=""),"",U88/M88-1)</x:f>
        <x:v>-0.010685836409558891</x:v>
      </x:c>
      <x:c r="AC88" s="22" t="n">
        <x:f>IF(V88="TARGET",O88,IF(OR(V88="INVALIDATION",V88="AMBIGUOUS"),N88,IF(R88&lt;&gt;"",R88,S88)))</x:f>
        <x:v>25.6707</x:v>
      </x:c>
      <x:c r="AD88" s="19" t="str">
        <x:f>IF(V88="TARGET","TARGET",IF(V88="INVALIDATION","STOP",IF(V88="AMBIGUOUS","AMBIGUO→STOP",IF(R88&lt;&gt;"","60M","CIERRE"))))</x:f>
        <x:v>STOP</x:v>
      </x:c>
      <x:c r="AE88" s="23" t="n">
        <x:f>IF(OR(M88="",AC88=""),"",AC88/M88-1)</x:f>
        <x:v>-0.0024985428404895593</x:v>
      </x:c>
      <x:c r="AF88" s="19" t="str">
        <x:f>IF(AE88="","SIN DATO",IF(AE88&gt;0,"GAIN",IF(AE88&lt;0,"LOSS","FLAT")))</x:f>
        <x:v>LOSS</x:v>
      </x:c>
      <x:c r="AG88" s="19" t="n">
        <x:f>IF(COUNTIFS($E$2:E88,E88,$I$2:I88,I88)=1,1,0)</x:f>
        <x:v>1</x:v>
      </x:c>
      <x:c r="AH88" s="19" t="n">
        <x:v>392</x:v>
      </x:c>
      <x:c r="AI88" s="19" t="str">
        <x:v>Alpaca SIP 1Min raw bars</x:v>
      </x:c>
      <x:c r="AJ88" s="24" t="str">
        <x:v>019fd4f3-b072-72e2-8415-bee002bb7504</x:v>
      </x:c>
      <x:c r="AK88" s="24" t="str">
        <x:v>entry_confirmed; swing:favorable:90.00; intraday:favorable:100.00; dilution_analysis_unavailable</x:v>
      </x:c>
    </x:row>
    <x:row r="89">
      <x:c r="A89" s="19" t="n">
        <x:v>10755436</x:v>
      </x:c>
      <x:c r="B89" s="20" t="n">
        <x:v>46239</x:v>
      </x:c>
      <x:c r="C89" s="19" t="str">
        <x:v>16:56:00</x:v>
      </x:c>
      <x:c r="D89" s="19" t="str">
        <x:v>15:56:00</x:v>
      </x:c>
      <x:c r="E89" s="19" t="str">
        <x:v>L2</x:v>
      </x:c>
      <x:c r="F89" s="19" t="str">
        <x:v>AZUL</x:v>
      </x:c>
      <x:c r="G89" s="19" t="n">
        <x:v>2</x:v>
      </x:c>
      <x:c r="H89" s="24" t="str">
        <x:v>Alert Engine V2 replay</x:v>
      </x:c>
      <x:c r="I89" s="24" t="str">
        <x:v>AMGN</x:v>
      </x:c>
      <x:c r="J89" s="24" t="str">
        <x:v>ENTRY_CONFIRMED</x:v>
      </x:c>
      <x:c r="K89" s="24" t="str">
        <x:v>SWING+INTRADAY</x:v>
      </x:c>
      <x:c r="L89" s="21" t="n">
        <x:v>100</x:v>
      </x:c>
      <x:c r="M89" s="22" t="n">
        <x:v>407.55</x:v>
      </x:c>
      <x:c r="N89" s="22" t="n">
        <x:v>406.5311</x:v>
      </x:c>
      <x:c r="O89" s="22" t="n">
        <x:v>409.0783</x:v>
      </x:c>
      <x:c r="P89" s="22"/>
      <x:c r="Q89" s="22"/>
      <x:c r="R89" s="22"/>
      <x:c r="S89" s="22" t="n">
        <x:v>407.83</x:v>
      </x:c>
      <x:c r="T89" s="22" t="n">
        <x:v>408.18</x:v>
      </x:c>
      <x:c r="U89" s="22" t="n">
        <x:v>395.4</x:v>
      </x:c>
      <x:c r="V89" s="19" t="str">
        <x:v>INVALIDATION</x:v>
      </x:c>
      <x:c r="W89" s="23" t="str">
        <x:f>IF(OR(M89="",P89=""),"",P89/M89-1)</x:f>
      </x:c>
      <x:c r="X89" s="23" t="str">
        <x:f>IF(OR(M89="",Q89=""),"",Q89/M89-1)</x:f>
      </x:c>
      <x:c r="Y89" s="23" t="str">
        <x:f>IF(OR(M89="",R89=""),"",R89/M89-1)</x:f>
      </x:c>
      <x:c r="Z89" s="23" t="n">
        <x:f>IF(OR(M89="",S89=""),"",S89/M89-1)</x:f>
        <x:v>0.000687032265979548</x:v>
      </x:c>
      <x:c r="AA89" s="23" t="n">
        <x:f>IF(OR(M89="",T89=""),"",T89/M89-1)</x:f>
        <x:v>0.0015458225984541496</x:v>
      </x:c>
      <x:c r="AB89" s="23" t="n">
        <x:f>IF(OR(M89="",U89=""),"",U89/M89-1)</x:f>
        <x:v>-0.029812292970187837</x:v>
      </x:c>
      <x:c r="AC89" s="22" t="n">
        <x:f>IF(V89="TARGET",O89,IF(OR(V89="INVALIDATION",V89="AMBIGUOUS"),N89,IF(R89&lt;&gt;"",R89,S89)))</x:f>
        <x:v>406.5311</x:v>
      </x:c>
      <x:c r="AD89" s="19" t="str">
        <x:f>IF(V89="TARGET","TARGET",IF(V89="INVALIDATION","STOP",IF(V89="AMBIGUOUS","AMBIGUO→STOP",IF(R89&lt;&gt;"","60M","CIERRE"))))</x:f>
        <x:v>STOP</x:v>
      </x:c>
      <x:c r="AE89" s="23" t="n">
        <x:f>IF(OR(M89="",AC89=""),"",AC89/M89-1)</x:f>
        <x:v>-0.0025000613421666262</x:v>
      </x:c>
      <x:c r="AF89" s="19" t="str">
        <x:f>IF(AE89="","SIN DATO",IF(AE89&gt;0,"GAIN",IF(AE89&lt;0,"LOSS","FLAT")))</x:f>
        <x:v>LOSS</x:v>
      </x:c>
      <x:c r="AG89" s="19" t="n">
        <x:f>IF(COUNTIFS($E$2:E89,E89,$I$2:I89,I89)=1,1,0)</x:f>
        <x:v>0</x:v>
      </x:c>
      <x:c r="AH89" s="19" t="n">
        <x:v>391</x:v>
      </x:c>
      <x:c r="AI89" s="19" t="str">
        <x:v>Alpaca SIP 1Min raw bars</x:v>
      </x:c>
      <x:c r="AJ89" s="24" t="str">
        <x:v>019fd4f3-b113-735f-ad2c-ae3c5993fa73</x:v>
      </x:c>
      <x:c r="AK89" s="24" t="str">
        <x:v>entry_confirmed; swing:favorable:100.00; intraday:favorable:100.00; dilution_analysis_unavailable</x:v>
      </x:c>
    </x:row>
    <x:row r="90">
      <x:c r="A90" s="19" t="n">
        <x:v>10756360</x:v>
      </x:c>
      <x:c r="B90" s="20" t="n">
        <x:v>46239</x:v>
      </x:c>
      <x:c r="C90" s="19" t="str">
        <x:v>16:57:00</x:v>
      </x:c>
      <x:c r="D90" s="19" t="str">
        <x:v>15:57:00</x:v>
      </x:c>
      <x:c r="E90" s="19" t="str">
        <x:v>L2</x:v>
      </x:c>
      <x:c r="F90" s="19" t="str">
        <x:v>AZUL</x:v>
      </x:c>
      <x:c r="G90" s="19" t="n">
        <x:v>2</x:v>
      </x:c>
      <x:c r="H90" s="24" t="str">
        <x:v>Alert Engine V2 replay</x:v>
      </x:c>
      <x:c r="I90" s="24" t="str">
        <x:v>INTU</x:v>
      </x:c>
      <x:c r="J90" s="24" t="str">
        <x:v>ENTRY_CONFIRMED</x:v>
      </x:c>
      <x:c r="K90" s="24" t="str">
        <x:v>SWING+INTRADAY</x:v>
      </x:c>
      <x:c r="L90" s="21" t="n">
        <x:v>100</x:v>
      </x:c>
      <x:c r="M90" s="22" t="n">
        <x:v>328.36</x:v>
      </x:c>
      <x:c r="N90" s="22" t="n">
        <x:v>327.5391</x:v>
      </x:c>
      <x:c r="O90" s="22" t="n">
        <x:v>329.5914</x:v>
      </x:c>
      <x:c r="P90" s="22"/>
      <x:c r="Q90" s="22"/>
      <x:c r="R90" s="22"/>
      <x:c r="S90" s="22" t="n">
        <x:v>327.94</x:v>
      </x:c>
      <x:c r="T90" s="22" t="n">
        <x:v>328.42</x:v>
      </x:c>
      <x:c r="U90" s="22" t="n">
        <x:v>327.71</x:v>
      </x:c>
      <x:c r="V90" s="19"/>
      <x:c r="W90" s="23" t="str">
        <x:f>IF(OR(M90="",P90=""),"",P90/M90-1)</x:f>
      </x:c>
      <x:c r="X90" s="23" t="str">
        <x:f>IF(OR(M90="",Q90=""),"",Q90/M90-1)</x:f>
      </x:c>
      <x:c r="Y90" s="23" t="str">
        <x:f>IF(OR(M90="",R90=""),"",R90/M90-1)</x:f>
      </x:c>
      <x:c r="Z90" s="23" t="n">
        <x:f>IF(OR(M90="",S90=""),"",S90/M90-1)</x:f>
        <x:v>-0.001279083932269498</x:v>
      </x:c>
      <x:c r="AA90" s="23" t="n">
        <x:f>IF(OR(M90="",T90=""),"",T90/M90-1)</x:f>
        <x:v>0.0001827262760385473</x:v>
      </x:c>
      <x:c r="AB90" s="23" t="n">
        <x:f>IF(OR(M90="",U90=""),"",U90/M90-1)</x:f>
        <x:v>-0.0019795346570837813</x:v>
      </x:c>
      <x:c r="AC90" s="22" t="n">
        <x:f>IF(V90="TARGET",O90,IF(OR(V90="INVALIDATION",V90="AMBIGUOUS"),N90,IF(R90&lt;&gt;"",R90,S90)))</x:f>
        <x:v>327.94</x:v>
      </x:c>
      <x:c r="AD90" s="19" t="str">
        <x:f>IF(V90="TARGET","TARGET",IF(V90="INVALIDATION","STOP",IF(V90="AMBIGUOUS","AMBIGUO→STOP",IF(R90&lt;&gt;"","60M","CIERRE"))))</x:f>
        <x:v>CIERRE</x:v>
      </x:c>
      <x:c r="AE90" s="23" t="n">
        <x:f>IF(OR(M90="",AC90=""),"",AC90/M90-1)</x:f>
        <x:v>-0.001279083932269498</x:v>
      </x:c>
      <x:c r="AF90" s="19" t="str">
        <x:f>IF(AE90="","SIN DATO",IF(AE90&gt;0,"GAIN",IF(AE90&lt;0,"LOSS","FLAT")))</x:f>
        <x:v>LOSS</x:v>
      </x:c>
      <x:c r="AG90" s="19" t="n">
        <x:f>IF(COUNTIFS($E$2:E90,E90,$I$2:I90,I90)=1,1,0)</x:f>
        <x:v>0</x:v>
      </x:c>
      <x:c r="AH90" s="19" t="n">
        <x:v>391</x:v>
      </x:c>
      <x:c r="AI90" s="19" t="str">
        <x:v>Alpaca SIP 1Min raw bars</x:v>
      </x:c>
      <x:c r="AJ90" s="24" t="str">
        <x:v>019fd4f3-b12f-7094-bfff-e171f8fe8f67</x:v>
      </x:c>
      <x:c r="AK90" s="24" t="str">
        <x:v>entry_confirmed; swing:favorable:100.00; intraday:favorable:100.00; dilution_analysis_unavailable</x:v>
      </x:c>
    </x:row>
    <x:row r="91">
      <x:c r="A91" s="19" t="n">
        <x:v>10758719</x:v>
      </x:c>
      <x:c r="B91" s="20" t="n">
        <x:v>46239</x:v>
      </x:c>
      <x:c r="C91" s="19" t="str">
        <x:v>16:59:00</x:v>
      </x:c>
      <x:c r="D91" s="19" t="str">
        <x:v>15:59:00</x:v>
      </x:c>
      <x:c r="E91" s="19" t="str">
        <x:v>L2</x:v>
      </x:c>
      <x:c r="F91" s="19" t="str">
        <x:v>AZUL</x:v>
      </x:c>
      <x:c r="G91" s="19" t="n">
        <x:v>2</x:v>
      </x:c>
      <x:c r="H91" s="24" t="str">
        <x:v>Alert Engine V2 replay</x:v>
      </x:c>
      <x:c r="I91" s="24" t="str">
        <x:v>SE</x:v>
      </x:c>
      <x:c r="J91" s="24" t="str">
        <x:v>ENTRY_CONFIRMED</x:v>
      </x:c>
      <x:c r="K91" s="24" t="str">
        <x:v>SWING+INTRADAY</x:v>
      </x:c>
      <x:c r="L91" s="21" t="n">
        <x:v>82.13</x:v>
      </x:c>
      <x:c r="M91" s="22" t="n">
        <x:v>114.93</x:v>
      </x:c>
      <x:c r="N91" s="22" t="n">
        <x:v>114.6427</x:v>
      </x:c>
      <x:c r="O91" s="22" t="n">
        <x:v>115.361</x:v>
      </x:c>
      <x:c r="P91" s="22"/>
      <x:c r="Q91" s="22"/>
      <x:c r="R91" s="22"/>
      <x:c r="S91" s="22" t="n">
        <x:v>114.91</x:v>
      </x:c>
      <x:c r="T91" s="22" t="n">
        <x:v>114.91</x:v>
      </x:c>
      <x:c r="U91" s="22" t="n">
        <x:v>114.91</x:v>
      </x:c>
      <x:c r="V91" s="19"/>
      <x:c r="W91" s="23" t="str">
        <x:f>IF(OR(M91="",P91=""),"",P91/M91-1)</x:f>
      </x:c>
      <x:c r="X91" s="23" t="str">
        <x:f>IF(OR(M91="",Q91=""),"",Q91/M91-1)</x:f>
      </x:c>
      <x:c r="Y91" s="23" t="str">
        <x:f>IF(OR(M91="",R91=""),"",R91/M91-1)</x:f>
      </x:c>
      <x:c r="Z91" s="23" t="n">
        <x:f>IF(OR(M91="",S91=""),"",S91/M91-1)</x:f>
        <x:v>-0.00017401896806756856</x:v>
      </x:c>
      <x:c r="AA91" s="23" t="n">
        <x:f>IF(OR(M91="",T91=""),"",T91/M91-1)</x:f>
        <x:v>-0.00017401896806756856</x:v>
      </x:c>
      <x:c r="AB91" s="23" t="n">
        <x:f>IF(OR(M91="",U91=""),"",U91/M91-1)</x:f>
        <x:v>-0.00017401896806756856</x:v>
      </x:c>
      <x:c r="AC91" s="22" t="n">
        <x:f>IF(V91="TARGET",O91,IF(OR(V91="INVALIDATION",V91="AMBIGUOUS"),N91,IF(R91&lt;&gt;"",R91,S91)))</x:f>
        <x:v>114.91</x:v>
      </x:c>
      <x:c r="AD91" s="19" t="str">
        <x:f>IF(V91="TARGET","TARGET",IF(V91="INVALIDATION","STOP",IF(V91="AMBIGUOUS","AMBIGUO→STOP",IF(R91&lt;&gt;"","60M","CIERRE"))))</x:f>
        <x:v>CIERRE</x:v>
      </x:c>
      <x:c r="AE91" s="23" t="n">
        <x:f>IF(OR(M91="",AC91=""),"",AC91/M91-1)</x:f>
        <x:v>-0.00017401896806756856</x:v>
      </x:c>
      <x:c r="AF91" s="19" t="str">
        <x:f>IF(AE91="","SIN DATO",IF(AE91&gt;0,"GAIN",IF(AE91&lt;0,"LOSS","FLAT")))</x:f>
        <x:v>LOSS</x:v>
      </x:c>
      <x:c r="AG91" s="19" t="n">
        <x:f>IF(COUNTIFS($E$2:E91,E91,$I$2:I91,I91)=1,1,0)</x:f>
        <x:v>0</x:v>
      </x:c>
      <x:c r="AH91" s="19" t="n">
        <x:v>389</x:v>
      </x:c>
      <x:c r="AI91" s="19" t="str">
        <x:v>Alpaca SIP 1Min raw bars</x:v>
      </x:c>
      <x:c r="AJ91" s="24" t="str">
        <x:v>019fd4f3-b18d-76b6-84dc-88222b272b67</x:v>
      </x:c>
      <x:c r="AK91" s="24" t="str">
        <x:v>entry_confirmed; swing:watch:82.00; intraday:favorable:100.00; dilution_analysis_unavailable</x:v>
      </x:c>
    </x:row>
    <x:row r="92">
      <x:c r="A92" s="19" t="n">
        <x:v>10758730</x:v>
      </x:c>
      <x:c r="B92" s="20" t="n">
        <x:v>46239</x:v>
      </x:c>
      <x:c r="C92" s="19" t="str">
        <x:v>16:59:00</x:v>
      </x:c>
      <x:c r="D92" s="19" t="str">
        <x:v>15:59:00</x:v>
      </x:c>
      <x:c r="E92" s="19" t="str">
        <x:v>L2</x:v>
      </x:c>
      <x:c r="F92" s="19" t="str">
        <x:v>AZUL</x:v>
      </x:c>
      <x:c r="G92" s="19" t="n">
        <x:v>2</x:v>
      </x:c>
      <x:c r="H92" s="24" t="str">
        <x:v>Alert Engine V2 replay</x:v>
      </x:c>
      <x:c r="I92" s="24" t="str">
        <x:v>GRAB</x:v>
      </x:c>
      <x:c r="J92" s="24" t="str">
        <x:v>ENTRY_CONFIRMED</x:v>
      </x:c>
      <x:c r="K92" s="24" t="str">
        <x:v>SWING+INTRADAY</x:v>
      </x:c>
      <x:c r="L92" s="21" t="n">
        <x:v>78.64</x:v>
      </x:c>
      <x:c r="M92" s="22" t="n">
        <x:v>3.755</x:v>
      </x:c>
      <x:c r="N92" s="22" t="n">
        <x:v>3.7456</x:v>
      </x:c>
      <x:c r="O92" s="22" t="n">
        <x:v>3.7691</x:v>
      </x:c>
      <x:c r="P92" s="22"/>
      <x:c r="Q92" s="22"/>
      <x:c r="R92" s="22"/>
      <x:c r="S92" s="22" t="n">
        <x:v>3.7394</x:v>
      </x:c>
      <x:c r="T92" s="22" t="n">
        <x:v>3.75</x:v>
      </x:c>
      <x:c r="U92" s="22" t="n">
        <x:v>3.72</x:v>
      </x:c>
      <x:c r="V92" s="19" t="str">
        <x:v>INVALIDATION</x:v>
      </x:c>
      <x:c r="W92" s="23" t="str">
        <x:f>IF(OR(M92="",P92=""),"",P92/M92-1)</x:f>
      </x:c>
      <x:c r="X92" s="23" t="str">
        <x:f>IF(OR(M92="",Q92=""),"",Q92/M92-1)</x:f>
      </x:c>
      <x:c r="Y92" s="23" t="str">
        <x:f>IF(OR(M92="",R92=""),"",R92/M92-1)</x:f>
      </x:c>
      <x:c r="Z92" s="23" t="n">
        <x:f>IF(OR(M92="",S92=""),"",S92/M92-1)</x:f>
        <x:v>-0.004154460719041242</x:v>
      </x:c>
      <x:c r="AA92" s="23" t="n">
        <x:f>IF(OR(M92="",T92=""),"",T92/M92-1)</x:f>
        <x:v>-0.0013315579227696217</x:v>
      </x:c>
      <x:c r="AB92" s="23" t="n">
        <x:f>IF(OR(M92="",U92=""),"",U92/M92-1)</x:f>
        <x:v>-0.009320905459387352</x:v>
      </x:c>
      <x:c r="AC92" s="22" t="n">
        <x:f>IF(V92="TARGET",O92,IF(OR(V92="INVALIDATION",V92="AMBIGUOUS"),N92,IF(R92&lt;&gt;"",R92,S92)))</x:f>
        <x:v>3.7456</x:v>
      </x:c>
      <x:c r="AD92" s="19" t="str">
        <x:f>IF(V92="TARGET","TARGET",IF(V92="INVALIDATION","STOP",IF(V92="AMBIGUOUS","AMBIGUO→STOP",IF(R92&lt;&gt;"","60M","CIERRE"))))</x:f>
        <x:v>STOP</x:v>
      </x:c>
      <x:c r="AE92" s="23" t="n">
        <x:f>IF(OR(M92="",AC92=""),"",AC92/M92-1)</x:f>
        <x:v>-0.0025033288948068666</x:v>
      </x:c>
      <x:c r="AF92" s="19" t="str">
        <x:f>IF(AE92="","SIN DATO",IF(AE92&gt;0,"GAIN",IF(AE92&lt;0,"LOSS","FLAT")))</x:f>
        <x:v>LOSS</x:v>
      </x:c>
      <x:c r="AG92" s="19" t="n">
        <x:f>IF(COUNTIFS($E$2:E92,E92,$I$2:I92,I92)=1,1,0)</x:f>
        <x:v>1</x:v>
      </x:c>
      <x:c r="AH92" s="19" t="n">
        <x:v>392</x:v>
      </x:c>
      <x:c r="AI92" s="19" t="str">
        <x:v>Alpaca SIP 1Min raw bars</x:v>
      </x:c>
      <x:c r="AJ92" s="24" t="str">
        <x:v>019fd4f3-b18e-77ec-8c09-6f24ec80a9c6</x:v>
      </x:c>
      <x:c r="AK92" s="24" t="str">
        <x:v>entry_confirmed; swing:watch:78.00; intraday:favorable:100.00; dilution_analysis_unavailable</x:v>
      </x:c>
    </x:row>
  </x:sheetData>
  <x:conditionalFormatting sqref="E2:E92">
    <x:cfRule type="containsText" dxfId="0" priority="1" operator="containsText" text="L1"/>
    <x:cfRule type="containsText" dxfId="1" priority="2" operator="containsText" text="L2"/>
    <x:cfRule type="containsText" dxfId="2" priority="3" operator="containsText" text="L3"/>
    <x:cfRule type="containsText" dxfId="3" priority="4" operator="containsText" text="L4"/>
  </x:conditionalFormatting>
  <x:conditionalFormatting sqref="AE2:AE92">
    <x:cfRule type="cellIs" dxfId="4" priority="5" operator="greaterThan">
      <x:formula>0</x:formula>
    </x:cfRule>
    <x:cfRule type="cellIs" dxfId="5" priority="6" operator="lessThan">
      <x:formula>0</x:formula>
    </x:cfRule>
  </x:conditionalFormatting>
  <x:conditionalFormatting sqref="AF2:AF92">
    <x:cfRule type="containsText" dxfId="6" priority="7" operator="containsText" text="GAIN"/>
    <x:cfRule type="containsText" dxfId="7" priority="8" operator="containsText" text="LOSS"/>
  </x:conditionalFormatting>
  <x:pageMargins left="0.7" right="0.7" top="0.75" bottom="0.75" header="0.3" footer="0.3"/>
  <x:tableParts count="1">
    <x:tablePart xmlns:r="http://schemas.openxmlformats.org/officeDocument/2006/relationships" r:id="R902c74a0bbf14d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55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4" customHeight="1">
      <x:c r="A1" s="28" t="str">
        <x:v>Metodología y límites del backtest</x:v>
      </x:c>
      <x:c r="B1" s="28" t="str">
        <x:v>Metodología y límites del backtest</x:v>
      </x:c>
      <x:c r="C1" s="28" t="str">
        <x:v>Metodología y límites del backtest</x:v>
      </x:c>
      <x:c r="D1" s="28" t="str">
        <x:v>Metodología y límites del backtest</x:v>
      </x:c>
      <x:c r="E1" s="28" t="str">
        <x:v>Metodología y límites del backtest</x:v>
      </x:c>
      <x:c r="F1" s="28" t="str">
        <x:v>Metodología y límites del backtest</x:v>
      </x:c>
    </x:row>
    <x:row r="2" ht="34" customHeight="1">
      <x:c r="A2" s="28" t="str">
        <x:v>Metodología y límites del backtest</x:v>
      </x:c>
      <x:c r="B2" s="28" t="str">
        <x:v>Metodología y límites del backtest</x:v>
      </x:c>
      <x:c r="C2" s="28" t="str">
        <x:v>Metodología y límites del backtest</x:v>
      </x:c>
      <x:c r="D2" s="28" t="str">
        <x:v>Metodología y límites del backtest</x:v>
      </x:c>
      <x:c r="E2" s="28" t="str">
        <x:v>Metodología y límites del backtest</x:v>
      </x:c>
      <x:c r="F2" s="28" t="str">
        <x:v>Metodología y límites del backtest</x:v>
      </x:c>
    </x:row>
    <x:row r="4" ht="22" customHeight="1">
      <x:c r="A4" s="38" t="str">
        <x:v>Reglas reproducidas</x:v>
      </x:c>
      <x:c r="B4" s="38" t="str">
        <x:v>Reglas reproducidas</x:v>
      </x:c>
      <x:c r="C4" s="38" t="str">
        <x:v>Reglas reproducidas</x:v>
      </x:c>
      <x:c r="D4" s="38" t="str">
        <x:v>Reglas reproducidas</x:v>
      </x:c>
      <x:c r="E4" s="38" t="str">
        <x:v>Reglas reproducidas</x:v>
      </x:c>
      <x:c r="F4" s="38" t="str">
        <x:v>Reglas reproducidas</x:v>
      </x:c>
    </x:row>
    <x:row r="5">
      <x:c r="A5" s="103" t="str">
        <x:v>Sesión</x:v>
      </x:c>
      <x:c r="B5" s="104" t="str">
        <x:v>2026-08-05 09:30–16:00 America/New_York</x:v>
      </x:c>
      <x:c r="C5" s="105" t="str">
        <x:v>Sólo mercado regular</x:v>
      </x:c>
    </x:row>
    <x:row r="6">
      <x:c r="A6" s="106" t="str">
        <x:v>Semilla del replay</x:v>
      </x:c>
      <x:c r="B6" s="63" t="str">
        <x:v>2026-08-05 00:00 UTC</x:v>
      </x:c>
      <x:c r="C6" s="107" t="str">
        <x:v>Permite cargar Long/Swing antes de la apertura</x:v>
      </x:c>
    </x:row>
    <x:row r="7">
      <x:c r="A7" s="106" t="str">
        <x:v>L1</x:v>
      </x:c>
      <x:c r="B7" s="63" t="str">
        <x:v>Long + Intraday</x:v>
      </x:c>
      <x:c r="C7" s="107" t="str">
        <x:v>Recuperación táctica; amarillo, 1 tono</x:v>
      </x:c>
    </x:row>
    <x:row r="8">
      <x:c r="A8" s="106" t="str">
        <x:v>L2</x:v>
      </x:c>
      <x:c r="B8" s="63" t="str">
        <x:v>Swing + Intraday</x:v>
      </x:c>
      <x:c r="C8" s="107" t="str">
        <x:v>Confirmación Swing; azul, 2 tonos</x:v>
      </x:c>
    </x:row>
    <x:row r="9">
      <x:c r="A9" s="106" t="str">
        <x:v>L3</x:v>
      </x:c>
      <x:c r="B9" s="63" t="str">
        <x:v>Long + Swing + Intraday</x:v>
      </x:c>
      <x:c r="C9" s="107" t="str">
        <x:v>Alta convicción; verde, 3 tonos</x:v>
      </x:c>
    </x:row>
    <x:row r="10">
      <x:c r="A10" s="106" t="str">
        <x:v>L4</x:v>
      </x:c>
      <x:c r="B10" s="63" t="str">
        <x:v>Entry Watcher / Long Portfolio / Patreon / Fusion</x:v>
      </x:c>
      <x:c r="C10" s="107" t="str">
        <x:v>Maduración completa; magenta, 3 tonos</x:v>
      </x:c>
    </x:row>
    <x:row r="11">
      <x:c r="A11" s="106" t="str">
        <x:v>Cooldown</x:v>
      </x:c>
      <x:c r="B11" s="63" t="str">
        <x:v>15 minutos por ticker + tipo + composición de horizontes</x:v>
      </x:c>
      <x:c r="C11" s="107" t="str">
        <x:v>Usa el código actual de AlertEngineV2</x:v>
      </x:c>
    </x:row>
    <x:row r="12">
      <x:c r="A12" s="106" t="str">
        <x:v>Entrada</x:v>
      </x:c>
      <x:c r="B12" s="63" t="str">
        <x:v>Precio intradía de referencia; L4 usa su precio explícito</x:v>
      </x:c>
      <x:c r="C12" s="107" t="str">
        <x:v>Sin look-ahead</x:v>
      </x:c>
    </x:row>
    <x:row r="13">
      <x:c r="A13" s="106" t="str">
        <x:v>Stop/objetivo</x:v>
      </x:c>
      <x:c r="B13" s="63" t="str">
        <x:v>Prioridad al componente intradía para L1–L3</x:v>
      </x:c>
      <x:c r="C13" s="107" t="str">
        <x:v>Coherente con la entrada táctica</x:v>
      </x:c>
    </x:row>
    <x:row r="14">
      <x:c r="A14" s="106" t="str">
        <x:v>Barras</x:v>
      </x:c>
      <x:c r="B14" s="63" t="str">
        <x:v>Alpaca SIP 1Min raw bars</x:v>
      </x:c>
      <x:c r="C14" s="107" t="str">
        <x:v>OHLC raw, 1 minuto</x:v>
      </x:c>
    </x:row>
    <x:row r="15">
      <x:c r="A15" s="106" t="str">
        <x:v>Salida</x:v>
      </x:c>
      <x:c r="B15" s="63" t="str">
        <x:v>Primer target/stop hasta 60m; luego 60m o cierre</x:v>
      </x:c>
      <x:c r="C15" s="107" t="str">
        <x:v>Ambigua = stop conservador</x:v>
      </x:c>
    </x:row>
    <x:row r="16">
      <x:c r="A16" s="106" t="str">
        <x:v>Costos</x:v>
      </x:c>
      <x:c r="B16" s="63" t="str">
        <x:v>0</x:v>
      </x:c>
      <x:c r="C16" s="107" t="str">
        <x:v>No incluye slippage, spread ni comisiones</x:v>
      </x:c>
    </x:row>
    <x:row r="17">
      <x:c r="A17" s="106" t="str">
        <x:v>Fusion</x:v>
      </x:c>
      <x:c r="B17" s="63" t="str">
        <x:v>Eventos RECOVERY_CONFIRMED/BUY_CONFIRMED</x:v>
      </x:c>
      <x:c r="C17" s="107" t="str">
        <x:v>SHADOW; no implica orden real</x:v>
      </x:c>
    </x:row>
    <x:row r="18">
      <x:c r="A18" s="108" t="str">
        <x:v>Repeticiones</x:v>
      </x:c>
      <x:c r="B18" s="64" t="str">
        <x:v>Se conserva cada alarma que habría sonado</x:v>
      </x:c>
      <x:c r="C18" s="109" t="str">
        <x:v>Tabla de robustez usa sólo la primera por ticker/nivel</x:v>
      </x:c>
    </x:row>
    <x:row r="21" ht="22" customHeight="1">
      <x:c r="A21" s="38" t="str">
        <x:v>Interpretación correcta</x:v>
      </x:c>
      <x:c r="B21" s="38" t="str">
        <x:v>Interpretación correcta</x:v>
      </x:c>
      <x:c r="C21" s="38" t="str">
        <x:v>Interpretación correcta</x:v>
      </x:c>
      <x:c r="D21" s="38" t="str">
        <x:v>Interpretación correcta</x:v>
      </x:c>
      <x:c r="E21" s="38" t="str">
        <x:v>Interpretación correcta</x:v>
      </x:c>
      <x:c r="F21" s="38" t="str">
        <x:v>Interpretación correcta</x:v>
      </x:c>
    </x:row>
    <x:row r="22">
      <x:c r="A22" s="92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B22" s="93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C22" s="93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D22" s="93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E22" s="93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F22" s="94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</x:row>
    <x:row r="23">
      <x:c r="A23" s="95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B23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C23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D23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E23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F23" s="97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</x:row>
    <x:row r="24">
      <x:c r="A24" s="95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B24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C24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D24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E24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F24" s="97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</x:row>
    <x:row r="25">
      <x:c r="A25" s="95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B25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C25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D25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E25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F25" s="97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</x:row>
    <x:row r="26">
      <x:c r="A26" s="95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B26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C26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D26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E26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F26" s="97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</x:row>
    <x:row r="27">
      <x:c r="A27" s="95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B27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C27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D27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E27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F27" s="97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</x:row>
    <x:row r="28">
      <x:c r="A28" s="95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B28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C28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D28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E28" s="96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F28" s="97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</x:row>
    <x:row r="29">
      <x:c r="A29" s="98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B29" s="99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C29" s="99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D29" s="99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E29" s="99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  <x:c r="F29" s="100" t="str">
        <x:v>Este análisis mide la calidad de las alarmas de una sola jornada, no valida estadísticamente la estrategia. El retorno de estrategia es por alarma y supone una unidad de capital independiente; por eso no debe interpretarse la suma como retorno de una cartera. L4 está concentrado en pocos tickers y casi todo proviene de Fusion RECOVERY_CONFIRMED. Los resultados deben repetirse sobre más sesiones antes de cambiar umbrales o promover Fusion desde SHADOW.</x:v>
      </x:c>
    </x:row>
  </x:sheetData>
  <x:mergeCells>
    <x:mergeCell ref="A1:F2"/>
    <x:mergeCell ref="A4:F4"/>
    <x:mergeCell ref="A21:F21"/>
    <x:mergeCell ref="A22:F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2" hidden="0" customWidth="1"/>
  </x:cols>
  <x:sheetData>
    <x:row r="1" ht="34" customHeight="1">
      <x:c r="A1" s="28" t="str">
        <x:v>Fuentes, cobertura y controles</x:v>
      </x:c>
      <x:c r="B1" s="28" t="str">
        <x:v>Fuentes, cobertura y controles</x:v>
      </x:c>
      <x:c r="C1" s="28" t="str">
        <x:v>Fuentes, cobertura y controles</x:v>
      </x:c>
      <x:c r="D1" s="28" t="str">
        <x:v>Fuentes, cobertura y controles</x:v>
      </x:c>
      <x:c r="E1" s="28" t="str">
        <x:v>Fuentes, cobertura y controles</x:v>
      </x:c>
      <x:c r="F1" s="28" t="str">
        <x:v>Fuentes, cobertura y controles</x:v>
      </x:c>
      <x:c r="G1" s="28" t="str">
        <x:v>Fuentes, cobertura y controles</x:v>
      </x:c>
    </x:row>
    <x:row r="2" ht="34" customHeight="1">
      <x:c r="A2" s="28" t="str">
        <x:v>Fuentes, cobertura y controles</x:v>
      </x:c>
      <x:c r="B2" s="28" t="str">
        <x:v>Fuentes, cobertura y controles</x:v>
      </x:c>
      <x:c r="C2" s="28" t="str">
        <x:v>Fuentes, cobertura y controles</x:v>
      </x:c>
      <x:c r="D2" s="28" t="str">
        <x:v>Fuentes, cobertura y controles</x:v>
      </x:c>
      <x:c r="E2" s="28" t="str">
        <x:v>Fuentes, cobertura y controles</x:v>
      </x:c>
      <x:c r="F2" s="28" t="str">
        <x:v>Fuentes, cobertura y controles</x:v>
      </x:c>
      <x:c r="G2" s="28" t="str">
        <x:v>Fuentes, cobertura y controles</x:v>
      </x:c>
    </x:row>
    <x:row r="4" ht="22" customHeight="1">
      <x:c r="A4" s="38" t="str">
        <x:v>Checks</x:v>
      </x:c>
      <x:c r="B4" s="38" t="str">
        <x:v>Checks</x:v>
      </x:c>
      <x:c r="C4" s="38" t="str">
        <x:v>Checks</x:v>
      </x:c>
      <x:c r="D4" s="38" t="str">
        <x:v>Checks</x:v>
      </x:c>
      <x:c r="E4" s="38" t="str">
        <x:v>Checks</x:v>
      </x:c>
      <x:c r="F4" s="38" t="str">
        <x:v>Checks</x:v>
      </x:c>
      <x:c r="G4" s="38" t="str">
        <x:v>Checks</x:v>
      </x:c>
    </x:row>
    <x:row r="5" ht="32" customHeight="1">
      <x:c r="A5" s="12" t="str">
        <x:v>Control</x:v>
      </x:c>
      <x:c r="B5" s="13" t="str">
        <x:v>Actual</x:v>
      </x:c>
      <x:c r="C5" s="13" t="str">
        <x:v>Esperado</x:v>
      </x:c>
      <x:c r="D5" s="13" t="str">
        <x:v>Diferencia</x:v>
      </x:c>
      <x:c r="E5" s="13" t="str">
        <x:v>Tolerancia</x:v>
      </x:c>
      <x:c r="F5" s="13" t="str">
        <x:v>Estado</x:v>
      </x:c>
      <x:c r="G5" s="14" t="str">
        <x:v>Nota</x:v>
      </x:c>
    </x:row>
    <x:row r="6">
      <x:c r="A6" t="str">
        <x:v>Total de alarmas</x:v>
      </x:c>
      <x:c r="B6" t="n">
        <x:f>COUNTA(Alarmas!$A$2:$A$92)</x:f>
        <x:v>91</x:v>
      </x:c>
      <x:c r="C6" t="n">
        <x:f>91</x:f>
        <x:v>91</x:v>
      </x:c>
      <x:c r="D6" t="n">
        <x:f>B6-C6</x:f>
        <x:v>0</x:v>
      </x:c>
      <x:c r="E6" t="n">
        <x:f>0</x:f>
        <x:v>0</x:v>
      </x:c>
      <x:c r="F6" t="str">
        <x:f>IF(ABS(D6)&lt;=E6,"OK","REVISAR")</x:f>
        <x:v>OK</x:v>
      </x:c>
      <x:c r="G6" t="str">
        <x:f>"Filas de detalle"</x:f>
        <x:v>Filas de detalle</x:v>
      </x:c>
    </x:row>
    <x:row r="7">
      <x:c r="A7" t="str">
        <x:v>Suma de niveles</x:v>
      </x:c>
      <x:c r="B7" t="n">
        <x:f>SUM(Resumen!$C$10:$C$13)</x:f>
        <x:v>91</x:v>
      </x:c>
      <x:c r="C7" t="n">
        <x:f>COUNTA(Alarmas!$A$2:$A$92)</x:f>
        <x:v>91</x:v>
      </x:c>
      <x:c r="D7" t="n">
        <x:f>B7-C7</x:f>
        <x:v>0</x:v>
      </x:c>
      <x:c r="E7" t="n">
        <x:f>0</x:f>
        <x:v>0</x:v>
      </x:c>
      <x:c r="F7" t="str">
        <x:f>IF(ABS(D7)&lt;=E7,"OK","REVISAR")</x:f>
        <x:v>OK</x:v>
      </x:c>
      <x:c r="G7" t="str">
        <x:f>"Debe reconciliar con detalle"</x:f>
        <x:v>Debe reconciliar con detalle</x:v>
      </x:c>
    </x:row>
    <x:row r="8">
      <x:c r="A8" t="str">
        <x:v>Entradas faltantes</x:v>
      </x:c>
      <x:c r="B8" t="n">
        <x:f>COUNTBLANK(Alarmas!$M$2:$M$92)</x:f>
        <x:v>0</x:v>
      </x:c>
      <x:c r="C8" t="n">
        <x:f>0</x:f>
        <x:v>0</x:v>
      </x:c>
      <x:c r="D8" t="n">
        <x:f>B8-C8</x:f>
        <x:v>0</x:v>
      </x:c>
      <x:c r="E8" t="n">
        <x:f>0</x:f>
        <x:v>0</x:v>
      </x:c>
      <x:c r="F8" t="str">
        <x:f>IF(ABS(D8)&lt;=E8,"OK","REVISAR")</x:f>
        <x:v>OK</x:v>
      </x:c>
      <x:c r="G8" t="str">
        <x:f>"Entrada requerida para P&amp;L"</x:f>
        <x:v>Entrada requerida para P&amp;L</x:v>
      </x:c>
    </x:row>
    <x:row r="9">
      <x:c r="A9" t="str">
        <x:v>Cierres faltantes</x:v>
      </x:c>
      <x:c r="B9" t="n">
        <x:f>COUNTBLANK(Alarmas!$S$2:$S$92)</x:f>
        <x:v>0</x:v>
      </x:c>
      <x:c r="C9" t="n">
        <x:f>0</x:f>
        <x:v>0</x:v>
      </x:c>
      <x:c r="D9" t="n">
        <x:f>B9-C9</x:f>
        <x:v>0</x:v>
      </x:c>
      <x:c r="E9" t="n">
        <x:f>0</x:f>
        <x:v>0</x:v>
      </x:c>
      <x:c r="F9" t="str">
        <x:f>IF(ABS(D9)&lt;=E9,"OK","REVISAR")</x:f>
        <x:v>OK</x:v>
      </x:c>
      <x:c r="G9" t="str">
        <x:f>"Última vela regular 15:59 NY"</x:f>
        <x:v>Última vela regular 15:59 NY</x:v>
      </x:c>
    </x:row>
    <x:row r="10">
      <x:c r="A10" t="str">
        <x:v>Barras faltantes</x:v>
      </x:c>
      <x:c r="B10" t="n">
        <x:f>COUNTIF(Alarmas!$AH$2:$AH$92,0)</x:f>
        <x:v>0</x:v>
      </x:c>
      <x:c r="C10" t="n">
        <x:f>0</x:f>
        <x:v>0</x:v>
      </x:c>
      <x:c r="D10" t="n">
        <x:f>B10-C10</x:f>
        <x:v>0</x:v>
      </x:c>
      <x:c r="E10" t="n">
        <x:f>0</x:f>
        <x:v>0</x:v>
      </x:c>
      <x:c r="F10" t="str">
        <x:f>IF(ABS(D10)&lt;=E10,"OK","REVISAR")</x:f>
        <x:v>OK</x:v>
      </x:c>
      <x:c r="G10" t="str">
        <x:f>"Cobertura de barras por ticker"</x:f>
        <x:v>Cobertura de barras por ticker</x:v>
      </x:c>
    </x:row>
    <x:row r="13" ht="22" customHeight="1">
      <x:c r="A13" s="38" t="str">
        <x:v>Inventario de eventos fuente</x:v>
      </x:c>
      <x:c r="B13" s="38" t="str">
        <x:v>Inventario de eventos fuente</x:v>
      </x:c>
      <x:c r="C13" s="38" t="str">
        <x:v>Inventario de eventos fuente</x:v>
      </x:c>
      <x:c r="D13" s="38" t="str">
        <x:v>Inventario de eventos fuente</x:v>
      </x:c>
      <x:c r="E13" s="38" t="str">
        <x:v>Inventario de eventos fuente</x:v>
      </x:c>
      <x:c r="F13" s="38" t="str">
        <x:v>Inventario de eventos fuente</x:v>
      </x:c>
      <x:c r="G13" s="38" t="str">
        <x:v>Inventario de eventos fuente</x:v>
      </x:c>
    </x:row>
    <x:row r="14" ht="32" customHeight="1">
      <x:c r="A14" s="12" t="str">
        <x:v>Fuente</x:v>
      </x:c>
      <x:c r="B14" s="13" t="str">
        <x:v>Subject / sistema</x:v>
      </x:c>
      <x:c r="C14" s="13" t="str">
        <x:v>Eventos leídos</x:v>
      </x:c>
      <x:c r="D14" s="13" t="str">
        <x:v>Usados como alarma</x:v>
      </x:c>
      <x:c r="E14" s="13" t="str">
        <x:v>Ventana</x:v>
      </x:c>
      <x:c r="F14" s="13" t="str">
        <x:v>Versión/regla</x:v>
      </x:c>
      <x:c r="G14" s="14" t="str">
        <x:v>Observación</x:v>
      </x:c>
    </x:row>
    <x:row r="15">
      <x:c r="A15" s="63" t="str">
        <x:v>AnalysisResult</x:v>
      </x:c>
      <x:c r="B15" s="63" t="str">
        <x:v>marketbot.v1.analysis.result.&gt;</x:v>
      </x:c>
      <x:c r="C15" s="63" t="n">
        <x:v>316683</x:v>
      </x:c>
      <x:c r="D15" s="63" t="n">
        <x:f>COUNTIF(Alarmas!$H$2:$H$92,"Alert Engine V2 replay")</x:f>
        <x:v>74</x:v>
      </x:c>
      <x:c r="E15" s="63" t="str">
        <x:v>00:00–20:01 UTC</x:v>
      </x:c>
      <x:c r="F15" s="63" t="str">
        <x:v>AlertEngineV2 actual</x:v>
      </x:c>
      <x:c r="G15" s="63" t="str">
        <x:v>Reconstruye L1–L3</x:v>
      </x:c>
    </x:row>
    <x:row r="16">
      <x:c r="A16" s="63" t="str">
        <x:v>Entry Watcher</x:v>
      </x:c>
      <x:c r="B16" s="63" t="str">
        <x:v>marketbot.v1.entry-watch.transition.&gt;</x:v>
      </x:c>
      <x:c r="C16" s="63" t="n">
        <x:v>310</x:v>
      </x:c>
      <x:c r="D16" s="63" t="n">
        <x:f>COUNTIF(Alarmas!$H$2:$H$92,"Entry Watcher")</x:f>
        <x:v>1</x:v>
      </x:c>
      <x:c r="E16" s="63" t="str">
        <x:v>00:00–20:01 UTC</x:v>
      </x:c>
      <x:c r="F16" s="63" t="str">
        <x:v>TRIGGERED + 3 horizontes</x:v>
      </x:c>
      <x:c r="G16" s="63" t="str">
        <x:v>Reconstruye L4</x:v>
      </x:c>
    </x:row>
    <x:row r="17">
      <x:c r="A17" s="63" t="str">
        <x:v>LocalAlert</x:v>
      </x:c>
      <x:c r="B17" s="63" t="str">
        <x:v>marketbot.v1.alert.local.&gt;</x:v>
      </x:c>
      <x:c r="C17" s="63" t="n">
        <x:v>1623</x:v>
      </x:c>
      <x:c r="D17" s="63" t="n">
        <x:f>COUNTIF(Alarmas!$H$2:$H$92,"LONG_PORTFOLIO_BUY")+COUNTIF(Alarmas!$H$2:$H$92,"PATREON_CAPS_BUY")</x:f>
        <x:v>0</x:v>
      </x:c>
      <x:c r="E17" s="63" t="str">
        <x:v>13:30–20:01 UTC</x:v>
      </x:c>
      <x:c r="F17" s="63" t="str">
        <x:v>Portfolio / Patreon</x:v>
      </x:c>
      <x:c r="G17" s="63" t="str">
        <x:v>Sólo L4 directo</x:v>
      </x:c>
    </x:row>
    <x:row r="18">
      <x:c r="A18" s="63" t="str">
        <x:v>Fusion BUY</x:v>
      </x:c>
      <x:c r="B18" s="63" t="str">
        <x:v>marketbot.v1.signal-fusion.buy-confirmed.&gt;</x:v>
      </x:c>
      <x:c r="C18" s="63" t="n">
        <x:v>0</x:v>
      </x:c>
      <x:c r="D18" s="63" t="n">
        <x:f>COUNTIFS(Alarmas!$H$2:$H$92,"Signal Fusion",Alarmas!$J$2:$J$92,"BUY_CONFIRMED")</x:f>
        <x:v>0</x:v>
      </x:c>
      <x:c r="E18" s="63" t="str">
        <x:v>13:30–20:01 UTC</x:v>
      </x:c>
      <x:c r="F18" s="63" t="str">
        <x:v>SHADOW</x:v>
      </x:c>
      <x:c r="G18" s="63" t="str">
        <x:v>L4</x:v>
      </x:c>
    </x:row>
    <x:row r="19">
      <x:c r="A19" s="63" t="str">
        <x:v>Fusion Recovery</x:v>
      </x:c>
      <x:c r="B19" s="63" t="str">
        <x:v>marketbot.v1.signal-fusion.recovery-confirmed.&gt;</x:v>
      </x:c>
      <x:c r="C19" s="63" t="n">
        <x:v>16</x:v>
      </x:c>
      <x:c r="D19" s="63" t="n">
        <x:f>COUNTIFS(Alarmas!$H$2:$H$92,"Signal Fusion",Alarmas!$J$2:$J$92,"RECOVERY_CONFIRMED")</x:f>
        <x:v>16</x:v>
      </x:c>
      <x:c r="E19" s="63" t="str">
        <x:v>13:30–20:01 UTC</x:v>
      </x:c>
      <x:c r="F19" s="63" t="str">
        <x:v>SHADOW</x:v>
      </x:c>
      <x:c r="G19" s="63" t="str">
        <x:v>L4</x:v>
      </x:c>
    </x:row>
    <x:row r="20">
      <x:c r="A20" s="63" t="str">
        <x:v>Precios</x:v>
      </x:c>
      <x:c r="B20" s="63" t="str">
        <x:v>Alpaca SIP 1Min raw bars</x:v>
      </x:c>
      <x:c r="C20" s="63" t="n">
        <x:v>39</x:v>
      </x:c>
      <x:c r="D20" s="63" t="n">
        <x:v>91</x:v>
      </x:c>
      <x:c r="E20" s="63" t="str">
        <x:v>09:30–16:00 NY</x:v>
      </x:c>
      <x:c r="F20" s="63" t="str">
        <x:v>raw</x:v>
      </x:c>
      <x:c r="G20" s="63" t="str">
        <x:v>Barras sólo para tickers con alarma</x:v>
      </x:c>
    </x:row>
  </x:sheetData>
  <x:mergeCells>
    <x:mergeCell ref="A1:G2"/>
    <x:mergeCell ref="A4:G4"/>
    <x:mergeCell ref="A13:G13"/>
  </x:mergeCells>
  <x:conditionalFormatting sqref="F6:F10">
    <x:cfRule type="containsText" dxfId="9" priority="1" operator="containsText" text="OK"/>
    <x:cfRule type="containsText" dxfId="10" priority="2" operator="containsText" text="REVISAR"/>
  </x:conditionalFormatting>
  <x:pageMargins left="0.7" right="0.7" top="0.75" bottom="0.75" header="0.3" footer="0.3"/>
</x:worksheet>
</file>